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k3\OneDrive\Documents\"/>
    </mc:Choice>
  </mc:AlternateContent>
  <xr:revisionPtr revIDLastSave="0" documentId="8_{AE2BB9A1-9D95-40EA-9B18-D9A005F219CC}" xr6:coauthVersionLast="47" xr6:coauthVersionMax="47" xr10:uidLastSave="{00000000-0000-0000-0000-000000000000}"/>
  <bookViews>
    <workbookView xWindow="-110" yWindow="-110" windowWidth="19420" windowHeight="10300" activeTab="4" xr2:uid="{00000000-000D-0000-FFFF-FFFF00000000}"/>
  </bookViews>
  <sheets>
    <sheet name="Raw Data" sheetId="1" r:id="rId1"/>
    <sheet name="Cleaned Data" sheetId="3" r:id="rId2"/>
    <sheet name="KPIs" sheetId="4" r:id="rId3"/>
    <sheet name="MIS Summary" sheetId="5" r:id="rId4"/>
    <sheet name="Pivot Table &amp; Business Q&amp;As" sheetId="7" r:id="rId5"/>
  </sheets>
  <calcPr calcId="191029"/>
  <pivotCaches>
    <pivotCache cacheId="9" r:id="rId6"/>
  </pivotCaches>
</workbook>
</file>

<file path=xl/calcChain.xml><?xml version="1.0" encoding="utf-8"?>
<calcChain xmlns="http://schemas.openxmlformats.org/spreadsheetml/2006/main">
  <c r="X2" i="4" l="1"/>
  <c r="X3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W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V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U2" i="4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</calcChain>
</file>

<file path=xl/sharedStrings.xml><?xml version="1.0" encoding="utf-8"?>
<sst xmlns="http://schemas.openxmlformats.org/spreadsheetml/2006/main" count="23914" uniqueCount="2416">
  <si>
    <t>Order_ID</t>
  </si>
  <si>
    <t>Customer_ID</t>
  </si>
  <si>
    <t>Product_ID</t>
  </si>
  <si>
    <t>Product_Name</t>
  </si>
  <si>
    <t>Category</t>
  </si>
  <si>
    <t>Brand</t>
  </si>
  <si>
    <t>Price</t>
  </si>
  <si>
    <t>Discount (%)</t>
  </si>
  <si>
    <t>Selling_Price</t>
  </si>
  <si>
    <t>Quantity</t>
  </si>
  <si>
    <t>Size</t>
  </si>
  <si>
    <t>Color</t>
  </si>
  <si>
    <t>Rating</t>
  </si>
  <si>
    <t>Review_Count</t>
  </si>
  <si>
    <t>Order_Date</t>
  </si>
  <si>
    <t>Delivery_Status</t>
  </si>
  <si>
    <t>Payment_Method</t>
  </si>
  <si>
    <t>City</t>
  </si>
  <si>
    <t>State</t>
  </si>
  <si>
    <t>Return_Reason</t>
  </si>
  <si>
    <t>O1001</t>
  </si>
  <si>
    <t>C597</t>
  </si>
  <si>
    <t>P1682</t>
  </si>
  <si>
    <t>DressBerry Somebody Year</t>
  </si>
  <si>
    <t>Women &gt; Dresses</t>
  </si>
  <si>
    <t>DressBerry</t>
  </si>
  <si>
    <t>M</t>
  </si>
  <si>
    <t>Red</t>
  </si>
  <si>
    <t>Delivered</t>
  </si>
  <si>
    <t>Credit Card</t>
  </si>
  <si>
    <t>Bhopal</t>
  </si>
  <si>
    <t>Madhya Pradesh</t>
  </si>
  <si>
    <t>-</t>
  </si>
  <si>
    <t>O1002</t>
  </si>
  <si>
    <t>C273</t>
  </si>
  <si>
    <t>P3276</t>
  </si>
  <si>
    <t>Roadster Director Draw</t>
  </si>
  <si>
    <t>Men &gt; Shirts</t>
  </si>
  <si>
    <t>Roadster</t>
  </si>
  <si>
    <t>Black</t>
  </si>
  <si>
    <t>Returned</t>
  </si>
  <si>
    <t>Bangalore</t>
  </si>
  <si>
    <t>Karnataka</t>
  </si>
  <si>
    <t>Color Mismatch</t>
  </si>
  <si>
    <t>O1003</t>
  </si>
  <si>
    <t>C579</t>
  </si>
  <si>
    <t>P7719</t>
  </si>
  <si>
    <t>DressBerry Set Child</t>
  </si>
  <si>
    <t>Women &gt; Bags</t>
  </si>
  <si>
    <t>Yellow</t>
  </si>
  <si>
    <t>Late Delivery</t>
  </si>
  <si>
    <t>O1004</t>
  </si>
  <si>
    <t>C687</t>
  </si>
  <si>
    <t>P6766</t>
  </si>
  <si>
    <t>Roadster Partner Traditional</t>
  </si>
  <si>
    <t>Men &gt; Hoodies</t>
  </si>
  <si>
    <t>XL</t>
  </si>
  <si>
    <t>Cancelled</t>
  </si>
  <si>
    <t>Mumbai</t>
  </si>
  <si>
    <t>Maharashtra</t>
  </si>
  <si>
    <t>O1005</t>
  </si>
  <si>
    <t>C409</t>
  </si>
  <si>
    <t>P6589</t>
  </si>
  <si>
    <t>DressBerry Foreign Event</t>
  </si>
  <si>
    <t>Grey</t>
  </si>
  <si>
    <t>Cash on Delivery</t>
  </si>
  <si>
    <t>Jaipur</t>
  </si>
  <si>
    <t>Rajasthan</t>
  </si>
  <si>
    <t>O1006</t>
  </si>
  <si>
    <t>C338</t>
  </si>
  <si>
    <t>P1007</t>
  </si>
  <si>
    <t>Roadster Everybody Business</t>
  </si>
  <si>
    <t>S</t>
  </si>
  <si>
    <t>Pink</t>
  </si>
  <si>
    <t>O1007</t>
  </si>
  <si>
    <t>C484</t>
  </si>
  <si>
    <t>P9261</t>
  </si>
  <si>
    <t>DressBerry Win Down</t>
  </si>
  <si>
    <t>UPI</t>
  </si>
  <si>
    <t>O1008</t>
  </si>
  <si>
    <t>C248</t>
  </si>
  <si>
    <t>P3981</t>
  </si>
  <si>
    <t>Roadster Form Property</t>
  </si>
  <si>
    <t>Delhi</t>
  </si>
  <si>
    <t>O1009</t>
  </si>
  <si>
    <t>C513</t>
  </si>
  <si>
    <t>P3358</t>
  </si>
  <si>
    <t>Roadster Become Far</t>
  </si>
  <si>
    <t>Brown</t>
  </si>
  <si>
    <t>Lucknow</t>
  </si>
  <si>
    <t>Uttar Pradesh</t>
  </si>
  <si>
    <t>O1010</t>
  </si>
  <si>
    <t>C334</t>
  </si>
  <si>
    <t>P6157</t>
  </si>
  <si>
    <t>DressBerry Movie Team</t>
  </si>
  <si>
    <t>O1011</t>
  </si>
  <si>
    <t>C554</t>
  </si>
  <si>
    <t>P4402</t>
  </si>
  <si>
    <t>Roadster Suggest Data</t>
  </si>
  <si>
    <t>O1012</t>
  </si>
  <si>
    <t>C641</t>
  </si>
  <si>
    <t>P4567</t>
  </si>
  <si>
    <t>DressBerry Time Stop</t>
  </si>
  <si>
    <t>Navy</t>
  </si>
  <si>
    <t>Kolkata</t>
  </si>
  <si>
    <t>West Bengal</t>
  </si>
  <si>
    <t>O1013</t>
  </si>
  <si>
    <t>C447</t>
  </si>
  <si>
    <t>P4097</t>
  </si>
  <si>
    <t>Roadster Consider Floor</t>
  </si>
  <si>
    <t>Hyderabad</t>
  </si>
  <si>
    <t>Telangana</t>
  </si>
  <si>
    <t>O1014</t>
  </si>
  <si>
    <t>C497</t>
  </si>
  <si>
    <t>P1110</t>
  </si>
  <si>
    <t>HRX Prevent Born</t>
  </si>
  <si>
    <t>Men &gt; T-Shirts</t>
  </si>
  <si>
    <t>HRX</t>
  </si>
  <si>
    <t>O1015</t>
  </si>
  <si>
    <t>C360</t>
  </si>
  <si>
    <t>P2295</t>
  </si>
  <si>
    <t>WROGN Stand Affect</t>
  </si>
  <si>
    <t>Men &gt; Jeans</t>
  </si>
  <si>
    <t>WROGN</t>
  </si>
  <si>
    <t>O1016</t>
  </si>
  <si>
    <t>C457</t>
  </si>
  <si>
    <t>P3450</t>
  </si>
  <si>
    <t>Roadster Minute Nation</t>
  </si>
  <si>
    <t>O1017</t>
  </si>
  <si>
    <t>C449</t>
  </si>
  <si>
    <t>P1929</t>
  </si>
  <si>
    <t>Roadster Once Through</t>
  </si>
  <si>
    <t>Women &gt; Jackets</t>
  </si>
  <si>
    <t>White</t>
  </si>
  <si>
    <t>Size Issue</t>
  </si>
  <si>
    <t>O1018</t>
  </si>
  <si>
    <t>C265</t>
  </si>
  <si>
    <t>P3997</t>
  </si>
  <si>
    <t>Roadster Tv May</t>
  </si>
  <si>
    <t>O1019</t>
  </si>
  <si>
    <t>C325</t>
  </si>
  <si>
    <t>P4995</t>
  </si>
  <si>
    <t>Roadster Decide Security</t>
  </si>
  <si>
    <t>O1020</t>
  </si>
  <si>
    <t>C589</t>
  </si>
  <si>
    <t>P9117</t>
  </si>
  <si>
    <t>Anouk Accept Tell</t>
  </si>
  <si>
    <t>Women &gt; Ethnic</t>
  </si>
  <si>
    <t>Anouk</t>
  </si>
  <si>
    <t>Ahmedabad</t>
  </si>
  <si>
    <t>Gujarat</t>
  </si>
  <si>
    <t>O1021</t>
  </si>
  <si>
    <t>C205</t>
  </si>
  <si>
    <t>P8384</t>
  </si>
  <si>
    <t>WROGN Before Today</t>
  </si>
  <si>
    <t>O1022</t>
  </si>
  <si>
    <t>C276</t>
  </si>
  <si>
    <t>P8090</t>
  </si>
  <si>
    <t>Roadster Note Season</t>
  </si>
  <si>
    <t>O1023</t>
  </si>
  <si>
    <t>C470</t>
  </si>
  <si>
    <t>P1628</t>
  </si>
  <si>
    <t>Roadster Leader Sound</t>
  </si>
  <si>
    <t>Free Size</t>
  </si>
  <si>
    <t>O1024</t>
  </si>
  <si>
    <t>C544</t>
  </si>
  <si>
    <t>P9656</t>
  </si>
  <si>
    <t>Roadster Art Produce</t>
  </si>
  <si>
    <t>Green</t>
  </si>
  <si>
    <t>O1025</t>
  </si>
  <si>
    <t>C613</t>
  </si>
  <si>
    <t>P6453</t>
  </si>
  <si>
    <t>HRX Help Medical</t>
  </si>
  <si>
    <t>O1026</t>
  </si>
  <si>
    <t>C237</t>
  </si>
  <si>
    <t>P1994</t>
  </si>
  <si>
    <t>DressBerry Present Explain</t>
  </si>
  <si>
    <t>O1027</t>
  </si>
  <si>
    <t>C254</t>
  </si>
  <si>
    <t>P1239</t>
  </si>
  <si>
    <t>DressBerry Full As</t>
  </si>
  <si>
    <t>O1028</t>
  </si>
  <si>
    <t>C488</t>
  </si>
  <si>
    <t>P6288</t>
  </si>
  <si>
    <t>Roadster Ten Of</t>
  </si>
  <si>
    <t>Chennai</t>
  </si>
  <si>
    <t>Tamil Nadu</t>
  </si>
  <si>
    <t>O1029</t>
  </si>
  <si>
    <t>C463</t>
  </si>
  <si>
    <t>P6547</t>
  </si>
  <si>
    <t>DressBerry Board Over</t>
  </si>
  <si>
    <t>O1030</t>
  </si>
  <si>
    <t>C428</t>
  </si>
  <si>
    <t>P5259</t>
  </si>
  <si>
    <t>Roadster Little Line</t>
  </si>
  <si>
    <t>O1031</t>
  </si>
  <si>
    <t>C415</t>
  </si>
  <si>
    <t>P2881</t>
  </si>
  <si>
    <t>DressBerry Church Republican</t>
  </si>
  <si>
    <t>O1032</t>
  </si>
  <si>
    <t>C501</t>
  </si>
  <si>
    <t>P9568</t>
  </si>
  <si>
    <t>DressBerry Know Resource</t>
  </si>
  <si>
    <t>Defective Item</t>
  </si>
  <si>
    <t>O1033</t>
  </si>
  <si>
    <t>C610</t>
  </si>
  <si>
    <t>P1483</t>
  </si>
  <si>
    <t>HRX Himself News</t>
  </si>
  <si>
    <t>Men &gt; Shoes</t>
  </si>
  <si>
    <t>Blue</t>
  </si>
  <si>
    <t>O1034</t>
  </si>
  <si>
    <t>C232</t>
  </si>
  <si>
    <t>P1307</t>
  </si>
  <si>
    <t>DressBerry Officer Defense</t>
  </si>
  <si>
    <t>O1035</t>
  </si>
  <si>
    <t>C255</t>
  </si>
  <si>
    <t>P8369</t>
  </si>
  <si>
    <t>Anouk Summer Hot</t>
  </si>
  <si>
    <t>O1036</t>
  </si>
  <si>
    <t>C413</t>
  </si>
  <si>
    <t>P2665</t>
  </si>
  <si>
    <t>Roadster Debate Race</t>
  </si>
  <si>
    <t>O1037</t>
  </si>
  <si>
    <t>C411</t>
  </si>
  <si>
    <t>P9463</t>
  </si>
  <si>
    <t>Roadster Age Police</t>
  </si>
  <si>
    <t>XXL</t>
  </si>
  <si>
    <t>O1038</t>
  </si>
  <si>
    <t>C437</t>
  </si>
  <si>
    <t>P1923</t>
  </si>
  <si>
    <t>HRX Green Instead</t>
  </si>
  <si>
    <t>O1039</t>
  </si>
  <si>
    <t>C368</t>
  </si>
  <si>
    <t>P1489</t>
  </si>
  <si>
    <t>DressBerry Study Follow</t>
  </si>
  <si>
    <t>O1040</t>
  </si>
  <si>
    <t>C467</t>
  </si>
  <si>
    <t>P9071</t>
  </si>
  <si>
    <t>DressBerry Personal Table</t>
  </si>
  <si>
    <t>O1041</t>
  </si>
  <si>
    <t>C686</t>
  </si>
  <si>
    <t>P7955</t>
  </si>
  <si>
    <t>HRX Maybe Strong</t>
  </si>
  <si>
    <t>O1042</t>
  </si>
  <si>
    <t>C545</t>
  </si>
  <si>
    <t>P8800</t>
  </si>
  <si>
    <t>Mast &amp; Harbour Black Perform</t>
  </si>
  <si>
    <t>Men &gt; Blazers</t>
  </si>
  <si>
    <t>Mast &amp; Harbour</t>
  </si>
  <si>
    <t>O1043</t>
  </si>
  <si>
    <t>C575</t>
  </si>
  <si>
    <t>P2512</t>
  </si>
  <si>
    <t>Roadster Commercial Environment</t>
  </si>
  <si>
    <t>O1044</t>
  </si>
  <si>
    <t>C494</t>
  </si>
  <si>
    <t>P6397</t>
  </si>
  <si>
    <t>Roadster Page Wait</t>
  </si>
  <si>
    <t>O1045</t>
  </si>
  <si>
    <t>C644</t>
  </si>
  <si>
    <t>P1526</t>
  </si>
  <si>
    <t>DressBerry Cold Eye</t>
  </si>
  <si>
    <t>L</t>
  </si>
  <si>
    <t>O1046</t>
  </si>
  <si>
    <t>C675</t>
  </si>
  <si>
    <t>P8398</t>
  </si>
  <si>
    <t>Roadster Six Through</t>
  </si>
  <si>
    <t>O1047</t>
  </si>
  <si>
    <t>C378</t>
  </si>
  <si>
    <t>P8531</t>
  </si>
  <si>
    <t>Mast &amp; Harbour Television Almost</t>
  </si>
  <si>
    <t>O1048</t>
  </si>
  <si>
    <t>C534</t>
  </si>
  <si>
    <t>P7807</t>
  </si>
  <si>
    <t>DressBerry No Thought</t>
  </si>
  <si>
    <t>O1049</t>
  </si>
  <si>
    <t>C637</t>
  </si>
  <si>
    <t>P8038</t>
  </si>
  <si>
    <t>DressBerry Prove Everyone</t>
  </si>
  <si>
    <t>O1050</t>
  </si>
  <si>
    <t>C393</t>
  </si>
  <si>
    <t>P9206</t>
  </si>
  <si>
    <t>Mast &amp; Harbour Card Order</t>
  </si>
  <si>
    <t>O1051</t>
  </si>
  <si>
    <t>C354</t>
  </si>
  <si>
    <t>P1160</t>
  </si>
  <si>
    <t>Anouk Item Who</t>
  </si>
  <si>
    <t>O1052</t>
  </si>
  <si>
    <t>C375</t>
  </si>
  <si>
    <t>P5721</t>
  </si>
  <si>
    <t>Roadster May Still</t>
  </si>
  <si>
    <t>O1053</t>
  </si>
  <si>
    <t>C667</t>
  </si>
  <si>
    <t>P8049</t>
  </si>
  <si>
    <t>Mast &amp; Harbour Music Against</t>
  </si>
  <si>
    <t>O1054</t>
  </si>
  <si>
    <t>C697</t>
  </si>
  <si>
    <t>P1813</t>
  </si>
  <si>
    <t>Anouk Throughout Administration</t>
  </si>
  <si>
    <t>O1055</t>
  </si>
  <si>
    <t>C425</t>
  </si>
  <si>
    <t>P5606</t>
  </si>
  <si>
    <t>DressBerry Director Even</t>
  </si>
  <si>
    <t>O1056</t>
  </si>
  <si>
    <t>C263</t>
  </si>
  <si>
    <t>P2201</t>
  </si>
  <si>
    <t>Roadster You Window</t>
  </si>
  <si>
    <t>O1057</t>
  </si>
  <si>
    <t>C527</t>
  </si>
  <si>
    <t>P6728</t>
  </si>
  <si>
    <t>Anouk Adult Keep</t>
  </si>
  <si>
    <t>O1058</t>
  </si>
  <si>
    <t>C612</t>
  </si>
  <si>
    <t>Mast &amp; Harbour Space Sure</t>
  </si>
  <si>
    <t>O1059</t>
  </si>
  <si>
    <t>C693</t>
  </si>
  <si>
    <t>P8427</t>
  </si>
  <si>
    <t>Roadster Owner Left</t>
  </si>
  <si>
    <t>O1060</t>
  </si>
  <si>
    <t>C314</t>
  </si>
  <si>
    <t>P6777</t>
  </si>
  <si>
    <t>DressBerry Chair Rather</t>
  </si>
  <si>
    <t>O1061</t>
  </si>
  <si>
    <t>P4485</t>
  </si>
  <si>
    <t>HRX Maintain Hour</t>
  </si>
  <si>
    <t>O1062</t>
  </si>
  <si>
    <t>C252</t>
  </si>
  <si>
    <t>P1480</t>
  </si>
  <si>
    <t>HRX Common Room</t>
  </si>
  <si>
    <t>O1063</t>
  </si>
  <si>
    <t>C595</t>
  </si>
  <si>
    <t>P1736</t>
  </si>
  <si>
    <t>Roadster Image Close</t>
  </si>
  <si>
    <t>O1064</t>
  </si>
  <si>
    <t>C543</t>
  </si>
  <si>
    <t>P2126</t>
  </si>
  <si>
    <t>HRX Democratic Reality</t>
  </si>
  <si>
    <t>O1065</t>
  </si>
  <si>
    <t>C615</t>
  </si>
  <si>
    <t>P9589</t>
  </si>
  <si>
    <t>Roadster Hospital Address</t>
  </si>
  <si>
    <t>O1066</t>
  </si>
  <si>
    <t>C668</t>
  </si>
  <si>
    <t>P7822</t>
  </si>
  <si>
    <t>Anouk Fight Into</t>
  </si>
  <si>
    <t>O1067</t>
  </si>
  <si>
    <t>C633</t>
  </si>
  <si>
    <t>P9306</t>
  </si>
  <si>
    <t>Mast &amp; Harbour Magazine Sometimes</t>
  </si>
  <si>
    <t>O1068</t>
  </si>
  <si>
    <t>C344</t>
  </si>
  <si>
    <t>P9219</t>
  </si>
  <si>
    <t>Roadster Method Although</t>
  </si>
  <si>
    <t>O1069</t>
  </si>
  <si>
    <t>C631</t>
  </si>
  <si>
    <t>P6566</t>
  </si>
  <si>
    <t>DressBerry Effort Compare</t>
  </si>
  <si>
    <t>O1070</t>
  </si>
  <si>
    <t>C605</t>
  </si>
  <si>
    <t>P6048</t>
  </si>
  <si>
    <t>WROGN Need Prepare</t>
  </si>
  <si>
    <t>O1071</t>
  </si>
  <si>
    <t>C458</t>
  </si>
  <si>
    <t>P3880</t>
  </si>
  <si>
    <t>Roadster Nearly Purpose</t>
  </si>
  <si>
    <t>O1072</t>
  </si>
  <si>
    <t>C626</t>
  </si>
  <si>
    <t>P2407</t>
  </si>
  <si>
    <t>Roadster Especially Compare</t>
  </si>
  <si>
    <t>O1073</t>
  </si>
  <si>
    <t>C279</t>
  </si>
  <si>
    <t>P2371</t>
  </si>
  <si>
    <t>DressBerry Instead Have</t>
  </si>
  <si>
    <t>O1074</t>
  </si>
  <si>
    <t>P6450</t>
  </si>
  <si>
    <t>DressBerry Analysis Nor</t>
  </si>
  <si>
    <t>O1075</t>
  </si>
  <si>
    <t>C455</t>
  </si>
  <si>
    <t>P4808</t>
  </si>
  <si>
    <t>Anouk Seem Let</t>
  </si>
  <si>
    <t>O1076</t>
  </si>
  <si>
    <t>C562</t>
  </si>
  <si>
    <t>P9246</t>
  </si>
  <si>
    <t>HRX Send Require</t>
  </si>
  <si>
    <t>O1077</t>
  </si>
  <si>
    <t>C487</t>
  </si>
  <si>
    <t>P9580</t>
  </si>
  <si>
    <t>WROGN Well Direction</t>
  </si>
  <si>
    <t>O1078</t>
  </si>
  <si>
    <t>C646</t>
  </si>
  <si>
    <t>P8525</t>
  </si>
  <si>
    <t>Mast &amp; Harbour Black Upon</t>
  </si>
  <si>
    <t>O1079</t>
  </si>
  <si>
    <t>C288</t>
  </si>
  <si>
    <t>P6303</t>
  </si>
  <si>
    <t>Roadster Them Present</t>
  </si>
  <si>
    <t>O1080</t>
  </si>
  <si>
    <t>C383</t>
  </si>
  <si>
    <t>P5843</t>
  </si>
  <si>
    <t>DressBerry Physical Paper</t>
  </si>
  <si>
    <t>O1081</t>
  </si>
  <si>
    <t>C598</t>
  </si>
  <si>
    <t>P3560</t>
  </si>
  <si>
    <t>DressBerry Join Five</t>
  </si>
  <si>
    <t>O1082</t>
  </si>
  <si>
    <t>C504</t>
  </si>
  <si>
    <t>P6850</t>
  </si>
  <si>
    <t>HRX Fill Must</t>
  </si>
  <si>
    <t>O1083</t>
  </si>
  <si>
    <t>C236</t>
  </si>
  <si>
    <t>P7777</t>
  </si>
  <si>
    <t>Anouk Professional Most</t>
  </si>
  <si>
    <t>O1084</t>
  </si>
  <si>
    <t>C517</t>
  </si>
  <si>
    <t>P1191</t>
  </si>
  <si>
    <t>WROGN However Decision</t>
  </si>
  <si>
    <t>O1085</t>
  </si>
  <si>
    <t>C691</t>
  </si>
  <si>
    <t>P4197</t>
  </si>
  <si>
    <t>Roadster Bring Human</t>
  </si>
  <si>
    <t>O1086</t>
  </si>
  <si>
    <t>C362</t>
  </si>
  <si>
    <t>P9578</t>
  </si>
  <si>
    <t>Anouk Line Analysis</t>
  </si>
  <si>
    <t>O1087</t>
  </si>
  <si>
    <t>C247</t>
  </si>
  <si>
    <t>P9859</t>
  </si>
  <si>
    <t>Roadster Quality Help</t>
  </si>
  <si>
    <t>O1088</t>
  </si>
  <si>
    <t>C274</t>
  </si>
  <si>
    <t>P1677</t>
  </si>
  <si>
    <t>Roadster Data Size</t>
  </si>
  <si>
    <t>O1089</t>
  </si>
  <si>
    <t>C684</t>
  </si>
  <si>
    <t>P2895</t>
  </si>
  <si>
    <t>HRX Second Main</t>
  </si>
  <si>
    <t>O1090</t>
  </si>
  <si>
    <t>C209</t>
  </si>
  <si>
    <t>P3557</t>
  </si>
  <si>
    <t>DressBerry Life Performance</t>
  </si>
  <si>
    <t>O1091</t>
  </si>
  <si>
    <t>C404</t>
  </si>
  <si>
    <t>P1264</t>
  </si>
  <si>
    <t>HRX Identify Organization</t>
  </si>
  <si>
    <t>O1092</t>
  </si>
  <si>
    <t>C414</t>
  </si>
  <si>
    <t>P3301</t>
  </si>
  <si>
    <t>Anouk Seek Old</t>
  </si>
  <si>
    <t>O1093</t>
  </si>
  <si>
    <t>C300</t>
  </si>
  <si>
    <t>P5167</t>
  </si>
  <si>
    <t>Anouk Parent Hour</t>
  </si>
  <si>
    <t>O1094</t>
  </si>
  <si>
    <t>C210</t>
  </si>
  <si>
    <t>P9751</t>
  </si>
  <si>
    <t>WROGN Four Under</t>
  </si>
  <si>
    <t>O1095</t>
  </si>
  <si>
    <t>C262</t>
  </si>
  <si>
    <t>P2030</t>
  </si>
  <si>
    <t>Mast &amp; Harbour Fact Sound</t>
  </si>
  <si>
    <t>O1096</t>
  </si>
  <si>
    <t>C226</t>
  </si>
  <si>
    <t>P3008</t>
  </si>
  <si>
    <t>Roadster Spring Across</t>
  </si>
  <si>
    <t>O1097</t>
  </si>
  <si>
    <t>C320</t>
  </si>
  <si>
    <t>P8614</t>
  </si>
  <si>
    <t>DressBerry Without Address</t>
  </si>
  <si>
    <t>O1098</t>
  </si>
  <si>
    <t>C398</t>
  </si>
  <si>
    <t>P8831</t>
  </si>
  <si>
    <t>HRX Song Again</t>
  </si>
  <si>
    <t>O1099</t>
  </si>
  <si>
    <t>C222</t>
  </si>
  <si>
    <t>P4635</t>
  </si>
  <si>
    <t>Mast &amp; Harbour Boy Would</t>
  </si>
  <si>
    <t>O1100</t>
  </si>
  <si>
    <t>P8488</t>
  </si>
  <si>
    <t>DressBerry Feeling Approach</t>
  </si>
  <si>
    <t>O1101</t>
  </si>
  <si>
    <t>C499</t>
  </si>
  <si>
    <t>P6747</t>
  </si>
  <si>
    <t>Roadster Cause Want</t>
  </si>
  <si>
    <t>O1102</t>
  </si>
  <si>
    <t>C695</t>
  </si>
  <si>
    <t>P2637</t>
  </si>
  <si>
    <t>Roadster Expect Detail</t>
  </si>
  <si>
    <t>O1103</t>
  </si>
  <si>
    <t>C670</t>
  </si>
  <si>
    <t>P3779</t>
  </si>
  <si>
    <t>Mast &amp; Harbour Again Something</t>
  </si>
  <si>
    <t>O1104</t>
  </si>
  <si>
    <t>C211</t>
  </si>
  <si>
    <t>P5639</t>
  </si>
  <si>
    <t>Roadster Raise Early</t>
  </si>
  <si>
    <t>O1105</t>
  </si>
  <si>
    <t>C590</t>
  </si>
  <si>
    <t>P6387</t>
  </si>
  <si>
    <t>Anouk Pass Suggest</t>
  </si>
  <si>
    <t>O1106</t>
  </si>
  <si>
    <t>C526</t>
  </si>
  <si>
    <t>P9727</t>
  </si>
  <si>
    <t>Roadster Eight Own</t>
  </si>
  <si>
    <t>O1107</t>
  </si>
  <si>
    <t>C642</t>
  </si>
  <si>
    <t>P2428</t>
  </si>
  <si>
    <t>DressBerry Data Common</t>
  </si>
  <si>
    <t>O1108</t>
  </si>
  <si>
    <t>C406</t>
  </si>
  <si>
    <t>P4724</t>
  </si>
  <si>
    <t>Roadster Some Door</t>
  </si>
  <si>
    <t>O1109</t>
  </si>
  <si>
    <t>P3269</t>
  </si>
  <si>
    <t>DressBerry Perhaps What</t>
  </si>
  <si>
    <t>O1110</t>
  </si>
  <si>
    <t>C478</t>
  </si>
  <si>
    <t>P1272</t>
  </si>
  <si>
    <t>Mast &amp; Harbour Choose People</t>
  </si>
  <si>
    <t>O1111</t>
  </si>
  <si>
    <t>C278</t>
  </si>
  <si>
    <t>P4757</t>
  </si>
  <si>
    <t>Roadster Draw Of</t>
  </si>
  <si>
    <t>O1112</t>
  </si>
  <si>
    <t>C374</t>
  </si>
  <si>
    <t>P6796</t>
  </si>
  <si>
    <t>Roadster Agree Stuff</t>
  </si>
  <si>
    <t>O1113</t>
  </si>
  <si>
    <t>P1286</t>
  </si>
  <si>
    <t>HRX Meeting Wear</t>
  </si>
  <si>
    <t>O1114</t>
  </si>
  <si>
    <t>C556</t>
  </si>
  <si>
    <t>P8390</t>
  </si>
  <si>
    <t>DressBerry Military Race</t>
  </si>
  <si>
    <t>O1115</t>
  </si>
  <si>
    <t>P2886</t>
  </si>
  <si>
    <t>Mast &amp; Harbour Later Investment</t>
  </si>
  <si>
    <t>O1116</t>
  </si>
  <si>
    <t>C234</t>
  </si>
  <si>
    <t>P5648</t>
  </si>
  <si>
    <t>Roadster Stay Firm</t>
  </si>
  <si>
    <t>O1117</t>
  </si>
  <si>
    <t>C407</t>
  </si>
  <si>
    <t>P6139</t>
  </si>
  <si>
    <t>DressBerry Alone Soon</t>
  </si>
  <si>
    <t>O1118</t>
  </si>
  <si>
    <t>P9115</t>
  </si>
  <si>
    <t>Roadster World Four</t>
  </si>
  <si>
    <t>O1119</t>
  </si>
  <si>
    <t>P2357</t>
  </si>
  <si>
    <t>Roadster Tough Help</t>
  </si>
  <si>
    <t>O1120</t>
  </si>
  <si>
    <t>C431</t>
  </si>
  <si>
    <t>P4641</t>
  </si>
  <si>
    <t>DressBerry Institution Game</t>
  </si>
  <si>
    <t>O1121</t>
  </si>
  <si>
    <t>C357</t>
  </si>
  <si>
    <t>P9379</t>
  </si>
  <si>
    <t>DressBerry Suggest Who</t>
  </si>
  <si>
    <t>O1122</t>
  </si>
  <si>
    <t>C312</t>
  </si>
  <si>
    <t>P8699</t>
  </si>
  <si>
    <t>Mast &amp; Harbour Game Money</t>
  </si>
  <si>
    <t>O1123</t>
  </si>
  <si>
    <t>C399</t>
  </si>
  <si>
    <t>P7118</t>
  </si>
  <si>
    <t>Roadster Vote Herself</t>
  </si>
  <si>
    <t>O1124</t>
  </si>
  <si>
    <t>C358</t>
  </si>
  <si>
    <t>P2672</t>
  </si>
  <si>
    <t>DressBerry Available Believe</t>
  </si>
  <si>
    <t>O1125</t>
  </si>
  <si>
    <t>C284</t>
  </si>
  <si>
    <t>P9107</t>
  </si>
  <si>
    <t>HRX Style Can</t>
  </si>
  <si>
    <t>O1126</t>
  </si>
  <si>
    <t>P6449</t>
  </si>
  <si>
    <t>Anouk Any Behavior</t>
  </si>
  <si>
    <t>O1127</t>
  </si>
  <si>
    <t>C550</t>
  </si>
  <si>
    <t>P7056</t>
  </si>
  <si>
    <t>Roadster Seat Board</t>
  </si>
  <si>
    <t>O1128</t>
  </si>
  <si>
    <t>C370</t>
  </si>
  <si>
    <t>P2017</t>
  </si>
  <si>
    <t>WROGN Smile Onto</t>
  </si>
  <si>
    <t>O1129</t>
  </si>
  <si>
    <t>C416</t>
  </si>
  <si>
    <t>P9331</t>
  </si>
  <si>
    <t>Mast &amp; Harbour Want Church</t>
  </si>
  <si>
    <t>O1130</t>
  </si>
  <si>
    <t>C647</t>
  </si>
  <si>
    <t>P8518</t>
  </si>
  <si>
    <t>Roadster Of Could</t>
  </si>
  <si>
    <t>O1131</t>
  </si>
  <si>
    <t>C542</t>
  </si>
  <si>
    <t>WROGN Sit Receive</t>
  </si>
  <si>
    <t>O1132</t>
  </si>
  <si>
    <t>P2257</t>
  </si>
  <si>
    <t>WROGN War Yard</t>
  </si>
  <si>
    <t>O1133</t>
  </si>
  <si>
    <t>C216</t>
  </si>
  <si>
    <t>P1156</t>
  </si>
  <si>
    <t>HRX Simply Write</t>
  </si>
  <si>
    <t>O1134</t>
  </si>
  <si>
    <t>C315</t>
  </si>
  <si>
    <t>P5678</t>
  </si>
  <si>
    <t>Anouk Seven Expect</t>
  </si>
  <si>
    <t>O1135</t>
  </si>
  <si>
    <t>C251</t>
  </si>
  <si>
    <t>P3432</t>
  </si>
  <si>
    <t>WROGN Fund Today</t>
  </si>
  <si>
    <t>O1136</t>
  </si>
  <si>
    <t>C450</t>
  </si>
  <si>
    <t>P1032</t>
  </si>
  <si>
    <t>Anouk Market Five</t>
  </si>
  <si>
    <t>O1137</t>
  </si>
  <si>
    <t>P2321</t>
  </si>
  <si>
    <t>Mast &amp; Harbour Easy Pull</t>
  </si>
  <si>
    <t>O1138</t>
  </si>
  <si>
    <t>C384</t>
  </si>
  <si>
    <t>P1058</t>
  </si>
  <si>
    <t>HRX Result Dream</t>
  </si>
  <si>
    <t>O1139</t>
  </si>
  <si>
    <t>C551</t>
  </si>
  <si>
    <t>P8877</t>
  </si>
  <si>
    <t>DressBerry Citizen Or</t>
  </si>
  <si>
    <t>O1140</t>
  </si>
  <si>
    <t>C635</t>
  </si>
  <si>
    <t>P5951</t>
  </si>
  <si>
    <t>Mast &amp; Harbour Choice One</t>
  </si>
  <si>
    <t>O1141</t>
  </si>
  <si>
    <t>C351</t>
  </si>
  <si>
    <t>P9170</t>
  </si>
  <si>
    <t>Anouk Kid Security</t>
  </si>
  <si>
    <t>O1142</t>
  </si>
  <si>
    <t>C518</t>
  </si>
  <si>
    <t>DressBerry Even Attention</t>
  </si>
  <si>
    <t>O1143</t>
  </si>
  <si>
    <t>C277</t>
  </si>
  <si>
    <t>P3517</t>
  </si>
  <si>
    <t>Roadster Control Foreign</t>
  </si>
  <si>
    <t>O1144</t>
  </si>
  <si>
    <t>P6607</t>
  </si>
  <si>
    <t>HRX Walk Mission</t>
  </si>
  <si>
    <t>O1145</t>
  </si>
  <si>
    <t>C486</t>
  </si>
  <si>
    <t>P4431</t>
  </si>
  <si>
    <t>DressBerry Language Relationship</t>
  </si>
  <si>
    <t>O1146</t>
  </si>
  <si>
    <t>C625</t>
  </si>
  <si>
    <t>P1314</t>
  </si>
  <si>
    <t>Roadster Always Research</t>
  </si>
  <si>
    <t>O1147</t>
  </si>
  <si>
    <t>P7818</t>
  </si>
  <si>
    <t>DressBerry Five Dream</t>
  </si>
  <si>
    <t>O1148</t>
  </si>
  <si>
    <t>C337</t>
  </si>
  <si>
    <t>P5481</t>
  </si>
  <si>
    <t>DressBerry Right Management</t>
  </si>
  <si>
    <t>O1149</t>
  </si>
  <si>
    <t>C221</t>
  </si>
  <si>
    <t>P5168</t>
  </si>
  <si>
    <t>HRX Service Perform</t>
  </si>
  <si>
    <t>O1150</t>
  </si>
  <si>
    <t>C253</t>
  </si>
  <si>
    <t>P8650</t>
  </si>
  <si>
    <t>DressBerry Mind Season</t>
  </si>
  <si>
    <t>O1151</t>
  </si>
  <si>
    <t>P6198</t>
  </si>
  <si>
    <t>DressBerry Staff Morning</t>
  </si>
  <si>
    <t>O1152</t>
  </si>
  <si>
    <t>C491</t>
  </si>
  <si>
    <t>P8739</t>
  </si>
  <si>
    <t>Roadster Try Because</t>
  </si>
  <si>
    <t>O1153</t>
  </si>
  <si>
    <t>P7325</t>
  </si>
  <si>
    <t>HRX Officer Take</t>
  </si>
  <si>
    <t>O1154</t>
  </si>
  <si>
    <t>C561</t>
  </si>
  <si>
    <t>P6100</t>
  </si>
  <si>
    <t>Anouk Lose Southern</t>
  </si>
  <si>
    <t>O1155</t>
  </si>
  <si>
    <t>C289</t>
  </si>
  <si>
    <t>P8272</t>
  </si>
  <si>
    <t>HRX Simply Test</t>
  </si>
  <si>
    <t>O1156</t>
  </si>
  <si>
    <t>C303</t>
  </si>
  <si>
    <t>P3893</t>
  </si>
  <si>
    <t>DressBerry Show Success</t>
  </si>
  <si>
    <t>O1157</t>
  </si>
  <si>
    <t>C564</t>
  </si>
  <si>
    <t>P9426</t>
  </si>
  <si>
    <t>DressBerry Discover Paper</t>
  </si>
  <si>
    <t>O1158</t>
  </si>
  <si>
    <t>C658</t>
  </si>
  <si>
    <t>P5540</t>
  </si>
  <si>
    <t>WROGN Line Increase</t>
  </si>
  <si>
    <t>O1159</t>
  </si>
  <si>
    <t>C327</t>
  </si>
  <si>
    <t>P6454</t>
  </si>
  <si>
    <t>WROGN Show Or</t>
  </si>
  <si>
    <t>O1160</t>
  </si>
  <si>
    <t>C680</t>
  </si>
  <si>
    <t>P2097</t>
  </si>
  <si>
    <t>Roadster Contain Culture</t>
  </si>
  <si>
    <t>O1161</t>
  </si>
  <si>
    <t>C498</t>
  </si>
  <si>
    <t>P6778</t>
  </si>
  <si>
    <t>Roadster Five In</t>
  </si>
  <si>
    <t>O1162</t>
  </si>
  <si>
    <t>C671</t>
  </si>
  <si>
    <t>P4125</t>
  </si>
  <si>
    <t>HRX Than Office</t>
  </si>
  <si>
    <t>O1163</t>
  </si>
  <si>
    <t>C636</t>
  </si>
  <si>
    <t>P7446</t>
  </si>
  <si>
    <t>DressBerry By Help</t>
  </si>
  <si>
    <t>O1164</t>
  </si>
  <si>
    <t>C225</t>
  </si>
  <si>
    <t>P9109</t>
  </si>
  <si>
    <t>Mast &amp; Harbour Bad Because</t>
  </si>
  <si>
    <t>O1165</t>
  </si>
  <si>
    <t>C363</t>
  </si>
  <si>
    <t>P2196</t>
  </si>
  <si>
    <t>DressBerry Teach Information</t>
  </si>
  <si>
    <t>O1166</t>
  </si>
  <si>
    <t>C281</t>
  </si>
  <si>
    <t>P4214</t>
  </si>
  <si>
    <t>Roadster About Half</t>
  </si>
  <si>
    <t>O1167</t>
  </si>
  <si>
    <t>C607</t>
  </si>
  <si>
    <t>P5107</t>
  </si>
  <si>
    <t>WROGN Protect Carry</t>
  </si>
  <si>
    <t>O1168</t>
  </si>
  <si>
    <t>P3248</t>
  </si>
  <si>
    <t>HRX Evidence Decade</t>
  </si>
  <si>
    <t>O1169</t>
  </si>
  <si>
    <t>C546</t>
  </si>
  <si>
    <t>P1298</t>
  </si>
  <si>
    <t>HRX Him Choose</t>
  </si>
  <si>
    <t>O1170</t>
  </si>
  <si>
    <t>P9646</t>
  </si>
  <si>
    <t>Roadster Although Beyond</t>
  </si>
  <si>
    <t>O1171</t>
  </si>
  <si>
    <t>P8438</t>
  </si>
  <si>
    <t>HRX Where Fine</t>
  </si>
  <si>
    <t>O1172</t>
  </si>
  <si>
    <t>C215</t>
  </si>
  <si>
    <t>P8189</t>
  </si>
  <si>
    <t>DressBerry Window Source</t>
  </si>
  <si>
    <t>O1173</t>
  </si>
  <si>
    <t>P4209</t>
  </si>
  <si>
    <t>Roadster Concern Firm</t>
  </si>
  <si>
    <t>O1174</t>
  </si>
  <si>
    <t>C243</t>
  </si>
  <si>
    <t>P3722</t>
  </si>
  <si>
    <t>Roadster Left Respond</t>
  </si>
  <si>
    <t>O1175</t>
  </si>
  <si>
    <t>C653</t>
  </si>
  <si>
    <t>P8554</t>
  </si>
  <si>
    <t>DressBerry Stuff Sing</t>
  </si>
  <si>
    <t>O1176</t>
  </si>
  <si>
    <t>C474</t>
  </si>
  <si>
    <t>P3288</t>
  </si>
  <si>
    <t>Mast &amp; Harbour Do Particular</t>
  </si>
  <si>
    <t>O1177</t>
  </si>
  <si>
    <t>C614</t>
  </si>
  <si>
    <t>P9167</t>
  </si>
  <si>
    <t>DressBerry Stop Between</t>
  </si>
  <si>
    <t>O1178</t>
  </si>
  <si>
    <t>C477</t>
  </si>
  <si>
    <t>P9995</t>
  </si>
  <si>
    <t>Roadster Daughter Heart</t>
  </si>
  <si>
    <t>O1179</t>
  </si>
  <si>
    <t>C442</t>
  </si>
  <si>
    <t>P7149</t>
  </si>
  <si>
    <t>Roadster Plant Best</t>
  </si>
  <si>
    <t>O1180</t>
  </si>
  <si>
    <t>P1581</t>
  </si>
  <si>
    <t>Roadster Mind Effect</t>
  </si>
  <si>
    <t>O1181</t>
  </si>
  <si>
    <t>C460</t>
  </si>
  <si>
    <t>P7671</t>
  </si>
  <si>
    <t>HRX Day Result</t>
  </si>
  <si>
    <t>O1182</t>
  </si>
  <si>
    <t>P7724</t>
  </si>
  <si>
    <t>Mast &amp; Harbour Decision Model</t>
  </si>
  <si>
    <t>O1183</t>
  </si>
  <si>
    <t>C294</t>
  </si>
  <si>
    <t>P2717</t>
  </si>
  <si>
    <t>Mast &amp; Harbour Space Even</t>
  </si>
  <si>
    <t>O1184</t>
  </si>
  <si>
    <t>C207</t>
  </si>
  <si>
    <t>P9506</t>
  </si>
  <si>
    <t>HRX Performance Interview</t>
  </si>
  <si>
    <t>O1185</t>
  </si>
  <si>
    <t>P7997</t>
  </si>
  <si>
    <t>Mast &amp; Harbour Commercial Organization</t>
  </si>
  <si>
    <t>O1186</t>
  </si>
  <si>
    <t>C645</t>
  </si>
  <si>
    <t>P5640</t>
  </si>
  <si>
    <t>Roadster Particular Example</t>
  </si>
  <si>
    <t>O1187</t>
  </si>
  <si>
    <t>C355</t>
  </si>
  <si>
    <t>P8246</t>
  </si>
  <si>
    <t>DressBerry Catch Remain</t>
  </si>
  <si>
    <t>O1188</t>
  </si>
  <si>
    <t>P3962</t>
  </si>
  <si>
    <t>HRX Agency Product</t>
  </si>
  <si>
    <t>O1189</t>
  </si>
  <si>
    <t>C364</t>
  </si>
  <si>
    <t>P8971</t>
  </si>
  <si>
    <t>Roadster As Citizen</t>
  </si>
  <si>
    <t>O1190</t>
  </si>
  <si>
    <t>P3027</t>
  </si>
  <si>
    <t>Mast &amp; Harbour Teach More</t>
  </si>
  <si>
    <t>O1191</t>
  </si>
  <si>
    <t>C412</t>
  </si>
  <si>
    <t>P7409</t>
  </si>
  <si>
    <t>Mast &amp; Harbour Hit Anyone</t>
  </si>
  <si>
    <t>O1192</t>
  </si>
  <si>
    <t>C256</t>
  </si>
  <si>
    <t>P5866</t>
  </si>
  <si>
    <t>Roadster Yeah Face</t>
  </si>
  <si>
    <t>O1193</t>
  </si>
  <si>
    <t>C601</t>
  </si>
  <si>
    <t>P7224</t>
  </si>
  <si>
    <t>HRX High Mention</t>
  </si>
  <si>
    <t>O1194</t>
  </si>
  <si>
    <t>C650</t>
  </si>
  <si>
    <t>P2663</t>
  </si>
  <si>
    <t>WROGN National Science</t>
  </si>
  <si>
    <t>O1195</t>
  </si>
  <si>
    <t>P4555</t>
  </si>
  <si>
    <t>HRX Thing Middle</t>
  </si>
  <si>
    <t>O1196</t>
  </si>
  <si>
    <t>C275</t>
  </si>
  <si>
    <t>P1460</t>
  </si>
  <si>
    <t>Roadster It Current</t>
  </si>
  <si>
    <t>O1197</t>
  </si>
  <si>
    <t>C330</t>
  </si>
  <si>
    <t>P4772</t>
  </si>
  <si>
    <t>HRX Network General</t>
  </si>
  <si>
    <t>O1198</t>
  </si>
  <si>
    <t>P3051</t>
  </si>
  <si>
    <t>Roadster Stay Although</t>
  </si>
  <si>
    <t>O1199</t>
  </si>
  <si>
    <t>C438</t>
  </si>
  <si>
    <t>P7567</t>
  </si>
  <si>
    <t>Roadster Everyone Bad</t>
  </si>
  <si>
    <t>O1200</t>
  </si>
  <si>
    <t>C674</t>
  </si>
  <si>
    <t>P7508</t>
  </si>
  <si>
    <t>Roadster Common Practice</t>
  </si>
  <si>
    <t>O1201</t>
  </si>
  <si>
    <t>C446</t>
  </si>
  <si>
    <t>P9899</t>
  </si>
  <si>
    <t>DressBerry All I</t>
  </si>
  <si>
    <t>O1202</t>
  </si>
  <si>
    <t>C514</t>
  </si>
  <si>
    <t>P9076</t>
  </si>
  <si>
    <t>Roadster Since Major</t>
  </si>
  <si>
    <t>O1203</t>
  </si>
  <si>
    <t>C594</t>
  </si>
  <si>
    <t>P4714</t>
  </si>
  <si>
    <t>HRX System Break</t>
  </si>
  <si>
    <t>O1204</t>
  </si>
  <si>
    <t>P5043</t>
  </si>
  <si>
    <t>Anouk Movie See</t>
  </si>
  <si>
    <t>O1205</t>
  </si>
  <si>
    <t>C331</t>
  </si>
  <si>
    <t>P9761</t>
  </si>
  <si>
    <t>DressBerry Then Customer</t>
  </si>
  <si>
    <t>O1206</t>
  </si>
  <si>
    <t>P4145</t>
  </si>
  <si>
    <t>DressBerry Property Clear</t>
  </si>
  <si>
    <t>O1207</t>
  </si>
  <si>
    <t>C244</t>
  </si>
  <si>
    <t>P2185</t>
  </si>
  <si>
    <t>HRX Travel Himself</t>
  </si>
  <si>
    <t>O1208</t>
  </si>
  <si>
    <t>C400</t>
  </si>
  <si>
    <t>P7166</t>
  </si>
  <si>
    <t>DressBerry Billion Wonder</t>
  </si>
  <si>
    <t>O1209</t>
  </si>
  <si>
    <t>C379</t>
  </si>
  <si>
    <t>P7047</t>
  </si>
  <si>
    <t>Anouk Enjoy Throw</t>
  </si>
  <si>
    <t>O1210</t>
  </si>
  <si>
    <t>P2897</t>
  </si>
  <si>
    <t>HRX Own Four</t>
  </si>
  <si>
    <t>O1211</t>
  </si>
  <si>
    <t>C648</t>
  </si>
  <si>
    <t>Roadster Scene Ready</t>
  </si>
  <si>
    <t>O1212</t>
  </si>
  <si>
    <t>P5857</t>
  </si>
  <si>
    <t>Roadster Former Say</t>
  </si>
  <si>
    <t>O1213</t>
  </si>
  <si>
    <t>C662</t>
  </si>
  <si>
    <t>P9999</t>
  </si>
  <si>
    <t>Roadster Just Evening</t>
  </si>
  <si>
    <t>O1214</t>
  </si>
  <si>
    <t>C503</t>
  </si>
  <si>
    <t>P2215</t>
  </si>
  <si>
    <t>HRX Direction Determine</t>
  </si>
  <si>
    <t>O1215</t>
  </si>
  <si>
    <t>C285</t>
  </si>
  <si>
    <t>P1546</t>
  </si>
  <si>
    <t>Roadster Campaign I</t>
  </si>
  <si>
    <t>O1216</t>
  </si>
  <si>
    <t>C520</t>
  </si>
  <si>
    <t>P3255</t>
  </si>
  <si>
    <t>Anouk Able How</t>
  </si>
  <si>
    <t>O1217</t>
  </si>
  <si>
    <t>C339</t>
  </si>
  <si>
    <t>P3258</t>
  </si>
  <si>
    <t>Anouk Together Kind</t>
  </si>
  <si>
    <t>O1218</t>
  </si>
  <si>
    <t>C231</t>
  </si>
  <si>
    <t>P8743</t>
  </si>
  <si>
    <t>DressBerry Thank Manager</t>
  </si>
  <si>
    <t>O1219</t>
  </si>
  <si>
    <t>C623</t>
  </si>
  <si>
    <t>P4685</t>
  </si>
  <si>
    <t>HRX Particularly Effort</t>
  </si>
  <si>
    <t>O1220</t>
  </si>
  <si>
    <t>C655</t>
  </si>
  <si>
    <t>P3996</t>
  </si>
  <si>
    <t>Roadster Another Record</t>
  </si>
  <si>
    <t>O1221</t>
  </si>
  <si>
    <t>C291</t>
  </si>
  <si>
    <t>P3043</t>
  </si>
  <si>
    <t>Anouk Rich Speech</t>
  </si>
  <si>
    <t>O1222</t>
  </si>
  <si>
    <t>P2551</t>
  </si>
  <si>
    <t>HRX Service Instead</t>
  </si>
  <si>
    <t>O1223</t>
  </si>
  <si>
    <t>P6688</t>
  </si>
  <si>
    <t>Roadster By One</t>
  </si>
  <si>
    <t>O1224</t>
  </si>
  <si>
    <t>P3413</t>
  </si>
  <si>
    <t>Roadster Put Why</t>
  </si>
  <si>
    <t>O1225</t>
  </si>
  <si>
    <t>P2166</t>
  </si>
  <si>
    <t>Roadster Past War</t>
  </si>
  <si>
    <t>O1226</t>
  </si>
  <si>
    <t>P8059</t>
  </si>
  <si>
    <t>Anouk One Team</t>
  </si>
  <si>
    <t>O1227</t>
  </si>
  <si>
    <t>C490</t>
  </si>
  <si>
    <t>P5344</t>
  </si>
  <si>
    <t>Roadster Over Source</t>
  </si>
  <si>
    <t>O1228</t>
  </si>
  <si>
    <t>C395</t>
  </si>
  <si>
    <t>P7418</t>
  </si>
  <si>
    <t>HRX Before Hand</t>
  </si>
  <si>
    <t>O1229</t>
  </si>
  <si>
    <t>P2009</t>
  </si>
  <si>
    <t>HRX Leave Step</t>
  </si>
  <si>
    <t>O1230</t>
  </si>
  <si>
    <t>C523</t>
  </si>
  <si>
    <t>P5527</t>
  </si>
  <si>
    <t>HRX Number Avoid</t>
  </si>
  <si>
    <t>O1231</t>
  </si>
  <si>
    <t>P5493</t>
  </si>
  <si>
    <t>Mast &amp; Harbour Fall Third</t>
  </si>
  <si>
    <t>O1232</t>
  </si>
  <si>
    <t>C681</t>
  </si>
  <si>
    <t>P6713</t>
  </si>
  <si>
    <t>Roadster Region Such</t>
  </si>
  <si>
    <t>O1233</t>
  </si>
  <si>
    <t>C219</t>
  </si>
  <si>
    <t>P8269</t>
  </si>
  <si>
    <t>Mast &amp; Harbour Forget Top</t>
  </si>
  <si>
    <t>O1234</t>
  </si>
  <si>
    <t>C373</t>
  </si>
  <si>
    <t>P1928</t>
  </si>
  <si>
    <t>HRX Man Personal</t>
  </si>
  <si>
    <t>O1235</t>
  </si>
  <si>
    <t>P6415</t>
  </si>
  <si>
    <t>Anouk Near Stay</t>
  </si>
  <si>
    <t>O1236</t>
  </si>
  <si>
    <t>C282</t>
  </si>
  <si>
    <t>P6911</t>
  </si>
  <si>
    <t>DressBerry Past Spend</t>
  </si>
  <si>
    <t>O1237</t>
  </si>
  <si>
    <t>C309</t>
  </si>
  <si>
    <t>P9977</t>
  </si>
  <si>
    <t>HRX These Consumer</t>
  </si>
  <si>
    <t>O1238</t>
  </si>
  <si>
    <t>C482</t>
  </si>
  <si>
    <t>P8802</t>
  </si>
  <si>
    <t>Roadster President Turn</t>
  </si>
  <si>
    <t>O1239</t>
  </si>
  <si>
    <t>C422</t>
  </si>
  <si>
    <t>P2413</t>
  </si>
  <si>
    <t>Roadster Small Audience</t>
  </si>
  <si>
    <t>O1240</t>
  </si>
  <si>
    <t>P1568</t>
  </si>
  <si>
    <t>Mast &amp; Harbour Ready Discussion</t>
  </si>
  <si>
    <t>O1241</t>
  </si>
  <si>
    <t>C343</t>
  </si>
  <si>
    <t>P1664</t>
  </si>
  <si>
    <t>Roadster Author Someone</t>
  </si>
  <si>
    <t>O1242</t>
  </si>
  <si>
    <t>P1748</t>
  </si>
  <si>
    <t>Roadster Society While</t>
  </si>
  <si>
    <t>O1243</t>
  </si>
  <si>
    <t>C584</t>
  </si>
  <si>
    <t>P4477</t>
  </si>
  <si>
    <t>DressBerry Into Should</t>
  </si>
  <si>
    <t>O1244</t>
  </si>
  <si>
    <t>C310</t>
  </si>
  <si>
    <t>P2557</t>
  </si>
  <si>
    <t>DressBerry Event Toward</t>
  </si>
  <si>
    <t>O1245</t>
  </si>
  <si>
    <t>P6322</t>
  </si>
  <si>
    <t>Roadster Certainly Mind</t>
  </si>
  <si>
    <t>O1246</t>
  </si>
  <si>
    <t>C306</t>
  </si>
  <si>
    <t>P5238</t>
  </si>
  <si>
    <t>Roadster Food Life</t>
  </si>
  <si>
    <t>O1247</t>
  </si>
  <si>
    <t>C459</t>
  </si>
  <si>
    <t>P9162</t>
  </si>
  <si>
    <t>Mast &amp; Harbour Suddenly Mind</t>
  </si>
  <si>
    <t>O1248</t>
  </si>
  <si>
    <t>C349</t>
  </si>
  <si>
    <t>P6525</t>
  </si>
  <si>
    <t>Roadster Wide Those</t>
  </si>
  <si>
    <t>O1249</t>
  </si>
  <si>
    <t>C218</t>
  </si>
  <si>
    <t>P8391</t>
  </si>
  <si>
    <t>DressBerry Despite System</t>
  </si>
  <si>
    <t>O1250</t>
  </si>
  <si>
    <t>C558</t>
  </si>
  <si>
    <t>P9116</t>
  </si>
  <si>
    <t>DressBerry Child Key</t>
  </si>
  <si>
    <t>O1251</t>
  </si>
  <si>
    <t>C570</t>
  </si>
  <si>
    <t>P5011</t>
  </si>
  <si>
    <t>HRX Sort Alone</t>
  </si>
  <si>
    <t>O1252</t>
  </si>
  <si>
    <t>C230</t>
  </si>
  <si>
    <t>P1316</t>
  </si>
  <si>
    <t>HRX Group Mind</t>
  </si>
  <si>
    <t>O1253</t>
  </si>
  <si>
    <t>C507</t>
  </si>
  <si>
    <t>P1997</t>
  </si>
  <si>
    <t>WROGN Hope Suffer</t>
  </si>
  <si>
    <t>O1254</t>
  </si>
  <si>
    <t>C698</t>
  </si>
  <si>
    <t>P2763</t>
  </si>
  <si>
    <t>Roadster Coach Join</t>
  </si>
  <si>
    <t>O1255</t>
  </si>
  <si>
    <t>C673</t>
  </si>
  <si>
    <t>P4250</t>
  </si>
  <si>
    <t>HRX Picture Charge</t>
  </si>
  <si>
    <t>O1256</t>
  </si>
  <si>
    <t>C392</t>
  </si>
  <si>
    <t>P7115</t>
  </si>
  <si>
    <t>HRX Modern Area</t>
  </si>
  <si>
    <t>O1257</t>
  </si>
  <si>
    <t>C448</t>
  </si>
  <si>
    <t>P6753</t>
  </si>
  <si>
    <t>Roadster Hard Very</t>
  </si>
  <si>
    <t>O1258</t>
  </si>
  <si>
    <t>P8510</t>
  </si>
  <si>
    <t>DressBerry Beyond Store</t>
  </si>
  <si>
    <t>O1259</t>
  </si>
  <si>
    <t>C469</t>
  </si>
  <si>
    <t>P5280</t>
  </si>
  <si>
    <t>Anouk Near Officer</t>
  </si>
  <si>
    <t>O1260</t>
  </si>
  <si>
    <t>C429</t>
  </si>
  <si>
    <t>P3719</t>
  </si>
  <si>
    <t>Mast &amp; Harbour Local Matter</t>
  </si>
  <si>
    <t>O1261</t>
  </si>
  <si>
    <t>C694</t>
  </si>
  <si>
    <t>P3181</t>
  </si>
  <si>
    <t>HRX Too Woman</t>
  </si>
  <si>
    <t>O1262</t>
  </si>
  <si>
    <t>C505</t>
  </si>
  <si>
    <t>P2292</t>
  </si>
  <si>
    <t>WROGN College Learn</t>
  </si>
  <si>
    <t>O1263</t>
  </si>
  <si>
    <t>P4124</t>
  </si>
  <si>
    <t>Roadster Enjoy Attention</t>
  </si>
  <si>
    <t>O1264</t>
  </si>
  <si>
    <t>P2966</t>
  </si>
  <si>
    <t>DressBerry Take Free</t>
  </si>
  <si>
    <t>O1265</t>
  </si>
  <si>
    <t>C439</t>
  </si>
  <si>
    <t>P6085</t>
  </si>
  <si>
    <t>Roadster Challenge Garden</t>
  </si>
  <si>
    <t>O1266</t>
  </si>
  <si>
    <t>P3892</t>
  </si>
  <si>
    <t>Anouk Citizen Reduce</t>
  </si>
  <si>
    <t>O1267</t>
  </si>
  <si>
    <t>C319</t>
  </si>
  <si>
    <t>P8661</t>
  </si>
  <si>
    <t>Mast &amp; Harbour Member Goal</t>
  </si>
  <si>
    <t>O1268</t>
  </si>
  <si>
    <t>C293</t>
  </si>
  <si>
    <t>P1879</t>
  </si>
  <si>
    <t>HRX Bag Customer</t>
  </si>
  <si>
    <t>O1269</t>
  </si>
  <si>
    <t>P5054</t>
  </si>
  <si>
    <t>DressBerry Outside Drug</t>
  </si>
  <si>
    <t>O1270</t>
  </si>
  <si>
    <t>C424</t>
  </si>
  <si>
    <t>P8899</t>
  </si>
  <si>
    <t>WROGN Sea Amount</t>
  </si>
  <si>
    <t>O1271</t>
  </si>
  <si>
    <t>P1262</t>
  </si>
  <si>
    <t>Roadster Talk Put</t>
  </si>
  <si>
    <t>O1272</t>
  </si>
  <si>
    <t>C426</t>
  </si>
  <si>
    <t>P3455</t>
  </si>
  <si>
    <t>Anouk View Study</t>
  </si>
  <si>
    <t>O1273</t>
  </si>
  <si>
    <t>P6909</t>
  </si>
  <si>
    <t>DressBerry Baby Sort</t>
  </si>
  <si>
    <t>O1274</t>
  </si>
  <si>
    <t>P4304</t>
  </si>
  <si>
    <t>DressBerry Party Office</t>
  </si>
  <si>
    <t>O1275</t>
  </si>
  <si>
    <t>P3376</t>
  </si>
  <si>
    <t>Roadster Entire Its</t>
  </si>
  <si>
    <t>O1276</t>
  </si>
  <si>
    <t>P9099</t>
  </si>
  <si>
    <t>Anouk Who Pretty</t>
  </si>
  <si>
    <t>O1277</t>
  </si>
  <si>
    <t>C492</t>
  </si>
  <si>
    <t>P8284</t>
  </si>
  <si>
    <t>HRX Late Role</t>
  </si>
  <si>
    <t>O1278</t>
  </si>
  <si>
    <t>C326</t>
  </si>
  <si>
    <t>P7097</t>
  </si>
  <si>
    <t>HRX Worry North</t>
  </si>
  <si>
    <t>O1279</t>
  </si>
  <si>
    <t>C577</t>
  </si>
  <si>
    <t>P4973</t>
  </si>
  <si>
    <t>DressBerry Operation Something</t>
  </si>
  <si>
    <t>O1280</t>
  </si>
  <si>
    <t>P6338</t>
  </si>
  <si>
    <t>DressBerry Rich Image</t>
  </si>
  <si>
    <t>O1281</t>
  </si>
  <si>
    <t>C290</t>
  </si>
  <si>
    <t>P9938</t>
  </si>
  <si>
    <t>WROGN Form Live</t>
  </si>
  <si>
    <t>O1282</t>
  </si>
  <si>
    <t>C661</t>
  </si>
  <si>
    <t>P3561</t>
  </si>
  <si>
    <t>DressBerry Opportunity Kitchen</t>
  </si>
  <si>
    <t>O1283</t>
  </si>
  <si>
    <t>P1042</t>
  </si>
  <si>
    <t>WROGN Cup Leader</t>
  </si>
  <si>
    <t>O1284</t>
  </si>
  <si>
    <t>P6419</t>
  </si>
  <si>
    <t>Roadster I Short</t>
  </si>
  <si>
    <t>O1285</t>
  </si>
  <si>
    <t>C434</t>
  </si>
  <si>
    <t>P5949</t>
  </si>
  <si>
    <t>Mast &amp; Harbour Better Send</t>
  </si>
  <si>
    <t>O1286</t>
  </si>
  <si>
    <t>C481</t>
  </si>
  <si>
    <t>P2752</t>
  </si>
  <si>
    <t>Roadster Really Senior</t>
  </si>
  <si>
    <t>O1287</t>
  </si>
  <si>
    <t>C559</t>
  </si>
  <si>
    <t>HRX Stay Character</t>
  </si>
  <si>
    <t>O1288</t>
  </si>
  <si>
    <t>P9745</t>
  </si>
  <si>
    <t>HRX Team Page</t>
  </si>
  <si>
    <t>O1289</t>
  </si>
  <si>
    <t>C203</t>
  </si>
  <si>
    <t>P2801</t>
  </si>
  <si>
    <t>Roadster Determine Myself</t>
  </si>
  <si>
    <t>O1290</t>
  </si>
  <si>
    <t>P1284</t>
  </si>
  <si>
    <t>HRX Could Plan</t>
  </si>
  <si>
    <t>O1291</t>
  </si>
  <si>
    <t>C268</t>
  </si>
  <si>
    <t>P9883</t>
  </si>
  <si>
    <t>HRX Describe Seat</t>
  </si>
  <si>
    <t>O1292</t>
  </si>
  <si>
    <t>P6390</t>
  </si>
  <si>
    <t>Anouk Audience Network</t>
  </si>
  <si>
    <t>O1293</t>
  </si>
  <si>
    <t>P6205</t>
  </si>
  <si>
    <t>DressBerry Bag Three</t>
  </si>
  <si>
    <t>O1294</t>
  </si>
  <si>
    <t>C318</t>
  </si>
  <si>
    <t>P6522</t>
  </si>
  <si>
    <t>Anouk Support Miss</t>
  </si>
  <si>
    <t>O1295</t>
  </si>
  <si>
    <t>P1905</t>
  </si>
  <si>
    <t>DressBerry For Song</t>
  </si>
  <si>
    <t>O1296</t>
  </si>
  <si>
    <t>C257</t>
  </si>
  <si>
    <t>P1594</t>
  </si>
  <si>
    <t>DressBerry Party Plant</t>
  </si>
  <si>
    <t>O1297</t>
  </si>
  <si>
    <t>P3157</t>
  </si>
  <si>
    <t>Roadster Time Be</t>
  </si>
  <si>
    <t>O1298</t>
  </si>
  <si>
    <t>C246</t>
  </si>
  <si>
    <t>P1245</t>
  </si>
  <si>
    <t>WROGN Like Sister</t>
  </si>
  <si>
    <t>O1299</t>
  </si>
  <si>
    <t>P7674</t>
  </si>
  <si>
    <t>WROGN Religious From</t>
  </si>
  <si>
    <t>O1300</t>
  </si>
  <si>
    <t>P5436</t>
  </si>
  <si>
    <t>DressBerry Office Scientist</t>
  </si>
  <si>
    <t>O1301</t>
  </si>
  <si>
    <t>C557</t>
  </si>
  <si>
    <t>P6725</t>
  </si>
  <si>
    <t>Roadster Or Lose</t>
  </si>
  <si>
    <t>O1302</t>
  </si>
  <si>
    <t>P4780</t>
  </si>
  <si>
    <t>HRX House Might</t>
  </si>
  <si>
    <t>O1303</t>
  </si>
  <si>
    <t>C206</t>
  </si>
  <si>
    <t>P8872</t>
  </si>
  <si>
    <t>DressBerry Open Step</t>
  </si>
  <si>
    <t>O1304</t>
  </si>
  <si>
    <t>C585</t>
  </si>
  <si>
    <t>P8681</t>
  </si>
  <si>
    <t>HRX Beat Little</t>
  </si>
  <si>
    <t>O1305</t>
  </si>
  <si>
    <t>P7752</t>
  </si>
  <si>
    <t>Anouk Agent Professor</t>
  </si>
  <si>
    <t>O1306</t>
  </si>
  <si>
    <t>DressBerry Least Out</t>
  </si>
  <si>
    <t>O1307</t>
  </si>
  <si>
    <t>C261</t>
  </si>
  <si>
    <t>P2205</t>
  </si>
  <si>
    <t>Roadster Federal Lay</t>
  </si>
  <si>
    <t>O1308</t>
  </si>
  <si>
    <t>C298</t>
  </si>
  <si>
    <t>P1823</t>
  </si>
  <si>
    <t>DressBerry Level Get</t>
  </si>
  <si>
    <t>O1309</t>
  </si>
  <si>
    <t>C592</t>
  </si>
  <si>
    <t>P7916</t>
  </si>
  <si>
    <t>HRX Skill Challenge</t>
  </si>
  <si>
    <t>O1310</t>
  </si>
  <si>
    <t>P8062</t>
  </si>
  <si>
    <t>Roadster Plant Chair</t>
  </si>
  <si>
    <t>O1311</t>
  </si>
  <si>
    <t>P8397</t>
  </si>
  <si>
    <t>Roadster Arrive As</t>
  </si>
  <si>
    <t>O1312</t>
  </si>
  <si>
    <t>C372</t>
  </si>
  <si>
    <t>P3685</t>
  </si>
  <si>
    <t>DressBerry Street Growth</t>
  </si>
  <si>
    <t>O1313</t>
  </si>
  <si>
    <t>C380</t>
  </si>
  <si>
    <t>P8583</t>
  </si>
  <si>
    <t>HRX Recognize That</t>
  </si>
  <si>
    <t>O1314</t>
  </si>
  <si>
    <t>P2624</t>
  </si>
  <si>
    <t>Anouk Main Congress</t>
  </si>
  <si>
    <t>O1315</t>
  </si>
  <si>
    <t>C532</t>
  </si>
  <si>
    <t>P6308</t>
  </si>
  <si>
    <t>Roadster Town Lead</t>
  </si>
  <si>
    <t>O1316</t>
  </si>
  <si>
    <t>C525</t>
  </si>
  <si>
    <t>P7195</t>
  </si>
  <si>
    <t>DressBerry Alone She</t>
  </si>
  <si>
    <t>O1317</t>
  </si>
  <si>
    <t>C628</t>
  </si>
  <si>
    <t>P4503</t>
  </si>
  <si>
    <t>HRX Network Light</t>
  </si>
  <si>
    <t>O1318</t>
  </si>
  <si>
    <t>C676</t>
  </si>
  <si>
    <t>P9696</t>
  </si>
  <si>
    <t>Roadster Factor Serve</t>
  </si>
  <si>
    <t>O1319</t>
  </si>
  <si>
    <t>P6484</t>
  </si>
  <si>
    <t>HRX Chance Role</t>
  </si>
  <si>
    <t>O1320</t>
  </si>
  <si>
    <t>C569</t>
  </si>
  <si>
    <t>P4037</t>
  </si>
  <si>
    <t>Roadster Start Minute</t>
  </si>
  <si>
    <t>O1321</t>
  </si>
  <si>
    <t>C432</t>
  </si>
  <si>
    <t>P5218</t>
  </si>
  <si>
    <t>HRX Star Myself</t>
  </si>
  <si>
    <t>O1322</t>
  </si>
  <si>
    <t>C335</t>
  </si>
  <si>
    <t>P1346</t>
  </si>
  <si>
    <t>DressBerry Wonder Action</t>
  </si>
  <si>
    <t>O1323</t>
  </si>
  <si>
    <t>P9133</t>
  </si>
  <si>
    <t>HRX Garden House</t>
  </si>
  <si>
    <t>O1324</t>
  </si>
  <si>
    <t>P6242</t>
  </si>
  <si>
    <t>DressBerry Son Side</t>
  </si>
  <si>
    <t>O1325</t>
  </si>
  <si>
    <t>P9942</t>
  </si>
  <si>
    <t>DressBerry How Purpose</t>
  </si>
  <si>
    <t>O1326</t>
  </si>
  <si>
    <t>C420</t>
  </si>
  <si>
    <t>P3302</t>
  </si>
  <si>
    <t>Anouk Modern Fact</t>
  </si>
  <si>
    <t>O1327</t>
  </si>
  <si>
    <t>P9048</t>
  </si>
  <si>
    <t>Mast &amp; Harbour Computer Second</t>
  </si>
  <si>
    <t>O1328</t>
  </si>
  <si>
    <t>P5942</t>
  </si>
  <si>
    <t>HRX Radio Security</t>
  </si>
  <si>
    <t>O1329</t>
  </si>
  <si>
    <t>P1051</t>
  </si>
  <si>
    <t>DressBerry Thank Court</t>
  </si>
  <si>
    <t>O1330</t>
  </si>
  <si>
    <t>C356</t>
  </si>
  <si>
    <t>P4636</t>
  </si>
  <si>
    <t>DressBerry Laugh Design</t>
  </si>
  <si>
    <t>O1331</t>
  </si>
  <si>
    <t>P2746</t>
  </si>
  <si>
    <t>DressBerry Always Myself</t>
  </si>
  <si>
    <t>O1332</t>
  </si>
  <si>
    <t>C321</t>
  </si>
  <si>
    <t>P8003</t>
  </si>
  <si>
    <t>DressBerry View Sit</t>
  </si>
  <si>
    <t>O1333</t>
  </si>
  <si>
    <t>P5507</t>
  </si>
  <si>
    <t>Roadster View Environment</t>
  </si>
  <si>
    <t>O1334</t>
  </si>
  <si>
    <t>C452</t>
  </si>
  <si>
    <t>P1018</t>
  </si>
  <si>
    <t>HRX Democratic Item</t>
  </si>
  <si>
    <t>O1335</t>
  </si>
  <si>
    <t>C348</t>
  </si>
  <si>
    <t>P2396</t>
  </si>
  <si>
    <t>Roadster Issue Early</t>
  </si>
  <si>
    <t>O1336</t>
  </si>
  <si>
    <t>P4164</t>
  </si>
  <si>
    <t>Roadster Major Where</t>
  </si>
  <si>
    <t>O1337</t>
  </si>
  <si>
    <t>P8022</t>
  </si>
  <si>
    <t>WROGN Image Another</t>
  </si>
  <si>
    <t>O1338</t>
  </si>
  <si>
    <t>P7791</t>
  </si>
  <si>
    <t>DressBerry Person Action</t>
  </si>
  <si>
    <t>O1339</t>
  </si>
  <si>
    <t>P1532</t>
  </si>
  <si>
    <t>Mast &amp; Harbour Government Stock</t>
  </si>
  <si>
    <t>O1340</t>
  </si>
  <si>
    <t>C333</t>
  </si>
  <si>
    <t>P2784</t>
  </si>
  <si>
    <t>HRX School Wind</t>
  </si>
  <si>
    <t>O1341</t>
  </si>
  <si>
    <t>P8940</t>
  </si>
  <si>
    <t>Anouk Week Agency</t>
  </si>
  <si>
    <t>O1342</t>
  </si>
  <si>
    <t>C574</t>
  </si>
  <si>
    <t>P9457</t>
  </si>
  <si>
    <t>WROGN Fine Pressure</t>
  </si>
  <si>
    <t>O1343</t>
  </si>
  <si>
    <t>C212</t>
  </si>
  <si>
    <t>P1604</t>
  </si>
  <si>
    <t>HRX Try Remember</t>
  </si>
  <si>
    <t>O1344</t>
  </si>
  <si>
    <t>C340</t>
  </si>
  <si>
    <t>P9129</t>
  </si>
  <si>
    <t>HRX Health Street</t>
  </si>
  <si>
    <t>O1345</t>
  </si>
  <si>
    <t>P1937</t>
  </si>
  <si>
    <t>WROGN Million Discover</t>
  </si>
  <si>
    <t>O1346</t>
  </si>
  <si>
    <t>C552</t>
  </si>
  <si>
    <t>P9966</t>
  </si>
  <si>
    <t>Mast &amp; Harbour Success National</t>
  </si>
  <si>
    <t>O1347</t>
  </si>
  <si>
    <t>C359</t>
  </si>
  <si>
    <t>P7051</t>
  </si>
  <si>
    <t>DressBerry Economy Us</t>
  </si>
  <si>
    <t>O1348</t>
  </si>
  <si>
    <t>P5683</t>
  </si>
  <si>
    <t>Roadster Final Crime</t>
  </si>
  <si>
    <t>O1349</t>
  </si>
  <si>
    <t>C531</t>
  </si>
  <si>
    <t>P5171</t>
  </si>
  <si>
    <t>Mast &amp; Harbour Half Although</t>
  </si>
  <si>
    <t>O1350</t>
  </si>
  <si>
    <t>C292</t>
  </si>
  <si>
    <t>P6591</t>
  </si>
  <si>
    <t>Roadster Do Soldier</t>
  </si>
  <si>
    <t>O1351</t>
  </si>
  <si>
    <t>P5760</t>
  </si>
  <si>
    <t>HRX Identify Million</t>
  </si>
  <si>
    <t>O1352</t>
  </si>
  <si>
    <t>C599</t>
  </si>
  <si>
    <t>P3292</t>
  </si>
  <si>
    <t>Mast &amp; Harbour Home Decide</t>
  </si>
  <si>
    <t>O1353</t>
  </si>
  <si>
    <t>P2935</t>
  </si>
  <si>
    <t>DressBerry Sure Exactly</t>
  </si>
  <si>
    <t>O1354</t>
  </si>
  <si>
    <t>P5801</t>
  </si>
  <si>
    <t>Anouk Because Dinner</t>
  </si>
  <si>
    <t>O1355</t>
  </si>
  <si>
    <t>P4303</t>
  </si>
  <si>
    <t>HRX Personal Effort</t>
  </si>
  <si>
    <t>O1356</t>
  </si>
  <si>
    <t>C328</t>
  </si>
  <si>
    <t>Anouk Every Goal</t>
  </si>
  <si>
    <t>O1357</t>
  </si>
  <si>
    <t>C316</t>
  </si>
  <si>
    <t>P6482</t>
  </si>
  <si>
    <t>WROGN Partner Should</t>
  </si>
  <si>
    <t>O1358</t>
  </si>
  <si>
    <t>P4331</t>
  </si>
  <si>
    <t>Mast &amp; Harbour Beyond Me</t>
  </si>
  <si>
    <t>O1359</t>
  </si>
  <si>
    <t>P7726</t>
  </si>
  <si>
    <t>WROGN Middle Project</t>
  </si>
  <si>
    <t>O1360</t>
  </si>
  <si>
    <t>P5184</t>
  </si>
  <si>
    <t>Roadster List Environment</t>
  </si>
  <si>
    <t>O1361</t>
  </si>
  <si>
    <t>C296</t>
  </si>
  <si>
    <t>P2998</t>
  </si>
  <si>
    <t>Mast &amp; Harbour Want Work</t>
  </si>
  <si>
    <t>O1362</t>
  </si>
  <si>
    <t>P3473</t>
  </si>
  <si>
    <t>DressBerry Himself Within</t>
  </si>
  <si>
    <t>O1363</t>
  </si>
  <si>
    <t>C654</t>
  </si>
  <si>
    <t>P5045</t>
  </si>
  <si>
    <t>Roadster Effort Whole</t>
  </si>
  <si>
    <t>O1364</t>
  </si>
  <si>
    <t>P2740</t>
  </si>
  <si>
    <t>DressBerry Paper Similar</t>
  </si>
  <si>
    <t>O1365</t>
  </si>
  <si>
    <t>C621</t>
  </si>
  <si>
    <t>P1288</t>
  </si>
  <si>
    <t>Mast &amp; Harbour List Hear</t>
  </si>
  <si>
    <t>O1366</t>
  </si>
  <si>
    <t>P5406</t>
  </si>
  <si>
    <t>Roadster Environmental Open</t>
  </si>
  <si>
    <t>O1367</t>
  </si>
  <si>
    <t>DressBerry Quality Dark</t>
  </si>
  <si>
    <t>O1368</t>
  </si>
  <si>
    <t>P4601</t>
  </si>
  <si>
    <t>Roadster Type Notice</t>
  </si>
  <si>
    <t>O1369</t>
  </si>
  <si>
    <t>P1254</t>
  </si>
  <si>
    <t>Roadster City Much</t>
  </si>
  <si>
    <t>O1370</t>
  </si>
  <si>
    <t>P9522</t>
  </si>
  <si>
    <t>DressBerry Form Meeting</t>
  </si>
  <si>
    <t>O1371</t>
  </si>
  <si>
    <t>P2386</t>
  </si>
  <si>
    <t>HRX Save Use</t>
  </si>
  <si>
    <t>O1372</t>
  </si>
  <si>
    <t>C657</t>
  </si>
  <si>
    <t>Roadster Out National</t>
  </si>
  <si>
    <t>O1373</t>
  </si>
  <si>
    <t>P2588</t>
  </si>
  <si>
    <t>Roadster Street Anyone</t>
  </si>
  <si>
    <t>O1374</t>
  </si>
  <si>
    <t>P2237</t>
  </si>
  <si>
    <t>DressBerry Mean Onto</t>
  </si>
  <si>
    <t>O1375</t>
  </si>
  <si>
    <t>C553</t>
  </si>
  <si>
    <t>P2482</t>
  </si>
  <si>
    <t>Anouk During For</t>
  </si>
  <si>
    <t>O1376</t>
  </si>
  <si>
    <t>P2751</t>
  </si>
  <si>
    <t>HRX Various Four</t>
  </si>
  <si>
    <t>O1377</t>
  </si>
  <si>
    <t>P2006</t>
  </si>
  <si>
    <t>Roadster Charge East</t>
  </si>
  <si>
    <t>O1378</t>
  </si>
  <si>
    <t>C332</t>
  </si>
  <si>
    <t>P3290</t>
  </si>
  <si>
    <t>DressBerry Guess Before</t>
  </si>
  <si>
    <t>O1379</t>
  </si>
  <si>
    <t>C539</t>
  </si>
  <si>
    <t>P3052</t>
  </si>
  <si>
    <t>DressBerry Imagine Interview</t>
  </si>
  <si>
    <t>O1380</t>
  </si>
  <si>
    <t>C475</t>
  </si>
  <si>
    <t>P6287</t>
  </si>
  <si>
    <t>Roadster Least Also</t>
  </si>
  <si>
    <t>O1381</t>
  </si>
  <si>
    <t>C511</t>
  </si>
  <si>
    <t>P8081</t>
  </si>
  <si>
    <t>Roadster Wear Make</t>
  </si>
  <si>
    <t>O1382</t>
  </si>
  <si>
    <t>C421</t>
  </si>
  <si>
    <t>P7632</t>
  </si>
  <si>
    <t>Roadster Police Help</t>
  </si>
  <si>
    <t>O1383</t>
  </si>
  <si>
    <t>P7220</t>
  </si>
  <si>
    <t>Mast &amp; Harbour Star Store</t>
  </si>
  <si>
    <t>O1384</t>
  </si>
  <si>
    <t>C617</t>
  </si>
  <si>
    <t>P2628</t>
  </si>
  <si>
    <t>Roadster Position Great</t>
  </si>
  <si>
    <t>O1385</t>
  </si>
  <si>
    <t>C336</t>
  </si>
  <si>
    <t>P7039</t>
  </si>
  <si>
    <t>DressBerry Develop Capital</t>
  </si>
  <si>
    <t>O1386</t>
  </si>
  <si>
    <t>P1274</t>
  </si>
  <si>
    <t>Roadster Occur Interview</t>
  </si>
  <si>
    <t>O1387</t>
  </si>
  <si>
    <t>P1332</t>
  </si>
  <si>
    <t>DressBerry Behavior Relate</t>
  </si>
  <si>
    <t>O1388</t>
  </si>
  <si>
    <t>C454</t>
  </si>
  <si>
    <t>Roadster Threat It</t>
  </si>
  <si>
    <t>O1389</t>
  </si>
  <si>
    <t>P7727</t>
  </si>
  <si>
    <t>Anouk Under Such</t>
  </si>
  <si>
    <t>O1390</t>
  </si>
  <si>
    <t>P1012</t>
  </si>
  <si>
    <t>DressBerry Subject Him</t>
  </si>
  <si>
    <t>O1391</t>
  </si>
  <si>
    <t>C510</t>
  </si>
  <si>
    <t>Anouk Imagine Day</t>
  </si>
  <si>
    <t>O1392</t>
  </si>
  <si>
    <t>P7775</t>
  </si>
  <si>
    <t>Anouk Will International</t>
  </si>
  <si>
    <t>O1393</t>
  </si>
  <si>
    <t>C493</t>
  </si>
  <si>
    <t>DressBerry Realize Phone</t>
  </si>
  <si>
    <t>O1394</t>
  </si>
  <si>
    <t>C528</t>
  </si>
  <si>
    <t>P7995</t>
  </si>
  <si>
    <t>DressBerry Treatment Mean</t>
  </si>
  <si>
    <t>O1395</t>
  </si>
  <si>
    <t>C220</t>
  </si>
  <si>
    <t>P1125</t>
  </si>
  <si>
    <t>Roadster Difference He</t>
  </si>
  <si>
    <t>O1396</t>
  </si>
  <si>
    <t>P9781</t>
  </si>
  <si>
    <t>HRX Operation Tv</t>
  </si>
  <si>
    <t>O1397</t>
  </si>
  <si>
    <t>C228</t>
  </si>
  <si>
    <t>P6134</t>
  </si>
  <si>
    <t>Mast &amp; Harbour Deep Choice</t>
  </si>
  <si>
    <t>O1398</t>
  </si>
  <si>
    <t>C240</t>
  </si>
  <si>
    <t>P3271</t>
  </si>
  <si>
    <t>HRX Law Truth</t>
  </si>
  <si>
    <t>O1399</t>
  </si>
  <si>
    <t>C259</t>
  </si>
  <si>
    <t>P1486</t>
  </si>
  <si>
    <t>WROGN Worry War</t>
  </si>
  <si>
    <t>O1400</t>
  </si>
  <si>
    <t>C537</t>
  </si>
  <si>
    <t>P8442</t>
  </si>
  <si>
    <t>Mast &amp; Harbour Yourself End</t>
  </si>
  <si>
    <t>O1401</t>
  </si>
  <si>
    <t>P2598</t>
  </si>
  <si>
    <t>HRX Sure Wear</t>
  </si>
  <si>
    <t>O1402</t>
  </si>
  <si>
    <t>C305</t>
  </si>
  <si>
    <t>P2207</t>
  </si>
  <si>
    <t>DressBerry Color Spring</t>
  </si>
  <si>
    <t>O1403</t>
  </si>
  <si>
    <t>C444</t>
  </si>
  <si>
    <t>P2608</t>
  </si>
  <si>
    <t>Roadster Involve Hot</t>
  </si>
  <si>
    <t>O1404</t>
  </si>
  <si>
    <t>P6437</t>
  </si>
  <si>
    <t>Roadster Allow Stuff</t>
  </si>
  <si>
    <t>O1405</t>
  </si>
  <si>
    <t>P4419</t>
  </si>
  <si>
    <t>WROGN Sort Discover</t>
  </si>
  <si>
    <t>O1406</t>
  </si>
  <si>
    <t>P4843</t>
  </si>
  <si>
    <t>Roadster Example Model</t>
  </si>
  <si>
    <t>O1407</t>
  </si>
  <si>
    <t>P1396</t>
  </si>
  <si>
    <t>DressBerry Hundred Energy</t>
  </si>
  <si>
    <t>O1408</t>
  </si>
  <si>
    <t>P2392</t>
  </si>
  <si>
    <t>Roadster Firm Line</t>
  </si>
  <si>
    <t>O1409</t>
  </si>
  <si>
    <t>P3606</t>
  </si>
  <si>
    <t>HRX National Whose</t>
  </si>
  <si>
    <t>O1410</t>
  </si>
  <si>
    <t>P6267</t>
  </si>
  <si>
    <t>Roadster Bank Admit</t>
  </si>
  <si>
    <t>O1411</t>
  </si>
  <si>
    <t>P5470</t>
  </si>
  <si>
    <t>Roadster Early Professor</t>
  </si>
  <si>
    <t>O1412</t>
  </si>
  <si>
    <t>C201</t>
  </si>
  <si>
    <t>P1411</t>
  </si>
  <si>
    <t>Roadster Arm Check</t>
  </si>
  <si>
    <t>O1413</t>
  </si>
  <si>
    <t>C509</t>
  </si>
  <si>
    <t>P6465</t>
  </si>
  <si>
    <t>DressBerry Task Common</t>
  </si>
  <si>
    <t>O1414</t>
  </si>
  <si>
    <t>P9950</t>
  </si>
  <si>
    <t>WROGN Represent Return</t>
  </si>
  <si>
    <t>O1415</t>
  </si>
  <si>
    <t>P9252</t>
  </si>
  <si>
    <t>Roadster Forget Issue</t>
  </si>
  <si>
    <t>O1416</t>
  </si>
  <si>
    <t>C515</t>
  </si>
  <si>
    <t>P6069</t>
  </si>
  <si>
    <t>HRX Find Worry</t>
  </si>
  <si>
    <t>O1417</t>
  </si>
  <si>
    <t>P7935</t>
  </si>
  <si>
    <t>DressBerry Word I</t>
  </si>
  <si>
    <t>O1418</t>
  </si>
  <si>
    <t>C435</t>
  </si>
  <si>
    <t>P7059</t>
  </si>
  <si>
    <t>Anouk From Decade</t>
  </si>
  <si>
    <t>O1419</t>
  </si>
  <si>
    <t>P6709</t>
  </si>
  <si>
    <t>DressBerry Like Provide</t>
  </si>
  <si>
    <t>O1420</t>
  </si>
  <si>
    <t>C405</t>
  </si>
  <si>
    <t>P7731</t>
  </si>
  <si>
    <t>Roadster Across Fund</t>
  </si>
  <si>
    <t>O1421</t>
  </si>
  <si>
    <t>P6353</t>
  </si>
  <si>
    <t>HRX Again Foot</t>
  </si>
  <si>
    <t>O1422</t>
  </si>
  <si>
    <t>C341</t>
  </si>
  <si>
    <t>P1840</t>
  </si>
  <si>
    <t>HRX Case Road</t>
  </si>
  <si>
    <t>O1423</t>
  </si>
  <si>
    <t>P7634</t>
  </si>
  <si>
    <t>HRX Team Quite</t>
  </si>
  <si>
    <t>O1424</t>
  </si>
  <si>
    <t>P5886</t>
  </si>
  <si>
    <t>HRX Rule Entire</t>
  </si>
  <si>
    <t>O1425</t>
  </si>
  <si>
    <t>P4952</t>
  </si>
  <si>
    <t>WROGN Among Dinner</t>
  </si>
  <si>
    <t>O1426</t>
  </si>
  <si>
    <t>P9371</t>
  </si>
  <si>
    <t>Roadster Indicate Voice</t>
  </si>
  <si>
    <t>O1427</t>
  </si>
  <si>
    <t>P2394</t>
  </si>
  <si>
    <t>Anouk Later Collection</t>
  </si>
  <si>
    <t>O1428</t>
  </si>
  <si>
    <t>P4329</t>
  </si>
  <si>
    <t>DressBerry Ever Usually</t>
  </si>
  <si>
    <t>O1429</t>
  </si>
  <si>
    <t>P2702</t>
  </si>
  <si>
    <t>WROGN Weight Financial</t>
  </si>
  <si>
    <t>O1430</t>
  </si>
  <si>
    <t>P8984</t>
  </si>
  <si>
    <t>Roadster Young Raise</t>
  </si>
  <si>
    <t>O1431</t>
  </si>
  <si>
    <t>P3944</t>
  </si>
  <si>
    <t>Roadster Growth World</t>
  </si>
  <si>
    <t>O1432</t>
  </si>
  <si>
    <t>C440</t>
  </si>
  <si>
    <t>P7140</t>
  </si>
  <si>
    <t>DressBerry Us Up</t>
  </si>
  <si>
    <t>O1433</t>
  </si>
  <si>
    <t>P5766</t>
  </si>
  <si>
    <t>DressBerry Inside Sea</t>
  </si>
  <si>
    <t>O1434</t>
  </si>
  <si>
    <t>C665</t>
  </si>
  <si>
    <t>P9290</t>
  </si>
  <si>
    <t>HRX Society Mother</t>
  </si>
  <si>
    <t>O1435</t>
  </si>
  <si>
    <t>P7424</t>
  </si>
  <si>
    <t>HRX Feel Million</t>
  </si>
  <si>
    <t>O1436</t>
  </si>
  <si>
    <t>C476</t>
  </si>
  <si>
    <t>P1701</t>
  </si>
  <si>
    <t>Roadster Single Time</t>
  </si>
  <si>
    <t>O1437</t>
  </si>
  <si>
    <t>P2553</t>
  </si>
  <si>
    <t>Mast &amp; Harbour Interview Into</t>
  </si>
  <si>
    <t>O1438</t>
  </si>
  <si>
    <t>P8169</t>
  </si>
  <si>
    <t>HRX Gun Fight</t>
  </si>
  <si>
    <t>O1439</t>
  </si>
  <si>
    <t>P5770</t>
  </si>
  <si>
    <t>Roadster Manager Bit</t>
  </si>
  <si>
    <t>O1440</t>
  </si>
  <si>
    <t>P8155</t>
  </si>
  <si>
    <t>Anouk Several Oil</t>
  </si>
  <si>
    <t>O1441</t>
  </si>
  <si>
    <t>C495</t>
  </si>
  <si>
    <t>P5152</t>
  </si>
  <si>
    <t>Mast &amp; Harbour Perhaps Society</t>
  </si>
  <si>
    <t>O1442</t>
  </si>
  <si>
    <t>C280</t>
  </si>
  <si>
    <t>P1688</t>
  </si>
  <si>
    <t>HRX Upon Offer</t>
  </si>
  <si>
    <t>O1443</t>
  </si>
  <si>
    <t>C555</t>
  </si>
  <si>
    <t>P1615</t>
  </si>
  <si>
    <t>HRX System Affect</t>
  </si>
  <si>
    <t>O1444</t>
  </si>
  <si>
    <t>P7037</t>
  </si>
  <si>
    <t>Roadster Already Few</t>
  </si>
  <si>
    <t>O1445</t>
  </si>
  <si>
    <t>P9159</t>
  </si>
  <si>
    <t>DressBerry Send Character</t>
  </si>
  <si>
    <t>O1446</t>
  </si>
  <si>
    <t>C376</t>
  </si>
  <si>
    <t>P5401</t>
  </si>
  <si>
    <t>HRX Environment Education</t>
  </si>
  <si>
    <t>O1447</t>
  </si>
  <si>
    <t>C586</t>
  </si>
  <si>
    <t>P7858</t>
  </si>
  <si>
    <t>DressBerry Maintain Major</t>
  </si>
  <si>
    <t>O1448</t>
  </si>
  <si>
    <t>P3060</t>
  </si>
  <si>
    <t>WROGN Democratic Claim</t>
  </si>
  <si>
    <t>O1449</t>
  </si>
  <si>
    <t>P4800</t>
  </si>
  <si>
    <t>Mast &amp; Harbour Then Arrive</t>
  </si>
  <si>
    <t>O1450</t>
  </si>
  <si>
    <t>P3245</t>
  </si>
  <si>
    <t>DressBerry Such Foreign</t>
  </si>
  <si>
    <t>O1451</t>
  </si>
  <si>
    <t>P3189</t>
  </si>
  <si>
    <t>HRX Sound Expect</t>
  </si>
  <si>
    <t>O1452</t>
  </si>
  <si>
    <t>P5991</t>
  </si>
  <si>
    <t>DressBerry Most Plan</t>
  </si>
  <si>
    <t>O1453</t>
  </si>
  <si>
    <t>P9597</t>
  </si>
  <si>
    <t>WROGN Note Light</t>
  </si>
  <si>
    <t>O1454</t>
  </si>
  <si>
    <t>P2040</t>
  </si>
  <si>
    <t>WROGN Health Probably</t>
  </si>
  <si>
    <t>O1455</t>
  </si>
  <si>
    <t>P8325</t>
  </si>
  <si>
    <t>Mast &amp; Harbour Coach In</t>
  </si>
  <si>
    <t>O1456</t>
  </si>
  <si>
    <t>P2439</t>
  </si>
  <si>
    <t>DressBerry Young Blue</t>
  </si>
  <si>
    <t>O1457</t>
  </si>
  <si>
    <t>P8834</t>
  </si>
  <si>
    <t>DressBerry Bring If</t>
  </si>
  <si>
    <t>O1458</t>
  </si>
  <si>
    <t>P4435</t>
  </si>
  <si>
    <t>WROGN Own Member</t>
  </si>
  <si>
    <t>O1459</t>
  </si>
  <si>
    <t>P2239</t>
  </si>
  <si>
    <t>Roadster Thank Dark</t>
  </si>
  <si>
    <t>O1460</t>
  </si>
  <si>
    <t>P5372</t>
  </si>
  <si>
    <t>DressBerry Share Everybody</t>
  </si>
  <si>
    <t>O1461</t>
  </si>
  <si>
    <t>C388</t>
  </si>
  <si>
    <t>P9201</t>
  </si>
  <si>
    <t>Roadster Explain Next</t>
  </si>
  <si>
    <t>O1462</t>
  </si>
  <si>
    <t>C417</t>
  </si>
  <si>
    <t>P3331</t>
  </si>
  <si>
    <t>DressBerry Set Of</t>
  </si>
  <si>
    <t>O1463</t>
  </si>
  <si>
    <t>C427</t>
  </si>
  <si>
    <t>P9518</t>
  </si>
  <si>
    <t>DressBerry Direction Politics</t>
  </si>
  <si>
    <t>O1464</t>
  </si>
  <si>
    <t>C441</t>
  </si>
  <si>
    <t>P6751</t>
  </si>
  <si>
    <t>HRX Degree Pay</t>
  </si>
  <si>
    <t>O1465</t>
  </si>
  <si>
    <t>P8296</t>
  </si>
  <si>
    <t>DressBerry Region Word</t>
  </si>
  <si>
    <t>O1466</t>
  </si>
  <si>
    <t>P6651</t>
  </si>
  <si>
    <t>DressBerry Bar Watch</t>
  </si>
  <si>
    <t>O1467</t>
  </si>
  <si>
    <t>Roadster High Apply</t>
  </si>
  <si>
    <t>O1468</t>
  </si>
  <si>
    <t>C233</t>
  </si>
  <si>
    <t>P9082</t>
  </si>
  <si>
    <t>Anouk Authority Second</t>
  </si>
  <si>
    <t>O1469</t>
  </si>
  <si>
    <t>C656</t>
  </si>
  <si>
    <t>P2924</t>
  </si>
  <si>
    <t>DressBerry Street Project</t>
  </si>
  <si>
    <t>O1470</t>
  </si>
  <si>
    <t>C387</t>
  </si>
  <si>
    <t>P3896</t>
  </si>
  <si>
    <t>Roadster Day Special</t>
  </si>
  <si>
    <t>O1471</t>
  </si>
  <si>
    <t>P6223</t>
  </si>
  <si>
    <t>HRX Single Moment</t>
  </si>
  <si>
    <t>O1472</t>
  </si>
  <si>
    <t>P1211</t>
  </si>
  <si>
    <t>DressBerry Decision Lawyer</t>
  </si>
  <si>
    <t>O1473</t>
  </si>
  <si>
    <t>C307</t>
  </si>
  <si>
    <t>P7214</t>
  </si>
  <si>
    <t>Roadster Partner Visit</t>
  </si>
  <si>
    <t>O1474</t>
  </si>
  <si>
    <t>C464</t>
  </si>
  <si>
    <t>P5202</t>
  </si>
  <si>
    <t>Roadster He Single</t>
  </si>
  <si>
    <t>O1475</t>
  </si>
  <si>
    <t>C547</t>
  </si>
  <si>
    <t>P9278</t>
  </si>
  <si>
    <t>Anouk Great Movement</t>
  </si>
  <si>
    <t>O1476</t>
  </si>
  <si>
    <t>C683</t>
  </si>
  <si>
    <t>P4165</t>
  </si>
  <si>
    <t>DressBerry Strategy Trial</t>
  </si>
  <si>
    <t>O1477</t>
  </si>
  <si>
    <t>P3057</t>
  </si>
  <si>
    <t>DressBerry Nature Nation</t>
  </si>
  <si>
    <t>O1478</t>
  </si>
  <si>
    <t>P5503</t>
  </si>
  <si>
    <t>HRX Put Behind</t>
  </si>
  <si>
    <t>O1479</t>
  </si>
  <si>
    <t>P8985</t>
  </si>
  <si>
    <t>DressBerry Agreement Move</t>
  </si>
  <si>
    <t>O1480</t>
  </si>
  <si>
    <t>P6800</t>
  </si>
  <si>
    <t>Roadster Consumer Spend</t>
  </si>
  <si>
    <t>O1481</t>
  </si>
  <si>
    <t>C249</t>
  </si>
  <si>
    <t>P1951</t>
  </si>
  <si>
    <t>Anouk Cold End</t>
  </si>
  <si>
    <t>O1482</t>
  </si>
  <si>
    <t>C217</t>
  </si>
  <si>
    <t>P2582</t>
  </si>
  <si>
    <t>Anouk Include Join</t>
  </si>
  <si>
    <t>O1483</t>
  </si>
  <si>
    <t>P3781</t>
  </si>
  <si>
    <t>Mast &amp; Harbour Break Stay</t>
  </si>
  <si>
    <t>O1484</t>
  </si>
  <si>
    <t>P1752</t>
  </si>
  <si>
    <t>Roadster Toward Suddenly</t>
  </si>
  <si>
    <t>O1485</t>
  </si>
  <si>
    <t>C582</t>
  </si>
  <si>
    <t>P4203</t>
  </si>
  <si>
    <t>HRX Should Even</t>
  </si>
  <si>
    <t>O1486</t>
  </si>
  <si>
    <t>P4442</t>
  </si>
  <si>
    <t>Roadster Record Thousand</t>
  </si>
  <si>
    <t>O1487</t>
  </si>
  <si>
    <t>P5187</t>
  </si>
  <si>
    <t>Roadster Weight Couple</t>
  </si>
  <si>
    <t>O1488</t>
  </si>
  <si>
    <t>P9567</t>
  </si>
  <si>
    <t>WROGN Which Down</t>
  </si>
  <si>
    <t>O1489</t>
  </si>
  <si>
    <t>C286</t>
  </si>
  <si>
    <t>P5018</t>
  </si>
  <si>
    <t>Roadster Interview Quality</t>
  </si>
  <si>
    <t>O1490</t>
  </si>
  <si>
    <t>C324</t>
  </si>
  <si>
    <t>P1655</t>
  </si>
  <si>
    <t>Roadster Site Adult</t>
  </si>
  <si>
    <t>O1491</t>
  </si>
  <si>
    <t>P2635</t>
  </si>
  <si>
    <t>Anouk Draw Service</t>
  </si>
  <si>
    <t>O1492</t>
  </si>
  <si>
    <t>P1169</t>
  </si>
  <si>
    <t>DressBerry Hair Political</t>
  </si>
  <si>
    <t>O1493</t>
  </si>
  <si>
    <t>C403</t>
  </si>
  <si>
    <t>P6540</t>
  </si>
  <si>
    <t>Roadster Environment Choose</t>
  </si>
  <si>
    <t>O1494</t>
  </si>
  <si>
    <t>C473</t>
  </si>
  <si>
    <t>P7970</t>
  </si>
  <si>
    <t>Roadster Executive Recent</t>
  </si>
  <si>
    <t>O1495</t>
  </si>
  <si>
    <t>P6859</t>
  </si>
  <si>
    <t>WROGN Suggest Detail</t>
  </si>
  <si>
    <t>O1496</t>
  </si>
  <si>
    <t>P2107</t>
  </si>
  <si>
    <t>Roadster Five Beyond</t>
  </si>
  <si>
    <t>O1497</t>
  </si>
  <si>
    <t>P5307</t>
  </si>
  <si>
    <t>DressBerry Still Bar</t>
  </si>
  <si>
    <t>O1498</t>
  </si>
  <si>
    <t>P1490</t>
  </si>
  <si>
    <t>HRX Another Training</t>
  </si>
  <si>
    <t>O1499</t>
  </si>
  <si>
    <t>P1423</t>
  </si>
  <si>
    <t>WROGN Decide Central</t>
  </si>
  <si>
    <t>O1500</t>
  </si>
  <si>
    <t>P6360</t>
  </si>
  <si>
    <t>Roadster Itself Produce</t>
  </si>
  <si>
    <t>O1501</t>
  </si>
  <si>
    <t>C604</t>
  </si>
  <si>
    <t>P3427</t>
  </si>
  <si>
    <t>DressBerry Something Person</t>
  </si>
  <si>
    <t>O1502</t>
  </si>
  <si>
    <t>P6339</t>
  </si>
  <si>
    <t>Roadster Collection Site</t>
  </si>
  <si>
    <t>O1503</t>
  </si>
  <si>
    <t>C606</t>
  </si>
  <si>
    <t>P4680</t>
  </si>
  <si>
    <t>WROGN Letter Effect</t>
  </si>
  <si>
    <t>O1504</t>
  </si>
  <si>
    <t>C593</t>
  </si>
  <si>
    <t>P6347</t>
  </si>
  <si>
    <t>WROGN Job Send</t>
  </si>
  <si>
    <t>O1505</t>
  </si>
  <si>
    <t>C521</t>
  </si>
  <si>
    <t>P8889</t>
  </si>
  <si>
    <t>HRX Today Certain</t>
  </si>
  <si>
    <t>O1506</t>
  </si>
  <si>
    <t>P4675</t>
  </si>
  <si>
    <t>HRX Hear Both</t>
  </si>
  <si>
    <t>O1507</t>
  </si>
  <si>
    <t>P2915</t>
  </si>
  <si>
    <t>Anouk Side Music</t>
  </si>
  <si>
    <t>O1508</t>
  </si>
  <si>
    <t>C366</t>
  </si>
  <si>
    <t>P8075</t>
  </si>
  <si>
    <t>HRX Far Leg</t>
  </si>
  <si>
    <t>O1509</t>
  </si>
  <si>
    <t>P7788</t>
  </si>
  <si>
    <t>HRX Case School</t>
  </si>
  <si>
    <t>O1510</t>
  </si>
  <si>
    <t>P9795</t>
  </si>
  <si>
    <t>WROGN Determine Enough</t>
  </si>
  <si>
    <t>O1511</t>
  </si>
  <si>
    <t>P1368</t>
  </si>
  <si>
    <t>Roadster Mother Start</t>
  </si>
  <si>
    <t>O1512</t>
  </si>
  <si>
    <t>P6809</t>
  </si>
  <si>
    <t>Mast &amp; Harbour Increase Include</t>
  </si>
  <si>
    <t>O1513</t>
  </si>
  <si>
    <t>P1614</t>
  </si>
  <si>
    <t>HRX Will Appear</t>
  </si>
  <si>
    <t>O1514</t>
  </si>
  <si>
    <t>C696</t>
  </si>
  <si>
    <t>P7171</t>
  </si>
  <si>
    <t>WROGN Card Character</t>
  </si>
  <si>
    <t>O1515</t>
  </si>
  <si>
    <t>P5201</t>
  </si>
  <si>
    <t>WROGN Care Voice</t>
  </si>
  <si>
    <t>O1516</t>
  </si>
  <si>
    <t>P7490</t>
  </si>
  <si>
    <t>Anouk Because The</t>
  </si>
  <si>
    <t>O1517</t>
  </si>
  <si>
    <t>P1257</t>
  </si>
  <si>
    <t>Roadster Source Member</t>
  </si>
  <si>
    <t>O1518</t>
  </si>
  <si>
    <t>P6423</t>
  </si>
  <si>
    <t>DressBerry Hair Speak</t>
  </si>
  <si>
    <t>O1519</t>
  </si>
  <si>
    <t>C508</t>
  </si>
  <si>
    <t>P6922</t>
  </si>
  <si>
    <t>DressBerry News Often</t>
  </si>
  <si>
    <t>O1520</t>
  </si>
  <si>
    <t>P2090</t>
  </si>
  <si>
    <t>Anouk Big War</t>
  </si>
  <si>
    <t>O1521</t>
  </si>
  <si>
    <t>C269</t>
  </si>
  <si>
    <t>P8156</t>
  </si>
  <si>
    <t>Roadster Right Work</t>
  </si>
  <si>
    <t>O1522</t>
  </si>
  <si>
    <t>P2824</t>
  </si>
  <si>
    <t>DressBerry Light Religious</t>
  </si>
  <si>
    <t>O1523</t>
  </si>
  <si>
    <t>P7864</t>
  </si>
  <si>
    <t>HRX Million Less</t>
  </si>
  <si>
    <t>O1524</t>
  </si>
  <si>
    <t>P3406</t>
  </si>
  <si>
    <t>HRX Push Fast</t>
  </si>
  <si>
    <t>O1525</t>
  </si>
  <si>
    <t>P3771</t>
  </si>
  <si>
    <t>DressBerry Figure Receive</t>
  </si>
  <si>
    <t>O1526</t>
  </si>
  <si>
    <t>C669</t>
  </si>
  <si>
    <t>P7733</t>
  </si>
  <si>
    <t>HRX Shake Sense</t>
  </si>
  <si>
    <t>O1527</t>
  </si>
  <si>
    <t>P9548</t>
  </si>
  <si>
    <t>DressBerry Matter So</t>
  </si>
  <si>
    <t>O1528</t>
  </si>
  <si>
    <t>C352</t>
  </si>
  <si>
    <t>WROGN Main Reason</t>
  </si>
  <si>
    <t>O1529</t>
  </si>
  <si>
    <t>P7088</t>
  </si>
  <si>
    <t>DressBerry Police Indicate</t>
  </si>
  <si>
    <t>O1530</t>
  </si>
  <si>
    <t>C660</t>
  </si>
  <si>
    <t>P1836</t>
  </si>
  <si>
    <t>DressBerry Data Bill</t>
  </si>
  <si>
    <t>O1531</t>
  </si>
  <si>
    <t>P4410</t>
  </si>
  <si>
    <t>Roadster Audience Career</t>
  </si>
  <si>
    <t>O1532</t>
  </si>
  <si>
    <t>P4436</t>
  </si>
  <si>
    <t>Anouk Store Dream</t>
  </si>
  <si>
    <t>O1533</t>
  </si>
  <si>
    <t>C471</t>
  </si>
  <si>
    <t>P3195</t>
  </si>
  <si>
    <t>HRX Alone In</t>
  </si>
  <si>
    <t>O1534</t>
  </si>
  <si>
    <t>P8783</t>
  </si>
  <si>
    <t>Roadster Good Address</t>
  </si>
  <si>
    <t>O1535</t>
  </si>
  <si>
    <t>P1408</t>
  </si>
  <si>
    <t>DressBerry Memory Relate</t>
  </si>
  <si>
    <t>O1536</t>
  </si>
  <si>
    <t>C329</t>
  </si>
  <si>
    <t>P5552</t>
  </si>
  <si>
    <t>DressBerry In Less</t>
  </si>
  <si>
    <t>O1537</t>
  </si>
  <si>
    <t>P1306</t>
  </si>
  <si>
    <t>HRX Window Benefit</t>
  </si>
  <si>
    <t>O1538</t>
  </si>
  <si>
    <t>C629</t>
  </si>
  <si>
    <t>P3608</t>
  </si>
  <si>
    <t>Anouk Middle Economic</t>
  </si>
  <si>
    <t>O1539</t>
  </si>
  <si>
    <t>P6702</t>
  </si>
  <si>
    <t>Roadster Lead Finally</t>
  </si>
  <si>
    <t>O1540</t>
  </si>
  <si>
    <t>C541</t>
  </si>
  <si>
    <t>P9664</t>
  </si>
  <si>
    <t>Roadster Generation Sell</t>
  </si>
  <si>
    <t>O1541</t>
  </si>
  <si>
    <t>P8294</t>
  </si>
  <si>
    <t>Mast &amp; Harbour Test Matter</t>
  </si>
  <si>
    <t>O1542</t>
  </si>
  <si>
    <t>P1431</t>
  </si>
  <si>
    <t>Mast &amp; Harbour Then Beautiful</t>
  </si>
  <si>
    <t>O1543</t>
  </si>
  <si>
    <t>P3766</t>
  </si>
  <si>
    <t>DressBerry Join Guy</t>
  </si>
  <si>
    <t>O1544</t>
  </si>
  <si>
    <t>P5321</t>
  </si>
  <si>
    <t>WROGN While Successful</t>
  </si>
  <si>
    <t>O1545</t>
  </si>
  <si>
    <t>C260</t>
  </si>
  <si>
    <t>P6513</t>
  </si>
  <si>
    <t>Anouk Parent On</t>
  </si>
  <si>
    <t>O1546</t>
  </si>
  <si>
    <t>P9232</t>
  </si>
  <si>
    <t>DressBerry Television Parent</t>
  </si>
  <si>
    <t>O1547</t>
  </si>
  <si>
    <t>P4460</t>
  </si>
  <si>
    <t>DressBerry Heavy Establish</t>
  </si>
  <si>
    <t>O1548</t>
  </si>
  <si>
    <t>P1966</t>
  </si>
  <si>
    <t>HRX Resource Need</t>
  </si>
  <si>
    <t>O1549</t>
  </si>
  <si>
    <t>C283</t>
  </si>
  <si>
    <t>P6115</t>
  </si>
  <si>
    <t>Mast &amp; Harbour Low Not</t>
  </si>
  <si>
    <t>O1550</t>
  </si>
  <si>
    <t>P5685</t>
  </si>
  <si>
    <t>DressBerry Major Another</t>
  </si>
  <si>
    <t>O1551</t>
  </si>
  <si>
    <t>P4269</t>
  </si>
  <si>
    <t>Roadster Too Parent</t>
  </si>
  <si>
    <t>O1552</t>
  </si>
  <si>
    <t>C567</t>
  </si>
  <si>
    <t>P1420</t>
  </si>
  <si>
    <t>HRX Foreign Structure</t>
  </si>
  <si>
    <t>O1553</t>
  </si>
  <si>
    <t>P7232</t>
  </si>
  <si>
    <t>Anouk Safe Argue</t>
  </si>
  <si>
    <t>O1554</t>
  </si>
  <si>
    <t>P3576</t>
  </si>
  <si>
    <t>WROGN On Range</t>
  </si>
  <si>
    <t>O1555</t>
  </si>
  <si>
    <t>C394</t>
  </si>
  <si>
    <t>P3304</t>
  </si>
  <si>
    <t>Roadster Onto Live</t>
  </si>
  <si>
    <t>O1556</t>
  </si>
  <si>
    <t>P5595</t>
  </si>
  <si>
    <t>Roadster Source Leader</t>
  </si>
  <si>
    <t>O1557</t>
  </si>
  <si>
    <t>P1279</t>
  </si>
  <si>
    <t>HRX Game Loss</t>
  </si>
  <si>
    <t>O1558</t>
  </si>
  <si>
    <t>C630</t>
  </si>
  <si>
    <t>P9614</t>
  </si>
  <si>
    <t>Mast &amp; Harbour Role Speak</t>
  </si>
  <si>
    <t>O1559</t>
  </si>
  <si>
    <t>P1744</t>
  </si>
  <si>
    <t>Roadster During Past</t>
  </si>
  <si>
    <t>O1560</t>
  </si>
  <si>
    <t>P8343</t>
  </si>
  <si>
    <t>HRX Walk Do</t>
  </si>
  <si>
    <t>O1561</t>
  </si>
  <si>
    <t>C643</t>
  </si>
  <si>
    <t>P8061</t>
  </si>
  <si>
    <t>Roadster Get National</t>
  </si>
  <si>
    <t>O1562</t>
  </si>
  <si>
    <t>P8860</t>
  </si>
  <si>
    <t>Roadster Step Small</t>
  </si>
  <si>
    <t>O1563</t>
  </si>
  <si>
    <t>C202</t>
  </si>
  <si>
    <t>P4898</t>
  </si>
  <si>
    <t>DressBerry Plan Travel</t>
  </si>
  <si>
    <t>O1564</t>
  </si>
  <si>
    <t>P4868</t>
  </si>
  <si>
    <t>WROGN Million Certainly</t>
  </si>
  <si>
    <t>O1565</t>
  </si>
  <si>
    <t>P2073</t>
  </si>
  <si>
    <t>HRX And Left</t>
  </si>
  <si>
    <t>O1566</t>
  </si>
  <si>
    <t>P3525</t>
  </si>
  <si>
    <t>WROGN Individual Order</t>
  </si>
  <si>
    <t>O1567</t>
  </si>
  <si>
    <t>P2741</t>
  </si>
  <si>
    <t>Roadster Baby Indeed</t>
  </si>
  <si>
    <t>O1568</t>
  </si>
  <si>
    <t>C301</t>
  </si>
  <si>
    <t>P7262</t>
  </si>
  <si>
    <t>DressBerry East Radio</t>
  </si>
  <si>
    <t>O1569</t>
  </si>
  <si>
    <t>C576</t>
  </si>
  <si>
    <t>P1586</t>
  </si>
  <si>
    <t>Roadster Floor Home</t>
  </si>
  <si>
    <t>O1570</t>
  </si>
  <si>
    <t>P9046</t>
  </si>
  <si>
    <t>Roadster Way Agree</t>
  </si>
  <si>
    <t>O1571</t>
  </si>
  <si>
    <t>C465</t>
  </si>
  <si>
    <t>P5834</t>
  </si>
  <si>
    <t>WROGN Themselves Suffer</t>
  </si>
  <si>
    <t>O1572</t>
  </si>
  <si>
    <t>C304</t>
  </si>
  <si>
    <t>Roadster Teach Official</t>
  </si>
  <si>
    <t>O1573</t>
  </si>
  <si>
    <t>C461</t>
  </si>
  <si>
    <t>P7334</t>
  </si>
  <si>
    <t>DressBerry Foreign Picture</t>
  </si>
  <si>
    <t>O1574</t>
  </si>
  <si>
    <t>P3306</t>
  </si>
  <si>
    <t>HRX Art Trouble</t>
  </si>
  <si>
    <t>O1575</t>
  </si>
  <si>
    <t>P3418</t>
  </si>
  <si>
    <t>Roadster Occur Southern</t>
  </si>
  <si>
    <t>O1576</t>
  </si>
  <si>
    <t>P8861</t>
  </si>
  <si>
    <t>DressBerry Focus Truth</t>
  </si>
  <si>
    <t>O1577</t>
  </si>
  <si>
    <t>P7078</t>
  </si>
  <si>
    <t>WROGN Accept Service</t>
  </si>
  <si>
    <t>O1578</t>
  </si>
  <si>
    <t>P4694</t>
  </si>
  <si>
    <t>Mast &amp; Harbour My Among</t>
  </si>
  <si>
    <t>O1579</t>
  </si>
  <si>
    <t>C377</t>
  </si>
  <si>
    <t>P5547</t>
  </si>
  <si>
    <t>WROGN Opportunity There</t>
  </si>
  <si>
    <t>O1580</t>
  </si>
  <si>
    <t>C270</t>
  </si>
  <si>
    <t>P3225</t>
  </si>
  <si>
    <t>Roadster Business Floor</t>
  </si>
  <si>
    <t>O1581</t>
  </si>
  <si>
    <t>P3975</t>
  </si>
  <si>
    <t>WROGN International Now</t>
  </si>
  <si>
    <t>O1582</t>
  </si>
  <si>
    <t>P9609</t>
  </si>
  <si>
    <t>Roadster Debate Whether</t>
  </si>
  <si>
    <t>O1583</t>
  </si>
  <si>
    <t>P2193</t>
  </si>
  <si>
    <t>Roadster Personal Support</t>
  </si>
  <si>
    <t>O1584</t>
  </si>
  <si>
    <t>P4321</t>
  </si>
  <si>
    <t>HRX Step Opportunity</t>
  </si>
  <si>
    <t>O1585</t>
  </si>
  <si>
    <t>Mast &amp; Harbour Something Cause</t>
  </si>
  <si>
    <t>O1586</t>
  </si>
  <si>
    <t>C699</t>
  </si>
  <si>
    <t>P6330</t>
  </si>
  <si>
    <t>WROGN Million Know</t>
  </si>
  <si>
    <t>O1587</t>
  </si>
  <si>
    <t>P5782</t>
  </si>
  <si>
    <t>Roadster Here Born</t>
  </si>
  <si>
    <t>O1588</t>
  </si>
  <si>
    <t>P1341</t>
  </si>
  <si>
    <t>HRX Accept For</t>
  </si>
  <si>
    <t>O1589</t>
  </si>
  <si>
    <t>C535</t>
  </si>
  <si>
    <t>P5016</t>
  </si>
  <si>
    <t>Roadster Public Left</t>
  </si>
  <si>
    <t>O1590</t>
  </si>
  <si>
    <t>P2007</t>
  </si>
  <si>
    <t>Roadster Member Treatment</t>
  </si>
  <si>
    <t>O1591</t>
  </si>
  <si>
    <t>P1724</t>
  </si>
  <si>
    <t>HRX First Include</t>
  </si>
  <si>
    <t>O1592</t>
  </si>
  <si>
    <t>P1181</t>
  </si>
  <si>
    <t>HRX Deep Laugh</t>
  </si>
  <si>
    <t>O1593</t>
  </si>
  <si>
    <t>C600</t>
  </si>
  <si>
    <t>P2714</t>
  </si>
  <si>
    <t>Mast &amp; Harbour Question Front</t>
  </si>
  <si>
    <t>O1594</t>
  </si>
  <si>
    <t>C603</t>
  </si>
  <si>
    <t>P1195</t>
  </si>
  <si>
    <t>DressBerry Next Last</t>
  </si>
  <si>
    <t>O1595</t>
  </si>
  <si>
    <t>P2120</t>
  </si>
  <si>
    <t>Anouk Certainly Sit</t>
  </si>
  <si>
    <t>O1596</t>
  </si>
  <si>
    <t>P9806</t>
  </si>
  <si>
    <t>Roadster Reduce Car</t>
  </si>
  <si>
    <t>O1597</t>
  </si>
  <si>
    <t>WROGN Young Marriage</t>
  </si>
  <si>
    <t>O1598</t>
  </si>
  <si>
    <t>C651</t>
  </si>
  <si>
    <t>Anouk Machine Grow</t>
  </si>
  <si>
    <t>O1599</t>
  </si>
  <si>
    <t>C208</t>
  </si>
  <si>
    <t>P1756</t>
  </si>
  <si>
    <t>Anouk Call Operation</t>
  </si>
  <si>
    <t>O1600</t>
  </si>
  <si>
    <t>P5063</t>
  </si>
  <si>
    <t>Roadster Conference More</t>
  </si>
  <si>
    <t>O1601</t>
  </si>
  <si>
    <t>C500</t>
  </si>
  <si>
    <t>P4133</t>
  </si>
  <si>
    <t>Mast &amp; Harbour Role Relate</t>
  </si>
  <si>
    <t>O1602</t>
  </si>
  <si>
    <t>P6255</t>
  </si>
  <si>
    <t>Roadster Pick State</t>
  </si>
  <si>
    <t>O1603</t>
  </si>
  <si>
    <t>P6886</t>
  </si>
  <si>
    <t>HRX Loss Think</t>
  </si>
  <si>
    <t>O1604</t>
  </si>
  <si>
    <t>P9624</t>
  </si>
  <si>
    <t>DressBerry Source Program</t>
  </si>
  <si>
    <t>O1605</t>
  </si>
  <si>
    <t>P6679</t>
  </si>
  <si>
    <t>HRX I His</t>
  </si>
  <si>
    <t>O1606</t>
  </si>
  <si>
    <t>P9666</t>
  </si>
  <si>
    <t>WROGN Occur Go</t>
  </si>
  <si>
    <t>O1607</t>
  </si>
  <si>
    <t>P5471</t>
  </si>
  <si>
    <t>Mast &amp; Harbour Garden Thus</t>
  </si>
  <si>
    <t>O1608</t>
  </si>
  <si>
    <t>P9607</t>
  </si>
  <si>
    <t>DressBerry Soldier Arm</t>
  </si>
  <si>
    <t>O1609</t>
  </si>
  <si>
    <t>P9435</t>
  </si>
  <si>
    <t>DressBerry Strong Improve</t>
  </si>
  <si>
    <t>O1610</t>
  </si>
  <si>
    <t>P3516</t>
  </si>
  <si>
    <t>DressBerry Foot Difference</t>
  </si>
  <si>
    <t>O1611</t>
  </si>
  <si>
    <t>C267</t>
  </si>
  <si>
    <t>P4955</t>
  </si>
  <si>
    <t>DressBerry Billion Money</t>
  </si>
  <si>
    <t>O1612</t>
  </si>
  <si>
    <t>C423</t>
  </si>
  <si>
    <t>P3340</t>
  </si>
  <si>
    <t>Roadster Modern Network</t>
  </si>
  <si>
    <t>O1613</t>
  </si>
  <si>
    <t>P3315</t>
  </si>
  <si>
    <t>Anouk Also Local</t>
  </si>
  <si>
    <t>O1614</t>
  </si>
  <si>
    <t>P2129</t>
  </si>
  <si>
    <t>WROGN Meet Call</t>
  </si>
  <si>
    <t>O1615</t>
  </si>
  <si>
    <t>P4103</t>
  </si>
  <si>
    <t>Anouk What Item</t>
  </si>
  <si>
    <t>O1616</t>
  </si>
  <si>
    <t>P1148</t>
  </si>
  <si>
    <t>HRX White Beautiful</t>
  </si>
  <si>
    <t>O1617</t>
  </si>
  <si>
    <t>P8599</t>
  </si>
  <si>
    <t>Mast &amp; Harbour Character End</t>
  </si>
  <si>
    <t>O1618</t>
  </si>
  <si>
    <t>C213</t>
  </si>
  <si>
    <t>P4881</t>
  </si>
  <si>
    <t>DressBerry Build Position</t>
  </si>
  <si>
    <t>O1619</t>
  </si>
  <si>
    <t>C652</t>
  </si>
  <si>
    <t>DressBerry Home Work</t>
  </si>
  <si>
    <t>O1620</t>
  </si>
  <si>
    <t>C466</t>
  </si>
  <si>
    <t>P9777</t>
  </si>
  <si>
    <t>Roadster Able Growth</t>
  </si>
  <si>
    <t>O1621</t>
  </si>
  <si>
    <t>P3145</t>
  </si>
  <si>
    <t>WROGN Executive Take</t>
  </si>
  <si>
    <t>O1622</t>
  </si>
  <si>
    <t>P8707</t>
  </si>
  <si>
    <t>HRX Race Time</t>
  </si>
  <si>
    <t>O1623</t>
  </si>
  <si>
    <t>P1275</t>
  </si>
  <si>
    <t>Roadster Enough He</t>
  </si>
  <si>
    <t>O1624</t>
  </si>
  <si>
    <t>C565</t>
  </si>
  <si>
    <t>P3423</t>
  </si>
  <si>
    <t>DressBerry Even Significant</t>
  </si>
  <si>
    <t>O1625</t>
  </si>
  <si>
    <t>P2960</t>
  </si>
  <si>
    <t>Roadster Simple Word</t>
  </si>
  <si>
    <t>O1626</t>
  </si>
  <si>
    <t>P6994</t>
  </si>
  <si>
    <t>Mast &amp; Harbour Seven Onto</t>
  </si>
  <si>
    <t>O1627</t>
  </si>
  <si>
    <t>C587</t>
  </si>
  <si>
    <t>P3607</t>
  </si>
  <si>
    <t>DressBerry Weight Myself</t>
  </si>
  <si>
    <t>O1628</t>
  </si>
  <si>
    <t>P7742</t>
  </si>
  <si>
    <t>WROGN Father Another</t>
  </si>
  <si>
    <t>O1629</t>
  </si>
  <si>
    <t>C690</t>
  </si>
  <si>
    <t>WROGN Sense Staff</t>
  </si>
  <si>
    <t>O1630</t>
  </si>
  <si>
    <t>C679</t>
  </si>
  <si>
    <t>P7615</t>
  </si>
  <si>
    <t>Roadster Consider Our</t>
  </si>
  <si>
    <t>O1631</t>
  </si>
  <si>
    <t>C271</t>
  </si>
  <si>
    <t>P5002</t>
  </si>
  <si>
    <t>Roadster Almost Interesting</t>
  </si>
  <si>
    <t>O1632</t>
  </si>
  <si>
    <t>C272</t>
  </si>
  <si>
    <t>P1233</t>
  </si>
  <si>
    <t>Roadster Professor Reveal</t>
  </si>
  <si>
    <t>O1633</t>
  </si>
  <si>
    <t>C536</t>
  </si>
  <si>
    <t>P7113</t>
  </si>
  <si>
    <t>DressBerry During Program</t>
  </si>
  <si>
    <t>O1634</t>
  </si>
  <si>
    <t>P3061</t>
  </si>
  <si>
    <t>Anouk Official Study</t>
  </si>
  <si>
    <t>O1635</t>
  </si>
  <si>
    <t>P2150</t>
  </si>
  <si>
    <t>Anouk Soldier Listen</t>
  </si>
  <si>
    <t>O1636</t>
  </si>
  <si>
    <t>P8270</t>
  </si>
  <si>
    <t>DressBerry Individual Most</t>
  </si>
  <si>
    <t>O1637</t>
  </si>
  <si>
    <t>C443</t>
  </si>
  <si>
    <t>P5950</t>
  </si>
  <si>
    <t>Roadster Successful Tonight</t>
  </si>
  <si>
    <t>O1638</t>
  </si>
  <si>
    <t>P2063</t>
  </si>
  <si>
    <t>Mast &amp; Harbour Work About</t>
  </si>
  <si>
    <t>O1639</t>
  </si>
  <si>
    <t>P2403</t>
  </si>
  <si>
    <t>HRX Science Individual</t>
  </si>
  <si>
    <t>O1640</t>
  </si>
  <si>
    <t>C266</t>
  </si>
  <si>
    <t>P5173</t>
  </si>
  <si>
    <t>Roadster Head Note</t>
  </si>
  <si>
    <t>O1641</t>
  </si>
  <si>
    <t>C371</t>
  </si>
  <si>
    <t>P2947</t>
  </si>
  <si>
    <t>DressBerry Different Officer</t>
  </si>
  <si>
    <t>O1642</t>
  </si>
  <si>
    <t>P1265</t>
  </si>
  <si>
    <t>Roadster Me Down</t>
  </si>
  <si>
    <t>O1643</t>
  </si>
  <si>
    <t>P8690</t>
  </si>
  <si>
    <t>DressBerry Because Weight</t>
  </si>
  <si>
    <t>O1644</t>
  </si>
  <si>
    <t>P1399</t>
  </si>
  <si>
    <t>WROGN Improve Arrive</t>
  </si>
  <si>
    <t>O1645</t>
  </si>
  <si>
    <t>P5963</t>
  </si>
  <si>
    <t>Roadster Quality There</t>
  </si>
  <si>
    <t>O1646</t>
  </si>
  <si>
    <t>C538</t>
  </si>
  <si>
    <t>P7095</t>
  </si>
  <si>
    <t>DressBerry Save Produce</t>
  </si>
  <si>
    <t>O1647</t>
  </si>
  <si>
    <t>C308</t>
  </si>
  <si>
    <t>P1592</t>
  </si>
  <si>
    <t>HRX Consider Tree</t>
  </si>
  <si>
    <t>O1648</t>
  </si>
  <si>
    <t>P1079</t>
  </si>
  <si>
    <t>HRX Lose Lot</t>
  </si>
  <si>
    <t>O1649</t>
  </si>
  <si>
    <t>P6752</t>
  </si>
  <si>
    <t>Anouk Throw Second</t>
  </si>
  <si>
    <t>O1650</t>
  </si>
  <si>
    <t>C323</t>
  </si>
  <si>
    <t>P6619</t>
  </si>
  <si>
    <t>DressBerry Probably Around</t>
  </si>
  <si>
    <t>DELIVERED</t>
  </si>
  <si>
    <t>RETURNED</t>
  </si>
  <si>
    <t>CANCELLED</t>
  </si>
  <si>
    <t>Discount_Amount</t>
  </si>
  <si>
    <t>Gross_Sales</t>
  </si>
  <si>
    <t>Net_Sales</t>
  </si>
  <si>
    <t>Order_Flag</t>
  </si>
  <si>
    <t>MIS KPI Summary</t>
  </si>
  <si>
    <t>Total Revenue</t>
  </si>
  <si>
    <t>Total Orders</t>
  </si>
  <si>
    <t>Average Rating</t>
  </si>
  <si>
    <t>Delivered %</t>
  </si>
  <si>
    <t>Returned %</t>
  </si>
  <si>
    <t>Cancelled %</t>
  </si>
  <si>
    <t>Top Brand by Revenue</t>
  </si>
  <si>
    <t>Top Brand Revenue</t>
  </si>
  <si>
    <t>Row Labels</t>
  </si>
  <si>
    <t>Grand Total</t>
  </si>
  <si>
    <t>Sum of Net_Sales</t>
  </si>
  <si>
    <t>Which product categories generate the highest revenue?</t>
  </si>
  <si>
    <t>Which brands contribute most to revenue?</t>
  </si>
  <si>
    <t>Completed</t>
  </si>
  <si>
    <t>Count of Order_ID</t>
  </si>
  <si>
    <t>What % of orders are delivered, returned, or cancelled?</t>
  </si>
  <si>
    <t>Which cities generate the most revenue?</t>
  </si>
  <si>
    <t>Which payment methods are most used?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</si>
</sst>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"/>
    <numFmt numFmtId="169" formatCode="?#,##0"/>
  </numFmts>
  <fonts count="4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b/>
      <sz val="10"/>
      <color rgb="FF000000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8" fontId="2" fillId="0" borderId="0" xfId="0" applyNumberFormat="1" applyFont="1"/>
    <xf numFmtId="1" fontId="2" fillId="0" borderId="0" xfId="0" applyNumberFormat="1" applyFont="1"/>
    <xf numFmtId="49" fontId="1" fillId="0" borderId="0" xfId="0" applyNumberFormat="1" applyFont="1"/>
    <xf numFmtId="49" fontId="2" fillId="0" borderId="0" xfId="0" applyNumberFormat="1" applyFont="1"/>
    <xf numFmtId="49" fontId="0" fillId="0" borderId="0" xfId="0" applyNumberFormat="1"/>
    <xf numFmtId="10" fontId="0" fillId="0" borderId="0" xfId="0" applyNumberFormat="1"/>
    <xf numFmtId="169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hishek Chakraborty" refreshedDate="46051.4627056713" createdVersion="8" refreshedVersion="8" minRefreshableVersion="3" recordCount="650" xr:uid="{D4C879B3-242F-4DD4-AE36-ED79C050E68C}">
  <cacheSource type="worksheet">
    <worksheetSource ref="A1:X651" sheet="KPIs"/>
  </cacheSource>
  <cacheFields count="24">
    <cacheField name="Order_ID" numFmtId="0">
      <sharedItems count="650">
        <s v="O1001"/>
        <s v="O1002"/>
        <s v="O1003"/>
        <s v="O1004"/>
        <s v="O1005"/>
        <s v="O1006"/>
        <s v="O1007"/>
        <s v="O1008"/>
        <s v="O1009"/>
        <s v="O1010"/>
        <s v="O1011"/>
        <s v="O1012"/>
        <s v="O1013"/>
        <s v="O1014"/>
        <s v="O1015"/>
        <s v="O1016"/>
        <s v="O1017"/>
        <s v="O1018"/>
        <s v="O1019"/>
        <s v="O1020"/>
        <s v="O1021"/>
        <s v="O1022"/>
        <s v="O1023"/>
        <s v="O1024"/>
        <s v="O1025"/>
        <s v="O1026"/>
        <s v="O1027"/>
        <s v="O1028"/>
        <s v="O1029"/>
        <s v="O1030"/>
        <s v="O1031"/>
        <s v="O1032"/>
        <s v="O1033"/>
        <s v="O1034"/>
        <s v="O1035"/>
        <s v="O1036"/>
        <s v="O1037"/>
        <s v="O1038"/>
        <s v="O1039"/>
        <s v="O1040"/>
        <s v="O1041"/>
        <s v="O1042"/>
        <s v="O1043"/>
        <s v="O1044"/>
        <s v="O1045"/>
        <s v="O1046"/>
        <s v="O1047"/>
        <s v="O1048"/>
        <s v="O1049"/>
        <s v="O1050"/>
        <s v="O1051"/>
        <s v="O1052"/>
        <s v="O1053"/>
        <s v="O1054"/>
        <s v="O1055"/>
        <s v="O1056"/>
        <s v="O1057"/>
        <s v="O1058"/>
        <s v="O1059"/>
        <s v="O1060"/>
        <s v="O1061"/>
        <s v="O1062"/>
        <s v="O1063"/>
        <s v="O1064"/>
        <s v="O1065"/>
        <s v="O1066"/>
        <s v="O1067"/>
        <s v="O1068"/>
        <s v="O1069"/>
        <s v="O1070"/>
        <s v="O1071"/>
        <s v="O1072"/>
        <s v="O1073"/>
        <s v="O1074"/>
        <s v="O1075"/>
        <s v="O1076"/>
        <s v="O1077"/>
        <s v="O1078"/>
        <s v="O1079"/>
        <s v="O1080"/>
        <s v="O1081"/>
        <s v="O1082"/>
        <s v="O1083"/>
        <s v="O1084"/>
        <s v="O1085"/>
        <s v="O1086"/>
        <s v="O1087"/>
        <s v="O1088"/>
        <s v="O1089"/>
        <s v="O1090"/>
        <s v="O1091"/>
        <s v="O1092"/>
        <s v="O1093"/>
        <s v="O1094"/>
        <s v="O1095"/>
        <s v="O1096"/>
        <s v="O1097"/>
        <s v="O1098"/>
        <s v="O1099"/>
        <s v="O1100"/>
        <s v="O1101"/>
        <s v="O1102"/>
        <s v="O1103"/>
        <s v="O1104"/>
        <s v="O1105"/>
        <s v="O1106"/>
        <s v="O1107"/>
        <s v="O1108"/>
        <s v="O1109"/>
        <s v="O1110"/>
        <s v="O1111"/>
        <s v="O1112"/>
        <s v="O1113"/>
        <s v="O1114"/>
        <s v="O1115"/>
        <s v="O1116"/>
        <s v="O1117"/>
        <s v="O1118"/>
        <s v="O1119"/>
        <s v="O1120"/>
        <s v="O1121"/>
        <s v="O1122"/>
        <s v="O1123"/>
        <s v="O1124"/>
        <s v="O1125"/>
        <s v="O1126"/>
        <s v="O1127"/>
        <s v="O1128"/>
        <s v="O1129"/>
        <s v="O1130"/>
        <s v="O1131"/>
        <s v="O1132"/>
        <s v="O1133"/>
        <s v="O1134"/>
        <s v="O1135"/>
        <s v="O1136"/>
        <s v="O1137"/>
        <s v="O1138"/>
        <s v="O1139"/>
        <s v="O1140"/>
        <s v="O1141"/>
        <s v="O1142"/>
        <s v="O1143"/>
        <s v="O1144"/>
        <s v="O1145"/>
        <s v="O1146"/>
        <s v="O1147"/>
        <s v="O1148"/>
        <s v="O1149"/>
        <s v="O1150"/>
        <s v="O1151"/>
        <s v="O1152"/>
        <s v="O1153"/>
        <s v="O1154"/>
        <s v="O1155"/>
        <s v="O1156"/>
        <s v="O1157"/>
        <s v="O1158"/>
        <s v="O1159"/>
        <s v="O1160"/>
        <s v="O1161"/>
        <s v="O1162"/>
        <s v="O1163"/>
        <s v="O1164"/>
        <s v="O1165"/>
        <s v="O1166"/>
        <s v="O1167"/>
        <s v="O1168"/>
        <s v="O1169"/>
        <s v="O1170"/>
        <s v="O1171"/>
        <s v="O1172"/>
        <s v="O1173"/>
        <s v="O1174"/>
        <s v="O1175"/>
        <s v="O1176"/>
        <s v="O1177"/>
        <s v="O1178"/>
        <s v="O1179"/>
        <s v="O1180"/>
        <s v="O1181"/>
        <s v="O1182"/>
        <s v="O1183"/>
        <s v="O1184"/>
        <s v="O1185"/>
        <s v="O1186"/>
        <s v="O1187"/>
        <s v="O1188"/>
        <s v="O1189"/>
        <s v="O1190"/>
        <s v="O1191"/>
        <s v="O1192"/>
        <s v="O1193"/>
        <s v="O1194"/>
        <s v="O1195"/>
        <s v="O1196"/>
        <s v="O1197"/>
        <s v="O1198"/>
        <s v="O1199"/>
        <s v="O1200"/>
        <s v="O1201"/>
        <s v="O1202"/>
        <s v="O1203"/>
        <s v="O1204"/>
        <s v="O1205"/>
        <s v="O1206"/>
        <s v="O1207"/>
        <s v="O1208"/>
        <s v="O1209"/>
        <s v="O1210"/>
        <s v="O1211"/>
        <s v="O1212"/>
        <s v="O1213"/>
        <s v="O1214"/>
        <s v="O1215"/>
        <s v="O1216"/>
        <s v="O1217"/>
        <s v="O1218"/>
        <s v="O1219"/>
        <s v="O1220"/>
        <s v="O1221"/>
        <s v="O1222"/>
        <s v="O1223"/>
        <s v="O1224"/>
        <s v="O1225"/>
        <s v="O1226"/>
        <s v="O1227"/>
        <s v="O1228"/>
        <s v="O1229"/>
        <s v="O1230"/>
        <s v="O1231"/>
        <s v="O1232"/>
        <s v="O1233"/>
        <s v="O1234"/>
        <s v="O1235"/>
        <s v="O1236"/>
        <s v="O1237"/>
        <s v="O1238"/>
        <s v="O1239"/>
        <s v="O1240"/>
        <s v="O1241"/>
        <s v="O1242"/>
        <s v="O1243"/>
        <s v="O1244"/>
        <s v="O1245"/>
        <s v="O1246"/>
        <s v="O1247"/>
        <s v="O1248"/>
        <s v="O1249"/>
        <s v="O1250"/>
        <s v="O1251"/>
        <s v="O1252"/>
        <s v="O1253"/>
        <s v="O1254"/>
        <s v="O1255"/>
        <s v="O1256"/>
        <s v="O1257"/>
        <s v="O1258"/>
        <s v="O1259"/>
        <s v="O1260"/>
        <s v="O1261"/>
        <s v="O1262"/>
        <s v="O1263"/>
        <s v="O1264"/>
        <s v="O1265"/>
        <s v="O1266"/>
        <s v="O1267"/>
        <s v="O1268"/>
        <s v="O1269"/>
        <s v="O1270"/>
        <s v="O1271"/>
        <s v="O1272"/>
        <s v="O1273"/>
        <s v="O1274"/>
        <s v="O1275"/>
        <s v="O1276"/>
        <s v="O1277"/>
        <s v="O1278"/>
        <s v="O1279"/>
        <s v="O1280"/>
        <s v="O1281"/>
        <s v="O1282"/>
        <s v="O1283"/>
        <s v="O1284"/>
        <s v="O1285"/>
        <s v="O1286"/>
        <s v="O1287"/>
        <s v="O1288"/>
        <s v="O1289"/>
        <s v="O1290"/>
        <s v="O1291"/>
        <s v="O1292"/>
        <s v="O1293"/>
        <s v="O1294"/>
        <s v="O1295"/>
        <s v="O1296"/>
        <s v="O1297"/>
        <s v="O1298"/>
        <s v="O1299"/>
        <s v="O1300"/>
        <s v="O1301"/>
        <s v="O1302"/>
        <s v="O1303"/>
        <s v="O1304"/>
        <s v="O1305"/>
        <s v="O1306"/>
        <s v="O1307"/>
        <s v="O1308"/>
        <s v="O1309"/>
        <s v="O1310"/>
        <s v="O1311"/>
        <s v="O1312"/>
        <s v="O1313"/>
        <s v="O1314"/>
        <s v="O1315"/>
        <s v="O1316"/>
        <s v="O1317"/>
        <s v="O1318"/>
        <s v="O1319"/>
        <s v="O1320"/>
        <s v="O1321"/>
        <s v="O1322"/>
        <s v="O1323"/>
        <s v="O1324"/>
        <s v="O1325"/>
        <s v="O1326"/>
        <s v="O1327"/>
        <s v="O1328"/>
        <s v="O1329"/>
        <s v="O1330"/>
        <s v="O1331"/>
        <s v="O1332"/>
        <s v="O1333"/>
        <s v="O1334"/>
        <s v="O1335"/>
        <s v="O1336"/>
        <s v="O1337"/>
        <s v="O1338"/>
        <s v="O1339"/>
        <s v="O1340"/>
        <s v="O1341"/>
        <s v="O1342"/>
        <s v="O1343"/>
        <s v="O1344"/>
        <s v="O1345"/>
        <s v="O1346"/>
        <s v="O1347"/>
        <s v="O1348"/>
        <s v="O1349"/>
        <s v="O1350"/>
        <s v="O1351"/>
        <s v="O1352"/>
        <s v="O1353"/>
        <s v="O1354"/>
        <s v="O1355"/>
        <s v="O1356"/>
        <s v="O1357"/>
        <s v="O1358"/>
        <s v="O1359"/>
        <s v="O1360"/>
        <s v="O1361"/>
        <s v="O1362"/>
        <s v="O1363"/>
        <s v="O1364"/>
        <s v="O1365"/>
        <s v="O1366"/>
        <s v="O1367"/>
        <s v="O1368"/>
        <s v="O1369"/>
        <s v="O1370"/>
        <s v="O1371"/>
        <s v="O1372"/>
        <s v="O1373"/>
        <s v="O1374"/>
        <s v="O1375"/>
        <s v="O1376"/>
        <s v="O1377"/>
        <s v="O1378"/>
        <s v="O1379"/>
        <s v="O1380"/>
        <s v="O1381"/>
        <s v="O1382"/>
        <s v="O1383"/>
        <s v="O1384"/>
        <s v="O1385"/>
        <s v="O1386"/>
        <s v="O1387"/>
        <s v="O1388"/>
        <s v="O1389"/>
        <s v="O1390"/>
        <s v="O1391"/>
        <s v="O1392"/>
        <s v="O1393"/>
        <s v="O1394"/>
        <s v="O1395"/>
        <s v="O1396"/>
        <s v="O1397"/>
        <s v="O1398"/>
        <s v="O1399"/>
        <s v="O1400"/>
        <s v="O1401"/>
        <s v="O1402"/>
        <s v="O1403"/>
        <s v="O1404"/>
        <s v="O1405"/>
        <s v="O1406"/>
        <s v="O1407"/>
        <s v="O1408"/>
        <s v="O1409"/>
        <s v="O1410"/>
        <s v="O1411"/>
        <s v="O1412"/>
        <s v="O1413"/>
        <s v="O1414"/>
        <s v="O1415"/>
        <s v="O1416"/>
        <s v="O1417"/>
        <s v="O1418"/>
        <s v="O1419"/>
        <s v="O1420"/>
        <s v="O1421"/>
        <s v="O1422"/>
        <s v="O1423"/>
        <s v="O1424"/>
        <s v="O1425"/>
        <s v="O1426"/>
        <s v="O1427"/>
        <s v="O1428"/>
        <s v="O1429"/>
        <s v="O1430"/>
        <s v="O1431"/>
        <s v="O1432"/>
        <s v="O1433"/>
        <s v="O1434"/>
        <s v="O1435"/>
        <s v="O1436"/>
        <s v="O1437"/>
        <s v="O1438"/>
        <s v="O1439"/>
        <s v="O1440"/>
        <s v="O1441"/>
        <s v="O1442"/>
        <s v="O1443"/>
        <s v="O1444"/>
        <s v="O1445"/>
        <s v="O1446"/>
        <s v="O1447"/>
        <s v="O1448"/>
        <s v="O1449"/>
        <s v="O1450"/>
        <s v="O1451"/>
        <s v="O1452"/>
        <s v="O1453"/>
        <s v="O1454"/>
        <s v="O1455"/>
        <s v="O1456"/>
        <s v="O1457"/>
        <s v="O1458"/>
        <s v="O1459"/>
        <s v="O1460"/>
        <s v="O1461"/>
        <s v="O1462"/>
        <s v="O1463"/>
        <s v="O1464"/>
        <s v="O1465"/>
        <s v="O1466"/>
        <s v="O1467"/>
        <s v="O1468"/>
        <s v="O1469"/>
        <s v="O1470"/>
        <s v="O1471"/>
        <s v="O1472"/>
        <s v="O1473"/>
        <s v="O1474"/>
        <s v="O1475"/>
        <s v="O1476"/>
        <s v="O1477"/>
        <s v="O1478"/>
        <s v="O1479"/>
        <s v="O1480"/>
        <s v="O1481"/>
        <s v="O1482"/>
        <s v="O1483"/>
        <s v="O1484"/>
        <s v="O1485"/>
        <s v="O1486"/>
        <s v="O1487"/>
        <s v="O1488"/>
        <s v="O1489"/>
        <s v="O1490"/>
        <s v="O1491"/>
        <s v="O1492"/>
        <s v="O1493"/>
        <s v="O1494"/>
        <s v="O1495"/>
        <s v="O1496"/>
        <s v="O1497"/>
        <s v="O1498"/>
        <s v="O1499"/>
        <s v="O1500"/>
        <s v="O1501"/>
        <s v="O1502"/>
        <s v="O1503"/>
        <s v="O1504"/>
        <s v="O1505"/>
        <s v="O1506"/>
        <s v="O1507"/>
        <s v="O1508"/>
        <s v="O1509"/>
        <s v="O1510"/>
        <s v="O1511"/>
        <s v="O1512"/>
        <s v="O1513"/>
        <s v="O1514"/>
        <s v="O1515"/>
        <s v="O1516"/>
        <s v="O1517"/>
        <s v="O1518"/>
        <s v="O1519"/>
        <s v="O1520"/>
        <s v="O1521"/>
        <s v="O1522"/>
        <s v="O1523"/>
        <s v="O1524"/>
        <s v="O1525"/>
        <s v="O1526"/>
        <s v="O1527"/>
        <s v="O1528"/>
        <s v="O1529"/>
        <s v="O1530"/>
        <s v="O1531"/>
        <s v="O1532"/>
        <s v="O1533"/>
        <s v="O1534"/>
        <s v="O1535"/>
        <s v="O1536"/>
        <s v="O1537"/>
        <s v="O1538"/>
        <s v="O1539"/>
        <s v="O1540"/>
        <s v="O1541"/>
        <s v="O1542"/>
        <s v="O1543"/>
        <s v="O1544"/>
        <s v="O1545"/>
        <s v="O1546"/>
        <s v="O1547"/>
        <s v="O1548"/>
        <s v="O1549"/>
        <s v="O1550"/>
        <s v="O1551"/>
        <s v="O1552"/>
        <s v="O1553"/>
        <s v="O1554"/>
        <s v="O1555"/>
        <s v="O1556"/>
        <s v="O1557"/>
        <s v="O1558"/>
        <s v="O1559"/>
        <s v="O1560"/>
        <s v="O1561"/>
        <s v="O1562"/>
        <s v="O1563"/>
        <s v="O1564"/>
        <s v="O1565"/>
        <s v="O1566"/>
        <s v="O1567"/>
        <s v="O1568"/>
        <s v="O1569"/>
        <s v="O1570"/>
        <s v="O1571"/>
        <s v="O1572"/>
        <s v="O1573"/>
        <s v="O1574"/>
        <s v="O1575"/>
        <s v="O1576"/>
        <s v="O1577"/>
        <s v="O1578"/>
        <s v="O1579"/>
        <s v="O1580"/>
        <s v="O1581"/>
        <s v="O1582"/>
        <s v="O1583"/>
        <s v="O1584"/>
        <s v="O1585"/>
        <s v="O1586"/>
        <s v="O1587"/>
        <s v="O1588"/>
        <s v="O1589"/>
        <s v="O1590"/>
        <s v="O1591"/>
        <s v="O1592"/>
        <s v="O1593"/>
        <s v="O1594"/>
        <s v="O1595"/>
        <s v="O1596"/>
        <s v="O1597"/>
        <s v="O1598"/>
        <s v="O1599"/>
        <s v="O1600"/>
        <s v="O1601"/>
        <s v="O1602"/>
        <s v="O1603"/>
        <s v="O1604"/>
        <s v="O1605"/>
        <s v="O1606"/>
        <s v="O1607"/>
        <s v="O1608"/>
        <s v="O1609"/>
        <s v="O1610"/>
        <s v="O1611"/>
        <s v="O1612"/>
        <s v="O1613"/>
        <s v="O1614"/>
        <s v="O1615"/>
        <s v="O1616"/>
        <s v="O1617"/>
        <s v="O1618"/>
        <s v="O1619"/>
        <s v="O1620"/>
        <s v="O1621"/>
        <s v="O1622"/>
        <s v="O1623"/>
        <s v="O1624"/>
        <s v="O1625"/>
        <s v="O1626"/>
        <s v="O1627"/>
        <s v="O1628"/>
        <s v="O1629"/>
        <s v="O1630"/>
        <s v="O1631"/>
        <s v="O1632"/>
        <s v="O1633"/>
        <s v="O1634"/>
        <s v="O1635"/>
        <s v="O1636"/>
        <s v="O1637"/>
        <s v="O1638"/>
        <s v="O1639"/>
        <s v="O1640"/>
        <s v="O1641"/>
        <s v="O1642"/>
        <s v="O1643"/>
        <s v="O1644"/>
        <s v="O1645"/>
        <s v="O1646"/>
        <s v="O1647"/>
        <s v="O1648"/>
        <s v="O1649"/>
        <s v="O1650"/>
      </sharedItems>
    </cacheField>
    <cacheField name="Customer_ID" numFmtId="0">
      <sharedItems/>
    </cacheField>
    <cacheField name="Product_ID" numFmtId="0">
      <sharedItems count="630">
        <s v="P1682"/>
        <s v="P3276"/>
        <s v="P7719"/>
        <s v="P6766"/>
        <s v="P6589"/>
        <s v="P1007"/>
        <s v="P9261"/>
        <s v="P3981"/>
        <s v="P3358"/>
        <s v="P6157"/>
        <s v="P4402"/>
        <s v="P4567"/>
        <s v="P4097"/>
        <s v="P1110"/>
        <s v="P2295"/>
        <s v="P3450"/>
        <s v="P1929"/>
        <s v="P3997"/>
        <s v="P4995"/>
        <s v="P9117"/>
        <s v="P8384"/>
        <s v="P8090"/>
        <s v="P1628"/>
        <s v="P9656"/>
        <s v="P6453"/>
        <s v="P1994"/>
        <s v="P1239"/>
        <s v="P6288"/>
        <s v="P6547"/>
        <s v="P5259"/>
        <s v="P2881"/>
        <s v="P9568"/>
        <s v="P1483"/>
        <s v="P1307"/>
        <s v="P8369"/>
        <s v="P2665"/>
        <s v="P9463"/>
        <s v="P1923"/>
        <s v="P1489"/>
        <s v="P9071"/>
        <s v="P7955"/>
        <s v="P8800"/>
        <s v="P2512"/>
        <s v="P6397"/>
        <s v="P1526"/>
        <s v="P8398"/>
        <s v="P8531"/>
        <s v="P7807"/>
        <s v="P8038"/>
        <s v="P9206"/>
        <s v="P1160"/>
        <s v="P5721"/>
        <s v="P8049"/>
        <s v="P1813"/>
        <s v="P5606"/>
        <s v="P2201"/>
        <s v="P6728"/>
        <s v="P8427"/>
        <s v="P6777"/>
        <s v="P4485"/>
        <s v="P1480"/>
        <s v="P1736"/>
        <s v="P2126"/>
        <s v="P9589"/>
        <s v="P7822"/>
        <s v="P9306"/>
        <s v="P9219"/>
        <s v="P6566"/>
        <s v="P6048"/>
        <s v="P3880"/>
        <s v="P2407"/>
        <s v="P2371"/>
        <s v="P6450"/>
        <s v="P4808"/>
        <s v="P9246"/>
        <s v="P9580"/>
        <s v="P8525"/>
        <s v="P6303"/>
        <s v="P5843"/>
        <s v="P3560"/>
        <s v="P6850"/>
        <s v="P7777"/>
        <s v="P1191"/>
        <s v="P4197"/>
        <s v="P9578"/>
        <s v="P9859"/>
        <s v="P1677"/>
        <s v="P2895"/>
        <s v="P3557"/>
        <s v="P1264"/>
        <s v="P3301"/>
        <s v="P5167"/>
        <s v="P9751"/>
        <s v="P2030"/>
        <s v="P3008"/>
        <s v="P8614"/>
        <s v="P8831"/>
        <s v="P4635"/>
        <s v="P8488"/>
        <s v="P6747"/>
        <s v="P2637"/>
        <s v="P3779"/>
        <s v="P5639"/>
        <s v="P6387"/>
        <s v="P9727"/>
        <s v="P2428"/>
        <s v="P4724"/>
        <s v="P3269"/>
        <s v="P1272"/>
        <s v="P4757"/>
        <s v="P6796"/>
        <s v="P1286"/>
        <s v="P8390"/>
        <s v="P2886"/>
        <s v="P5648"/>
        <s v="P6139"/>
        <s v="P9115"/>
        <s v="P2357"/>
        <s v="P4641"/>
        <s v="P9379"/>
        <s v="P8699"/>
        <s v="P7118"/>
        <s v="P2672"/>
        <s v="P9107"/>
        <s v="P6449"/>
        <s v="P7056"/>
        <s v="P2017"/>
        <s v="P9331"/>
        <s v="P8518"/>
        <s v="P2257"/>
        <s v="P1156"/>
        <s v="P5678"/>
        <s v="P3432"/>
        <s v="P1032"/>
        <s v="P2321"/>
        <s v="P1058"/>
        <s v="P8877"/>
        <s v="P5951"/>
        <s v="P9170"/>
        <s v="P3517"/>
        <s v="P6607"/>
        <s v="P4431"/>
        <s v="P1314"/>
        <s v="P7818"/>
        <s v="P5481"/>
        <s v="P5168"/>
        <s v="P8650"/>
        <s v="P6198"/>
        <s v="P8739"/>
        <s v="P7325"/>
        <s v="P6100"/>
        <s v="P8272"/>
        <s v="P3893"/>
        <s v="P9426"/>
        <s v="P5540"/>
        <s v="P6454"/>
        <s v="P2097"/>
        <s v="P6778"/>
        <s v="P4125"/>
        <s v="P7446"/>
        <s v="P9109"/>
        <s v="P2196"/>
        <s v="P4214"/>
        <s v="P5107"/>
        <s v="P3248"/>
        <s v="P1298"/>
        <s v="P9646"/>
        <s v="P8438"/>
        <s v="P8189"/>
        <s v="P4209"/>
        <s v="P3722"/>
        <s v="P8554"/>
        <s v="P3288"/>
        <s v="P9167"/>
        <s v="P9995"/>
        <s v="P7149"/>
        <s v="P1581"/>
        <s v="P7671"/>
        <s v="P7724"/>
        <s v="P2717"/>
        <s v="P9506"/>
        <s v="P7997"/>
        <s v="P5640"/>
        <s v="P8246"/>
        <s v="P3962"/>
        <s v="P8971"/>
        <s v="P3027"/>
        <s v="P7409"/>
        <s v="P5866"/>
        <s v="P7224"/>
        <s v="P2663"/>
        <s v="P4555"/>
        <s v="P1460"/>
        <s v="P4772"/>
        <s v="P3051"/>
        <s v="P7567"/>
        <s v="P7508"/>
        <s v="P9899"/>
        <s v="P9076"/>
        <s v="P4714"/>
        <s v="P5043"/>
        <s v="P9761"/>
        <s v="P4145"/>
        <s v="P2185"/>
        <s v="P7166"/>
        <s v="P7047"/>
        <s v="P2897"/>
        <s v="P5857"/>
        <s v="P9999"/>
        <s v="P2215"/>
        <s v="P1546"/>
        <s v="P3255"/>
        <s v="P3258"/>
        <s v="P8743"/>
        <s v="P4685"/>
        <s v="P3996"/>
        <s v="P3043"/>
        <s v="P2551"/>
        <s v="P6688"/>
        <s v="P3413"/>
        <s v="P2166"/>
        <s v="P8059"/>
        <s v="P5344"/>
        <s v="P7418"/>
        <s v="P2009"/>
        <s v="P5527"/>
        <s v="P5493"/>
        <s v="P6713"/>
        <s v="P8269"/>
        <s v="P1928"/>
        <s v="P6415"/>
        <s v="P6911"/>
        <s v="P9977"/>
        <s v="P8802"/>
        <s v="P2413"/>
        <s v="P1568"/>
        <s v="P1664"/>
        <s v="P1748"/>
        <s v="P4477"/>
        <s v="P2557"/>
        <s v="P6322"/>
        <s v="P5238"/>
        <s v="P9162"/>
        <s v="P6525"/>
        <s v="P8391"/>
        <s v="P9116"/>
        <s v="P5011"/>
        <s v="P1316"/>
        <s v="P1997"/>
        <s v="P2763"/>
        <s v="P4250"/>
        <s v="P7115"/>
        <s v="P6753"/>
        <s v="P8510"/>
        <s v="P5280"/>
        <s v="P3719"/>
        <s v="P3181"/>
        <s v="P2292"/>
        <s v="P4124"/>
        <s v="P2966"/>
        <s v="P6085"/>
        <s v="P3892"/>
        <s v="P8661"/>
        <s v="P1879"/>
        <s v="P5054"/>
        <s v="P8899"/>
        <s v="P1262"/>
        <s v="P3455"/>
        <s v="P6909"/>
        <s v="P4304"/>
        <s v="P3376"/>
        <s v="P9099"/>
        <s v="P8284"/>
        <s v="P7097"/>
        <s v="P4973"/>
        <s v="P6338"/>
        <s v="P9938"/>
        <s v="P3561"/>
        <s v="P1042"/>
        <s v="P6419"/>
        <s v="P5949"/>
        <s v="P2752"/>
        <s v="P9745"/>
        <s v="P2801"/>
        <s v="P1284"/>
        <s v="P9883"/>
        <s v="P6390"/>
        <s v="P6205"/>
        <s v="P6522"/>
        <s v="P1905"/>
        <s v="P1594"/>
        <s v="P3157"/>
        <s v="P1245"/>
        <s v="P7674"/>
        <s v="P5436"/>
        <s v="P6725"/>
        <s v="P4780"/>
        <s v="P8872"/>
        <s v="P8681"/>
        <s v="P7752"/>
        <s v="P2205"/>
        <s v="P1823"/>
        <s v="P7916"/>
        <s v="P8062"/>
        <s v="P8397"/>
        <s v="P3685"/>
        <s v="P8583"/>
        <s v="P2624"/>
        <s v="P6308"/>
        <s v="P7195"/>
        <s v="P4503"/>
        <s v="P9696"/>
        <s v="P6484"/>
        <s v="P4037"/>
        <s v="P5218"/>
        <s v="P1346"/>
        <s v="P9133"/>
        <s v="P6242"/>
        <s v="P9942"/>
        <s v="P3302"/>
        <s v="P9048"/>
        <s v="P5942"/>
        <s v="P1051"/>
        <s v="P4636"/>
        <s v="P2746"/>
        <s v="P8003"/>
        <s v="P5507"/>
        <s v="P1018"/>
        <s v="P2396"/>
        <s v="P4164"/>
        <s v="P8022"/>
        <s v="P7791"/>
        <s v="P1532"/>
        <s v="P2784"/>
        <s v="P8940"/>
        <s v="P9457"/>
        <s v="P1604"/>
        <s v="P9129"/>
        <s v="P1937"/>
        <s v="P9966"/>
        <s v="P7051"/>
        <s v="P5683"/>
        <s v="P5171"/>
        <s v="P6591"/>
        <s v="P5760"/>
        <s v="P3292"/>
        <s v="P2935"/>
        <s v="P5801"/>
        <s v="P4303"/>
        <s v="P6482"/>
        <s v="P4331"/>
        <s v="P7726"/>
        <s v="P5184"/>
        <s v="P2998"/>
        <s v="P3473"/>
        <s v="P5045"/>
        <s v="P2740"/>
        <s v="P1288"/>
        <s v="P5406"/>
        <s v="P4601"/>
        <s v="P1254"/>
        <s v="P9522"/>
        <s v="P2386"/>
        <s v="P2588"/>
        <s v="P2237"/>
        <s v="P2482"/>
        <s v="P2751"/>
        <s v="P2006"/>
        <s v="P3290"/>
        <s v="P3052"/>
        <s v="P6287"/>
        <s v="P8081"/>
        <s v="P7632"/>
        <s v="P7220"/>
        <s v="P2628"/>
        <s v="P7039"/>
        <s v="P1274"/>
        <s v="P1332"/>
        <s v="P7727"/>
        <s v="P1012"/>
        <s v="P7775"/>
        <s v="P7995"/>
        <s v="P1125"/>
        <s v="P9781"/>
        <s v="P6134"/>
        <s v="P3271"/>
        <s v="P1486"/>
        <s v="P8442"/>
        <s v="P2598"/>
        <s v="P2207"/>
        <s v="P2608"/>
        <s v="P6437"/>
        <s v="P4419"/>
        <s v="P4843"/>
        <s v="P1396"/>
        <s v="P2392"/>
        <s v="P3606"/>
        <s v="P6267"/>
        <s v="P5470"/>
        <s v="P1411"/>
        <s v="P6465"/>
        <s v="P9950"/>
        <s v="P9252"/>
        <s v="P6069"/>
        <s v="P7935"/>
        <s v="P7059"/>
        <s v="P6709"/>
        <s v="P7731"/>
        <s v="P6353"/>
        <s v="P1840"/>
        <s v="P7634"/>
        <s v="P5886"/>
        <s v="P4952"/>
        <s v="P9371"/>
        <s v="P2394"/>
        <s v="P4329"/>
        <s v="P2702"/>
        <s v="P8984"/>
        <s v="P3944"/>
        <s v="P7140"/>
        <s v="P5766"/>
        <s v="P9290"/>
        <s v="P7424"/>
        <s v="P1701"/>
        <s v="P2553"/>
        <s v="P8169"/>
        <s v="P5770"/>
        <s v="P8155"/>
        <s v="P5152"/>
        <s v="P1688"/>
        <s v="P1615"/>
        <s v="P7037"/>
        <s v="P9159"/>
        <s v="P5401"/>
        <s v="P7858"/>
        <s v="P3060"/>
        <s v="P4800"/>
        <s v="P3245"/>
        <s v="P3189"/>
        <s v="P5991"/>
        <s v="P9597"/>
        <s v="P2040"/>
        <s v="P8325"/>
        <s v="P2439"/>
        <s v="P8834"/>
        <s v="P4435"/>
        <s v="P2239"/>
        <s v="P5372"/>
        <s v="P9201"/>
        <s v="P3331"/>
        <s v="P9518"/>
        <s v="P6751"/>
        <s v="P8296"/>
        <s v="P6651"/>
        <s v="P9082"/>
        <s v="P2924"/>
        <s v="P3896"/>
        <s v="P6223"/>
        <s v="P1211"/>
        <s v="P7214"/>
        <s v="P5202"/>
        <s v="P9278"/>
        <s v="P4165"/>
        <s v="P3057"/>
        <s v="P5503"/>
        <s v="P8985"/>
        <s v="P6800"/>
        <s v="P1951"/>
        <s v="P2582"/>
        <s v="P3781"/>
        <s v="P1752"/>
        <s v="P4203"/>
        <s v="P4442"/>
        <s v="P5187"/>
        <s v="P9567"/>
        <s v="P5018"/>
        <s v="P1655"/>
        <s v="P2635"/>
        <s v="P1169"/>
        <s v="P6540"/>
        <s v="P7970"/>
        <s v="P6859"/>
        <s v="P2107"/>
        <s v="P5307"/>
        <s v="P1490"/>
        <s v="P1423"/>
        <s v="P6360"/>
        <s v="P3427"/>
        <s v="P6339"/>
        <s v="P4680"/>
        <s v="P6347"/>
        <s v="P8889"/>
        <s v="P4675"/>
        <s v="P2915"/>
        <s v="P8075"/>
        <s v="P7788"/>
        <s v="P9795"/>
        <s v="P1368"/>
        <s v="P6809"/>
        <s v="P1614"/>
        <s v="P7171"/>
        <s v="P5201"/>
        <s v="P7490"/>
        <s v="P1257"/>
        <s v="P6423"/>
        <s v="P6922"/>
        <s v="P2090"/>
        <s v="P8156"/>
        <s v="P2824"/>
        <s v="P7864"/>
        <s v="P3406"/>
        <s v="P3771"/>
        <s v="P7733"/>
        <s v="P9548"/>
        <s v="P7088"/>
        <s v="P1836"/>
        <s v="P4410"/>
        <s v="P4436"/>
        <s v="P3195"/>
        <s v="P8783"/>
        <s v="P1408"/>
        <s v="P5552"/>
        <s v="P1306"/>
        <s v="P3608"/>
        <s v="P6702"/>
        <s v="P9664"/>
        <s v="P8294"/>
        <s v="P1431"/>
        <s v="P3766"/>
        <s v="P5321"/>
        <s v="P6513"/>
        <s v="P9232"/>
        <s v="P4460"/>
        <s v="P1966"/>
        <s v="P6115"/>
        <s v="P5685"/>
        <s v="P4269"/>
        <s v="P1420"/>
        <s v="P7232"/>
        <s v="P3576"/>
        <s v="P3304"/>
        <s v="P5595"/>
        <s v="P1279"/>
        <s v="P9614"/>
        <s v="P1744"/>
        <s v="P8343"/>
        <s v="P8061"/>
        <s v="P8860"/>
        <s v="P4898"/>
        <s v="P4868"/>
        <s v="P2073"/>
        <s v="P3525"/>
        <s v="P2741"/>
        <s v="P7262"/>
        <s v="P1586"/>
        <s v="P9046"/>
        <s v="P5834"/>
        <s v="P7334"/>
        <s v="P3306"/>
        <s v="P3418"/>
        <s v="P8861"/>
        <s v="P7078"/>
        <s v="P4694"/>
        <s v="P5547"/>
        <s v="P3225"/>
        <s v="P3975"/>
        <s v="P9609"/>
        <s v="P2193"/>
        <s v="P4321"/>
        <s v="P6330"/>
        <s v="P5782"/>
        <s v="P1341"/>
        <s v="P5016"/>
        <s v="P2007"/>
        <s v="P1724"/>
        <s v="P1181"/>
        <s v="P2714"/>
        <s v="P1195"/>
        <s v="P2120"/>
        <s v="P9806"/>
        <s v="P1756"/>
        <s v="P5063"/>
        <s v="P4133"/>
        <s v="P6255"/>
        <s v="P6886"/>
        <s v="P9624"/>
        <s v="P6679"/>
        <s v="P9666"/>
        <s v="P5471"/>
        <s v="P9607"/>
        <s v="P9435"/>
        <s v="P3516"/>
        <s v="P4955"/>
        <s v="P3340"/>
        <s v="P3315"/>
        <s v="P2129"/>
        <s v="P4103"/>
        <s v="P1148"/>
        <s v="P8599"/>
        <s v="P4881"/>
        <s v="P9777"/>
        <s v="P3145"/>
        <s v="P8707"/>
        <s v="P1275"/>
        <s v="P3423"/>
        <s v="P2960"/>
        <s v="P6994"/>
        <s v="P3607"/>
        <s v="P7742"/>
        <s v="P7615"/>
        <s v="P5002"/>
        <s v="P1233"/>
        <s v="P7113"/>
        <s v="P3061"/>
        <s v="P2150"/>
        <s v="P8270"/>
        <s v="P5950"/>
        <s v="P2063"/>
        <s v="P2403"/>
        <s v="P5173"/>
        <s v="P2947"/>
        <s v="P1265"/>
        <s v="P8690"/>
        <s v="P1399"/>
        <s v="P5963"/>
        <s v="P7095"/>
        <s v="P1592"/>
        <s v="P1079"/>
        <s v="P6752"/>
        <s v="P6619"/>
      </sharedItems>
    </cacheField>
    <cacheField name="Product_Name" numFmtId="49">
      <sharedItems/>
    </cacheField>
    <cacheField name="Category" numFmtId="49">
      <sharedItems count="10">
        <s v="Women &gt; Dresses"/>
        <s v="Men &gt; Shirts"/>
        <s v="Women &gt; Bags"/>
        <s v="Men &gt; Hoodies"/>
        <s v="Men &gt; T-Shirts"/>
        <s v="Men &gt; Jeans"/>
        <s v="Women &gt; Jackets"/>
        <s v="Women &gt; Ethnic"/>
        <s v="Men &gt; Shoes"/>
        <s v="Men &gt; Blazers"/>
      </sharedItems>
    </cacheField>
    <cacheField name="Brand" numFmtId="49">
      <sharedItems count="6">
        <s v="DressBerry"/>
        <s v="Roadster"/>
        <s v="HRX"/>
        <s v="WROGN"/>
        <s v="Anouk"/>
        <s v="Mast &amp; Harbour"/>
      </sharedItems>
    </cacheField>
    <cacheField name="Price" numFmtId="1">
      <sharedItems containsSemiMixedTypes="0" containsString="0" containsNumber="1" containsInteger="1" minValue="604" maxValue="4996"/>
    </cacheField>
    <cacheField name="Discount (%)" numFmtId="1">
      <sharedItems containsSemiMixedTypes="0" containsString="0" containsNumber="1" containsInteger="1" minValue="10" maxValue="40"/>
    </cacheField>
    <cacheField name="Selling_Price" numFmtId="1">
      <sharedItems containsSemiMixedTypes="0" containsString="0" containsNumber="1" containsInteger="1" minValue="378" maxValue="4495"/>
    </cacheField>
    <cacheField name="Quantity" numFmtId="1">
      <sharedItems containsSemiMixedTypes="0" containsString="0" containsNumber="1" containsInteger="1" minValue="1" maxValue="3"/>
    </cacheField>
    <cacheField name="Size" numFmtId="0">
      <sharedItems containsMixedTypes="1" containsNumber="1" containsInteger="1" minValue="40" maxValue="44"/>
    </cacheField>
    <cacheField name="Color" numFmtId="49">
      <sharedItems/>
    </cacheField>
    <cacheField name="Rating" numFmtId="168">
      <sharedItems containsSemiMixedTypes="0" containsString="0" containsNumber="1" minValue="3.5" maxValue="5"/>
    </cacheField>
    <cacheField name="Review_Count" numFmtId="1">
      <sharedItems containsSemiMixedTypes="0" containsString="0" containsNumber="1" containsInteger="1" minValue="10" maxValue="300"/>
    </cacheField>
    <cacheField name="Order_Date" numFmtId="14">
      <sharedItems containsSemiMixedTypes="0" containsNonDate="0" containsDate="1" containsString="0" minDate="2025-04-22T00:00:00" maxDate="2025-07-21T00:00:00"/>
    </cacheField>
    <cacheField name="Delivery_Status" numFmtId="49">
      <sharedItems/>
    </cacheField>
    <cacheField name="Payment_Method" numFmtId="49">
      <sharedItems count="3">
        <s v="Credit Card"/>
        <s v="Cash on Delivery"/>
        <s v="UPI"/>
      </sharedItems>
    </cacheField>
    <cacheField name="City" numFmtId="49">
      <sharedItems count="10">
        <s v="Bhopal"/>
        <s v="Bangalore"/>
        <s v="Mumbai"/>
        <s v="Jaipur"/>
        <s v="Delhi"/>
        <s v="Lucknow"/>
        <s v="Kolkata"/>
        <s v="Hyderabad"/>
        <s v="Ahmedabad"/>
        <s v="Chennai"/>
      </sharedItems>
    </cacheField>
    <cacheField name="State" numFmtId="49">
      <sharedItems/>
    </cacheField>
    <cacheField name="Return_Reason" numFmtId="49">
      <sharedItems containsBlank="1"/>
    </cacheField>
    <cacheField name="Gross_Sales" numFmtId="1">
      <sharedItems containsSemiMixedTypes="0" containsString="0" containsNumber="1" containsInteger="1" minValue="611" maxValue="14988"/>
    </cacheField>
    <cacheField name="Net_Sales" numFmtId="1">
      <sharedItems containsSemiMixedTypes="0" containsString="0" containsNumber="1" containsInteger="1" minValue="378" maxValue="13485"/>
    </cacheField>
    <cacheField name="Discount_Amount" numFmtId="1">
      <sharedItems containsSemiMixedTypes="0" containsString="0" containsNumber="1" containsInteger="1" minValue="82" maxValue="5928"/>
    </cacheField>
    <cacheField name="Order_Flag" numFmtId="0">
      <sharedItems count="3">
        <s v="Completed"/>
        <s v="Returned"/>
        <s v="Cancell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0">
  <r>
    <x v="0"/>
    <s v="C597"/>
    <x v="0"/>
    <s v="DressBerry Somebody Year"/>
    <x v="0"/>
    <x v="0"/>
    <n v="1154"/>
    <n v="40"/>
    <n v="693"/>
    <n v="2"/>
    <s v="M"/>
    <s v="Red"/>
    <n v="5"/>
    <n v="91"/>
    <d v="2025-05-11T00:00:00"/>
    <s v="DELIVERED"/>
    <x v="0"/>
    <x v="0"/>
    <s v="Madhya Pradesh"/>
    <m/>
    <n v="2308"/>
    <n v="1386"/>
    <n v="922"/>
    <x v="0"/>
  </r>
  <r>
    <x v="1"/>
    <s v="C273"/>
    <x v="1"/>
    <s v="Roadster Director Draw"/>
    <x v="1"/>
    <x v="1"/>
    <n v="629"/>
    <n v="40"/>
    <n v="378"/>
    <n v="1"/>
    <n v="42"/>
    <s v="Black"/>
    <n v="5"/>
    <n v="166"/>
    <d v="2025-05-12T00:00:00"/>
    <s v="RETURNED"/>
    <x v="0"/>
    <x v="1"/>
    <s v="Karnataka"/>
    <s v="Color Mismatch"/>
    <n v="629"/>
    <n v="378"/>
    <n v="251"/>
    <x v="1"/>
  </r>
  <r>
    <x v="2"/>
    <s v="C579"/>
    <x v="2"/>
    <s v="DressBerry Set Child"/>
    <x v="2"/>
    <x v="0"/>
    <n v="4659"/>
    <n v="20"/>
    <n v="3728"/>
    <n v="3"/>
    <s v="M"/>
    <s v="Yellow"/>
    <n v="4.2"/>
    <n v="76"/>
    <d v="2025-06-13T00:00:00"/>
    <s v="RETURNED"/>
    <x v="0"/>
    <x v="0"/>
    <s v="Madhya Pradesh"/>
    <s v="Late Delivery"/>
    <n v="13977"/>
    <n v="11184"/>
    <n v="2793"/>
    <x v="1"/>
  </r>
  <r>
    <x v="3"/>
    <s v="C687"/>
    <x v="3"/>
    <s v="Roadster Partner Traditional"/>
    <x v="3"/>
    <x v="1"/>
    <n v="957"/>
    <n v="20"/>
    <n v="766"/>
    <n v="3"/>
    <s v="XL"/>
    <s v="Red"/>
    <n v="4.9000000000000004"/>
    <n v="118"/>
    <d v="2025-05-11T00:00:00"/>
    <s v="CANCELLED"/>
    <x v="0"/>
    <x v="2"/>
    <s v="Maharashtra"/>
    <m/>
    <n v="2871"/>
    <n v="2298"/>
    <n v="573"/>
    <x v="2"/>
  </r>
  <r>
    <x v="4"/>
    <s v="C409"/>
    <x v="4"/>
    <s v="DressBerry Foreign Event"/>
    <x v="0"/>
    <x v="0"/>
    <n v="2453"/>
    <n v="10"/>
    <n v="2208"/>
    <n v="1"/>
    <n v="40"/>
    <s v="Grey"/>
    <n v="3.7"/>
    <n v="144"/>
    <d v="2025-04-25T00:00:00"/>
    <s v="DELIVERED"/>
    <x v="1"/>
    <x v="3"/>
    <s v="Rajasthan"/>
    <m/>
    <n v="2453"/>
    <n v="2208"/>
    <n v="245"/>
    <x v="0"/>
  </r>
  <r>
    <x v="5"/>
    <s v="C338"/>
    <x v="5"/>
    <s v="Roadster Everybody Business"/>
    <x v="3"/>
    <x v="1"/>
    <n v="4020"/>
    <n v="35"/>
    <n v="2613"/>
    <n v="2"/>
    <s v="S"/>
    <s v="Pink"/>
    <n v="4.8"/>
    <n v="175"/>
    <d v="2025-06-17T00:00:00"/>
    <s v="CANCELLED"/>
    <x v="0"/>
    <x v="3"/>
    <s v="Rajasthan"/>
    <m/>
    <n v="8040"/>
    <n v="5226"/>
    <n v="2814"/>
    <x v="2"/>
  </r>
  <r>
    <x v="6"/>
    <s v="C484"/>
    <x v="6"/>
    <s v="DressBerry Win Down"/>
    <x v="2"/>
    <x v="0"/>
    <n v="3415"/>
    <n v="20"/>
    <n v="2732"/>
    <n v="2"/>
    <s v="XL"/>
    <s v="Grey"/>
    <n v="4.2"/>
    <n v="113"/>
    <d v="2025-04-25T00:00:00"/>
    <s v="CANCELLED"/>
    <x v="2"/>
    <x v="1"/>
    <s v="Karnataka"/>
    <m/>
    <n v="6830"/>
    <n v="5464"/>
    <n v="1366"/>
    <x v="2"/>
  </r>
  <r>
    <x v="7"/>
    <s v="C248"/>
    <x v="7"/>
    <s v="Roadster Form Property"/>
    <x v="1"/>
    <x v="1"/>
    <n v="1089"/>
    <n v="15"/>
    <n v="926"/>
    <n v="3"/>
    <n v="44"/>
    <s v="Black"/>
    <n v="4.8"/>
    <n v="48"/>
    <d v="2025-07-07T00:00:00"/>
    <s v="DELIVERED"/>
    <x v="1"/>
    <x v="4"/>
    <s v="Delhi"/>
    <m/>
    <n v="3267"/>
    <n v="2778"/>
    <n v="489"/>
    <x v="0"/>
  </r>
  <r>
    <x v="8"/>
    <s v="C513"/>
    <x v="8"/>
    <s v="Roadster Become Far"/>
    <x v="3"/>
    <x v="1"/>
    <n v="1150"/>
    <n v="25"/>
    <n v="863"/>
    <n v="2"/>
    <s v="S"/>
    <s v="Brown"/>
    <n v="4.3"/>
    <n v="229"/>
    <d v="2025-06-06T00:00:00"/>
    <s v="RETURNED"/>
    <x v="0"/>
    <x v="5"/>
    <s v="Uttar Pradesh"/>
    <s v="Color Mismatch"/>
    <n v="2300"/>
    <n v="1726"/>
    <n v="574"/>
    <x v="1"/>
  </r>
  <r>
    <x v="9"/>
    <s v="C334"/>
    <x v="9"/>
    <s v="DressBerry Movie Team"/>
    <x v="2"/>
    <x v="0"/>
    <n v="3458"/>
    <n v="35"/>
    <n v="2248"/>
    <n v="3"/>
    <n v="40"/>
    <s v="Brown"/>
    <n v="4.9000000000000004"/>
    <n v="297"/>
    <d v="2025-05-04T00:00:00"/>
    <s v="CANCELLED"/>
    <x v="2"/>
    <x v="0"/>
    <s v="Madhya Pradesh"/>
    <m/>
    <n v="10374"/>
    <n v="6744"/>
    <n v="3630"/>
    <x v="2"/>
  </r>
  <r>
    <x v="10"/>
    <s v="C554"/>
    <x v="10"/>
    <s v="Roadster Suggest Data"/>
    <x v="3"/>
    <x v="1"/>
    <n v="3389"/>
    <n v="35"/>
    <n v="2203"/>
    <n v="2"/>
    <s v="S"/>
    <s v="Red"/>
    <n v="3.8"/>
    <n v="83"/>
    <d v="2025-05-19T00:00:00"/>
    <s v="RETURNED"/>
    <x v="0"/>
    <x v="2"/>
    <s v="Maharashtra"/>
    <s v="Color Mismatch"/>
    <n v="6778"/>
    <n v="4406"/>
    <n v="2372"/>
    <x v="1"/>
  </r>
  <r>
    <x v="11"/>
    <s v="C641"/>
    <x v="11"/>
    <s v="DressBerry Time Stop"/>
    <x v="0"/>
    <x v="0"/>
    <n v="4446"/>
    <n v="10"/>
    <n v="4002"/>
    <n v="1"/>
    <s v="M"/>
    <s v="Navy"/>
    <n v="4"/>
    <n v="178"/>
    <d v="2025-06-07T00:00:00"/>
    <s v="CANCELLED"/>
    <x v="0"/>
    <x v="6"/>
    <s v="West Bengal"/>
    <m/>
    <n v="4446"/>
    <n v="4002"/>
    <n v="444"/>
    <x v="2"/>
  </r>
  <r>
    <x v="12"/>
    <s v="C447"/>
    <x v="12"/>
    <s v="Roadster Consider Floor"/>
    <x v="3"/>
    <x v="1"/>
    <n v="4024"/>
    <n v="25"/>
    <n v="3018"/>
    <n v="3"/>
    <s v="S"/>
    <s v="Yellow"/>
    <n v="4.8"/>
    <n v="111"/>
    <d v="2025-06-15T00:00:00"/>
    <s v="DELIVERED"/>
    <x v="1"/>
    <x v="7"/>
    <s v="Telangana"/>
    <m/>
    <n v="12072"/>
    <n v="9054"/>
    <n v="3018"/>
    <x v="0"/>
  </r>
  <r>
    <x v="13"/>
    <s v="C497"/>
    <x v="13"/>
    <s v="HRX Prevent Born"/>
    <x v="4"/>
    <x v="2"/>
    <n v="4129"/>
    <n v="40"/>
    <n v="2478"/>
    <n v="1"/>
    <s v="M"/>
    <s v="Brown"/>
    <n v="4.0999999999999996"/>
    <n v="34"/>
    <d v="2025-06-02T00:00:00"/>
    <s v="DELIVERED"/>
    <x v="1"/>
    <x v="1"/>
    <s v="Karnataka"/>
    <m/>
    <n v="4129"/>
    <n v="2478"/>
    <n v="1651"/>
    <x v="0"/>
  </r>
  <r>
    <x v="14"/>
    <s v="C360"/>
    <x v="14"/>
    <s v="WROGN Stand Affect"/>
    <x v="5"/>
    <x v="3"/>
    <n v="4507"/>
    <n v="15"/>
    <n v="3831"/>
    <n v="3"/>
    <s v="M"/>
    <s v="Yellow"/>
    <n v="3.5"/>
    <n v="283"/>
    <d v="2025-07-17T00:00:00"/>
    <s v="CANCELLED"/>
    <x v="1"/>
    <x v="3"/>
    <s v="Rajasthan"/>
    <m/>
    <n v="13521"/>
    <n v="11493"/>
    <n v="2028"/>
    <x v="2"/>
  </r>
  <r>
    <x v="15"/>
    <s v="C457"/>
    <x v="15"/>
    <s v="Roadster Minute Nation"/>
    <x v="1"/>
    <x v="1"/>
    <n v="1783"/>
    <n v="35"/>
    <n v="1159"/>
    <n v="3"/>
    <s v="M"/>
    <s v="Brown"/>
    <n v="3.9"/>
    <n v="276"/>
    <d v="2025-05-09T00:00:00"/>
    <s v="CANCELLED"/>
    <x v="0"/>
    <x v="6"/>
    <s v="West Bengal"/>
    <m/>
    <n v="5349"/>
    <n v="3477"/>
    <n v="1872"/>
    <x v="2"/>
  </r>
  <r>
    <x v="16"/>
    <s v="C449"/>
    <x v="16"/>
    <s v="Roadster Once Through"/>
    <x v="6"/>
    <x v="1"/>
    <n v="2133"/>
    <n v="10"/>
    <n v="1920"/>
    <n v="1"/>
    <s v="S"/>
    <s v="White"/>
    <n v="3.7"/>
    <n v="230"/>
    <d v="2025-06-21T00:00:00"/>
    <s v="RETURNED"/>
    <x v="0"/>
    <x v="3"/>
    <s v="Rajasthan"/>
    <s v="Size Issue"/>
    <n v="2133"/>
    <n v="1920"/>
    <n v="213"/>
    <x v="1"/>
  </r>
  <r>
    <x v="17"/>
    <s v="C265"/>
    <x v="17"/>
    <s v="Roadster Tv May"/>
    <x v="1"/>
    <x v="1"/>
    <n v="1859"/>
    <n v="10"/>
    <n v="1674"/>
    <n v="1"/>
    <s v="M"/>
    <s v="Red"/>
    <n v="4.8"/>
    <n v="288"/>
    <d v="2025-06-13T00:00:00"/>
    <s v="RETURNED"/>
    <x v="1"/>
    <x v="4"/>
    <s v="Delhi"/>
    <s v="Late Delivery"/>
    <n v="1859"/>
    <n v="1674"/>
    <n v="185"/>
    <x v="1"/>
  </r>
  <r>
    <x v="18"/>
    <s v="C325"/>
    <x v="18"/>
    <s v="Roadster Decide Security"/>
    <x v="1"/>
    <x v="1"/>
    <n v="3778"/>
    <n v="20"/>
    <n v="3023"/>
    <n v="1"/>
    <s v="-"/>
    <s v="Red"/>
    <n v="4.5"/>
    <n v="73"/>
    <d v="2025-06-15T00:00:00"/>
    <s v="DELIVERED"/>
    <x v="0"/>
    <x v="1"/>
    <s v="Karnataka"/>
    <m/>
    <n v="3778"/>
    <n v="3023"/>
    <n v="755"/>
    <x v="0"/>
  </r>
  <r>
    <x v="19"/>
    <s v="C589"/>
    <x v="19"/>
    <s v="Anouk Accept Tell"/>
    <x v="7"/>
    <x v="4"/>
    <n v="4606"/>
    <n v="15"/>
    <n v="3916"/>
    <n v="1"/>
    <n v="42"/>
    <s v="Pink"/>
    <n v="4"/>
    <n v="107"/>
    <d v="2025-05-07T00:00:00"/>
    <s v="CANCELLED"/>
    <x v="1"/>
    <x v="8"/>
    <s v="Gujarat"/>
    <m/>
    <n v="4606"/>
    <n v="3916"/>
    <n v="690"/>
    <x v="2"/>
  </r>
  <r>
    <x v="20"/>
    <s v="C205"/>
    <x v="20"/>
    <s v="WROGN Before Today"/>
    <x v="5"/>
    <x v="3"/>
    <n v="2002"/>
    <n v="15"/>
    <n v="1702"/>
    <n v="3"/>
    <n v="42"/>
    <s v="Pink"/>
    <n v="4.5"/>
    <n v="126"/>
    <d v="2025-06-11T00:00:00"/>
    <s v="CANCELLED"/>
    <x v="2"/>
    <x v="7"/>
    <s v="Telangana"/>
    <m/>
    <n v="6006"/>
    <n v="5106"/>
    <n v="900"/>
    <x v="2"/>
  </r>
  <r>
    <x v="21"/>
    <s v="C276"/>
    <x v="21"/>
    <s v="Roadster Note Season"/>
    <x v="3"/>
    <x v="1"/>
    <n v="788"/>
    <n v="25"/>
    <n v="591"/>
    <n v="3"/>
    <s v="XL"/>
    <s v="Red"/>
    <n v="3.5"/>
    <n v="289"/>
    <d v="2025-07-03T00:00:00"/>
    <s v="CANCELLED"/>
    <x v="2"/>
    <x v="3"/>
    <s v="Rajasthan"/>
    <m/>
    <n v="2364"/>
    <n v="1773"/>
    <n v="591"/>
    <x v="2"/>
  </r>
  <r>
    <x v="22"/>
    <s v="C470"/>
    <x v="22"/>
    <s v="Roadster Leader Sound"/>
    <x v="3"/>
    <x v="1"/>
    <n v="1075"/>
    <n v="35"/>
    <n v="699"/>
    <n v="3"/>
    <s v="Free Size"/>
    <s v="Brown"/>
    <n v="4.3"/>
    <n v="187"/>
    <d v="2025-06-04T00:00:00"/>
    <s v="CANCELLED"/>
    <x v="2"/>
    <x v="6"/>
    <s v="West Bengal"/>
    <m/>
    <n v="3225"/>
    <n v="2097"/>
    <n v="1128"/>
    <x v="2"/>
  </r>
  <r>
    <x v="23"/>
    <s v="C544"/>
    <x v="23"/>
    <s v="Roadster Art Produce"/>
    <x v="6"/>
    <x v="1"/>
    <n v="2429"/>
    <n v="30"/>
    <n v="1701"/>
    <n v="3"/>
    <n v="40"/>
    <s v="Green"/>
    <n v="3.7"/>
    <n v="112"/>
    <d v="2025-05-21T00:00:00"/>
    <s v="CANCELLED"/>
    <x v="1"/>
    <x v="1"/>
    <s v="Karnataka"/>
    <m/>
    <n v="7287"/>
    <n v="5103"/>
    <n v="2184"/>
    <x v="2"/>
  </r>
  <r>
    <x v="24"/>
    <s v="C613"/>
    <x v="24"/>
    <s v="HRX Help Medical"/>
    <x v="4"/>
    <x v="2"/>
    <n v="3693"/>
    <n v="40"/>
    <n v="2216"/>
    <n v="1"/>
    <s v="Free Size"/>
    <s v="Brown"/>
    <n v="3.7"/>
    <n v="60"/>
    <d v="2025-05-24T00:00:00"/>
    <s v="RETURNED"/>
    <x v="1"/>
    <x v="2"/>
    <s v="Maharashtra"/>
    <s v="Late Delivery"/>
    <n v="3693"/>
    <n v="2216"/>
    <n v="1477"/>
    <x v="1"/>
  </r>
  <r>
    <x v="25"/>
    <s v="C237"/>
    <x v="25"/>
    <s v="DressBerry Present Explain"/>
    <x v="0"/>
    <x v="0"/>
    <n v="785"/>
    <n v="30"/>
    <n v="550"/>
    <n v="1"/>
    <s v="S"/>
    <s v="White"/>
    <n v="4.9000000000000004"/>
    <n v="169"/>
    <d v="2025-07-18T00:00:00"/>
    <s v="CANCELLED"/>
    <x v="2"/>
    <x v="7"/>
    <s v="Telangana"/>
    <m/>
    <n v="785"/>
    <n v="550"/>
    <n v="235"/>
    <x v="2"/>
  </r>
  <r>
    <x v="26"/>
    <s v="C254"/>
    <x v="26"/>
    <s v="DressBerry Full As"/>
    <x v="0"/>
    <x v="0"/>
    <n v="1009"/>
    <n v="25"/>
    <n v="757"/>
    <n v="1"/>
    <s v="S"/>
    <s v="Brown"/>
    <n v="4.5"/>
    <n v="20"/>
    <d v="2025-07-06T00:00:00"/>
    <s v="RETURNED"/>
    <x v="2"/>
    <x v="8"/>
    <s v="Gujarat"/>
    <s v="Size Issue"/>
    <n v="1009"/>
    <n v="757"/>
    <n v="252"/>
    <x v="1"/>
  </r>
  <r>
    <x v="27"/>
    <s v="C488"/>
    <x v="27"/>
    <s v="Roadster Ten Of"/>
    <x v="3"/>
    <x v="1"/>
    <n v="3962"/>
    <n v="35"/>
    <n v="2576"/>
    <n v="2"/>
    <s v="-"/>
    <s v="Pink"/>
    <n v="4.7"/>
    <n v="165"/>
    <d v="2025-05-01T00:00:00"/>
    <s v="CANCELLED"/>
    <x v="1"/>
    <x v="9"/>
    <s v="Tamil Nadu"/>
    <m/>
    <n v="7924"/>
    <n v="5152"/>
    <n v="2772"/>
    <x v="2"/>
  </r>
  <r>
    <x v="28"/>
    <s v="C463"/>
    <x v="28"/>
    <s v="DressBerry Board Over"/>
    <x v="2"/>
    <x v="0"/>
    <n v="4353"/>
    <n v="35"/>
    <n v="2830"/>
    <n v="3"/>
    <s v="-"/>
    <s v="Pink"/>
    <n v="4.5"/>
    <n v="83"/>
    <d v="2025-05-21T00:00:00"/>
    <s v="CANCELLED"/>
    <x v="1"/>
    <x v="5"/>
    <s v="Uttar Pradesh"/>
    <m/>
    <n v="13059"/>
    <n v="8490"/>
    <n v="4569"/>
    <x v="2"/>
  </r>
  <r>
    <x v="29"/>
    <s v="C428"/>
    <x v="29"/>
    <s v="Roadster Little Line"/>
    <x v="3"/>
    <x v="1"/>
    <n v="2953"/>
    <n v="25"/>
    <n v="2215"/>
    <n v="3"/>
    <s v="S"/>
    <s v="Brown"/>
    <n v="3.9"/>
    <n v="199"/>
    <d v="2025-07-05T00:00:00"/>
    <s v="CANCELLED"/>
    <x v="1"/>
    <x v="6"/>
    <s v="West Bengal"/>
    <m/>
    <n v="8859"/>
    <n v="6645"/>
    <n v="2214"/>
    <x v="2"/>
  </r>
  <r>
    <x v="30"/>
    <s v="C415"/>
    <x v="30"/>
    <s v="DressBerry Church Republican"/>
    <x v="2"/>
    <x v="0"/>
    <n v="2438"/>
    <n v="30"/>
    <n v="1707"/>
    <n v="2"/>
    <s v="Free Size"/>
    <s v="Red"/>
    <n v="3.8"/>
    <n v="56"/>
    <d v="2025-06-18T00:00:00"/>
    <s v="DELIVERED"/>
    <x v="0"/>
    <x v="7"/>
    <s v="Telangana"/>
    <m/>
    <n v="4876"/>
    <n v="3414"/>
    <n v="1462"/>
    <x v="0"/>
  </r>
  <r>
    <x v="31"/>
    <s v="C501"/>
    <x v="31"/>
    <s v="DressBerry Know Resource"/>
    <x v="0"/>
    <x v="0"/>
    <n v="3535"/>
    <n v="35"/>
    <n v="2298"/>
    <n v="1"/>
    <n v="42"/>
    <s v="Green"/>
    <n v="3.8"/>
    <n v="298"/>
    <d v="2025-07-03T00:00:00"/>
    <s v="RETURNED"/>
    <x v="0"/>
    <x v="5"/>
    <s v="Uttar Pradesh"/>
    <s v="Defective Item"/>
    <n v="3535"/>
    <n v="2298"/>
    <n v="1237"/>
    <x v="1"/>
  </r>
  <r>
    <x v="32"/>
    <s v="C610"/>
    <x v="32"/>
    <s v="HRX Himself News"/>
    <x v="8"/>
    <x v="2"/>
    <n v="632"/>
    <n v="30"/>
    <n v="443"/>
    <n v="1"/>
    <n v="40"/>
    <s v="Blue"/>
    <n v="4.0999999999999996"/>
    <n v="70"/>
    <d v="2025-06-26T00:00:00"/>
    <s v="DELIVERED"/>
    <x v="2"/>
    <x v="7"/>
    <s v="Telangana"/>
    <m/>
    <n v="632"/>
    <n v="443"/>
    <n v="189"/>
    <x v="0"/>
  </r>
  <r>
    <x v="33"/>
    <s v="C232"/>
    <x v="33"/>
    <s v="DressBerry Officer Defense"/>
    <x v="2"/>
    <x v="0"/>
    <n v="3134"/>
    <n v="15"/>
    <n v="2664"/>
    <n v="2"/>
    <s v="S"/>
    <s v="Red"/>
    <n v="4.0999999999999996"/>
    <n v="173"/>
    <d v="2025-04-23T00:00:00"/>
    <s v="RETURNED"/>
    <x v="2"/>
    <x v="7"/>
    <s v="Telangana"/>
    <s v="Defective Item"/>
    <n v="6268"/>
    <n v="5328"/>
    <n v="940"/>
    <x v="1"/>
  </r>
  <r>
    <x v="34"/>
    <s v="C255"/>
    <x v="34"/>
    <s v="Anouk Summer Hot"/>
    <x v="7"/>
    <x v="4"/>
    <n v="874"/>
    <n v="30"/>
    <n v="612"/>
    <n v="3"/>
    <s v="M"/>
    <s v="Navy"/>
    <n v="4"/>
    <n v="269"/>
    <d v="2025-06-14T00:00:00"/>
    <s v="RETURNED"/>
    <x v="0"/>
    <x v="9"/>
    <s v="Tamil Nadu"/>
    <s v="Size Issue"/>
    <n v="2622"/>
    <n v="1836"/>
    <n v="786"/>
    <x v="1"/>
  </r>
  <r>
    <x v="35"/>
    <s v="C413"/>
    <x v="35"/>
    <s v="Roadster Debate Race"/>
    <x v="1"/>
    <x v="1"/>
    <n v="4940"/>
    <n v="25"/>
    <n v="3705"/>
    <n v="1"/>
    <s v="S"/>
    <s v="Yellow"/>
    <n v="3.6"/>
    <n v="215"/>
    <d v="2025-07-14T00:00:00"/>
    <s v="DELIVERED"/>
    <x v="2"/>
    <x v="4"/>
    <s v="Delhi"/>
    <m/>
    <n v="4940"/>
    <n v="3705"/>
    <n v="1235"/>
    <x v="0"/>
  </r>
  <r>
    <x v="36"/>
    <s v="C411"/>
    <x v="36"/>
    <s v="Roadster Age Police"/>
    <x v="1"/>
    <x v="1"/>
    <n v="708"/>
    <n v="35"/>
    <n v="461"/>
    <n v="2"/>
    <s v="XXL"/>
    <s v="White"/>
    <n v="5"/>
    <n v="11"/>
    <d v="2025-07-04T00:00:00"/>
    <s v="RETURNED"/>
    <x v="2"/>
    <x v="1"/>
    <s v="Karnataka"/>
    <s v="Late Delivery"/>
    <n v="1416"/>
    <n v="922"/>
    <n v="494"/>
    <x v="1"/>
  </r>
  <r>
    <x v="37"/>
    <s v="C437"/>
    <x v="37"/>
    <s v="HRX Green Instead"/>
    <x v="4"/>
    <x v="2"/>
    <n v="1162"/>
    <n v="10"/>
    <n v="1046"/>
    <n v="2"/>
    <s v="XL"/>
    <s v="Grey"/>
    <n v="4.5"/>
    <n v="180"/>
    <d v="2025-06-27T00:00:00"/>
    <s v="CANCELLED"/>
    <x v="1"/>
    <x v="9"/>
    <s v="Tamil Nadu"/>
    <m/>
    <n v="2324"/>
    <n v="2092"/>
    <n v="232"/>
    <x v="2"/>
  </r>
  <r>
    <x v="38"/>
    <s v="C368"/>
    <x v="38"/>
    <s v="DressBerry Study Follow"/>
    <x v="2"/>
    <x v="0"/>
    <n v="2342"/>
    <n v="25"/>
    <n v="1757"/>
    <n v="3"/>
    <s v="-"/>
    <s v="Blue"/>
    <n v="3.8"/>
    <n v="265"/>
    <d v="2025-05-06T00:00:00"/>
    <s v="CANCELLED"/>
    <x v="0"/>
    <x v="8"/>
    <s v="Gujarat"/>
    <m/>
    <n v="7026"/>
    <n v="5271"/>
    <n v="1755"/>
    <x v="2"/>
  </r>
  <r>
    <x v="39"/>
    <s v="C467"/>
    <x v="39"/>
    <s v="DressBerry Personal Table"/>
    <x v="0"/>
    <x v="0"/>
    <n v="2830"/>
    <n v="20"/>
    <n v="2264"/>
    <n v="1"/>
    <n v="42"/>
    <s v="Navy"/>
    <n v="4"/>
    <n v="254"/>
    <d v="2025-07-20T00:00:00"/>
    <s v="DELIVERED"/>
    <x v="2"/>
    <x v="8"/>
    <s v="Gujarat"/>
    <m/>
    <n v="2830"/>
    <n v="2264"/>
    <n v="566"/>
    <x v="0"/>
  </r>
  <r>
    <x v="40"/>
    <s v="C686"/>
    <x v="40"/>
    <s v="HRX Maybe Strong"/>
    <x v="8"/>
    <x v="2"/>
    <n v="4422"/>
    <n v="30"/>
    <n v="3096"/>
    <n v="2"/>
    <s v="M"/>
    <s v="Brown"/>
    <n v="4.8"/>
    <n v="39"/>
    <d v="2025-07-15T00:00:00"/>
    <s v="RETURNED"/>
    <x v="1"/>
    <x v="1"/>
    <s v="Karnataka"/>
    <s v="Defective Item"/>
    <n v="8844"/>
    <n v="6192"/>
    <n v="2652"/>
    <x v="1"/>
  </r>
  <r>
    <x v="41"/>
    <s v="C545"/>
    <x v="41"/>
    <s v="Mast &amp; Harbour Black Perform"/>
    <x v="9"/>
    <x v="5"/>
    <n v="1508"/>
    <n v="40"/>
    <n v="905"/>
    <n v="1"/>
    <s v="XL"/>
    <s v="Red"/>
    <n v="4.9000000000000004"/>
    <n v="192"/>
    <d v="2025-07-09T00:00:00"/>
    <s v="CANCELLED"/>
    <x v="2"/>
    <x v="6"/>
    <s v="West Bengal"/>
    <m/>
    <n v="1508"/>
    <n v="905"/>
    <n v="603"/>
    <x v="2"/>
  </r>
  <r>
    <x v="42"/>
    <s v="C575"/>
    <x v="42"/>
    <s v="Roadster Commercial Environment"/>
    <x v="6"/>
    <x v="1"/>
    <n v="3065"/>
    <n v="30"/>
    <n v="2146"/>
    <n v="3"/>
    <n v="44"/>
    <s v="Yellow"/>
    <n v="4.4000000000000004"/>
    <n v="196"/>
    <d v="2025-07-05T00:00:00"/>
    <s v="DELIVERED"/>
    <x v="1"/>
    <x v="9"/>
    <s v="Tamil Nadu"/>
    <m/>
    <n v="9195"/>
    <n v="6438"/>
    <n v="2757"/>
    <x v="0"/>
  </r>
  <r>
    <x v="43"/>
    <s v="C494"/>
    <x v="43"/>
    <s v="Roadster Page Wait"/>
    <x v="3"/>
    <x v="1"/>
    <n v="3272"/>
    <n v="30"/>
    <n v="2291"/>
    <n v="2"/>
    <s v="M"/>
    <s v="Black"/>
    <n v="4.4000000000000004"/>
    <n v="72"/>
    <d v="2025-04-25T00:00:00"/>
    <s v="DELIVERED"/>
    <x v="2"/>
    <x v="5"/>
    <s v="Uttar Pradesh"/>
    <m/>
    <n v="6544"/>
    <n v="4582"/>
    <n v="1962"/>
    <x v="0"/>
  </r>
  <r>
    <x v="44"/>
    <s v="C644"/>
    <x v="44"/>
    <s v="DressBerry Cold Eye"/>
    <x v="0"/>
    <x v="0"/>
    <n v="1580"/>
    <n v="35"/>
    <n v="1027"/>
    <n v="2"/>
    <s v="L"/>
    <s v="Brown"/>
    <n v="3.9"/>
    <n v="36"/>
    <d v="2025-05-02T00:00:00"/>
    <s v="RETURNED"/>
    <x v="0"/>
    <x v="4"/>
    <s v="Delhi"/>
    <m/>
    <n v="3160"/>
    <n v="2054"/>
    <n v="1106"/>
    <x v="1"/>
  </r>
  <r>
    <x v="45"/>
    <s v="C675"/>
    <x v="45"/>
    <s v="Roadster Six Through"/>
    <x v="6"/>
    <x v="1"/>
    <n v="1257"/>
    <n v="25"/>
    <n v="943"/>
    <n v="3"/>
    <s v="Free Size"/>
    <s v="Blue"/>
    <n v="3.9"/>
    <n v="165"/>
    <d v="2025-07-04T00:00:00"/>
    <s v="DELIVERED"/>
    <x v="1"/>
    <x v="5"/>
    <s v="Uttar Pradesh"/>
    <m/>
    <n v="3771"/>
    <n v="2829"/>
    <n v="942"/>
    <x v="0"/>
  </r>
  <r>
    <x v="46"/>
    <s v="C378"/>
    <x v="46"/>
    <s v="Mast &amp; Harbour Television Almost"/>
    <x v="9"/>
    <x v="5"/>
    <n v="2005"/>
    <n v="10"/>
    <n v="1805"/>
    <n v="1"/>
    <s v="Free Size"/>
    <s v="Navy"/>
    <n v="4.9000000000000004"/>
    <n v="22"/>
    <d v="2025-04-23T00:00:00"/>
    <s v="CANCELLED"/>
    <x v="2"/>
    <x v="6"/>
    <s v="West Bengal"/>
    <m/>
    <n v="2005"/>
    <n v="1805"/>
    <n v="200"/>
    <x v="2"/>
  </r>
  <r>
    <x v="47"/>
    <s v="C534"/>
    <x v="47"/>
    <s v="DressBerry No Thought"/>
    <x v="2"/>
    <x v="0"/>
    <n v="3202"/>
    <n v="25"/>
    <n v="2402"/>
    <n v="3"/>
    <n v="44"/>
    <s v="Brown"/>
    <n v="4.3"/>
    <n v="104"/>
    <d v="2025-05-30T00:00:00"/>
    <s v="RETURNED"/>
    <x v="2"/>
    <x v="4"/>
    <s v="Delhi"/>
    <m/>
    <n v="9606"/>
    <n v="7206"/>
    <n v="2400"/>
    <x v="1"/>
  </r>
  <r>
    <x v="48"/>
    <s v="C637"/>
    <x v="48"/>
    <s v="DressBerry Prove Everyone"/>
    <x v="0"/>
    <x v="0"/>
    <n v="3086"/>
    <n v="40"/>
    <n v="1852"/>
    <n v="3"/>
    <n v="44"/>
    <s v="Red"/>
    <n v="3.6"/>
    <n v="162"/>
    <d v="2025-07-11T00:00:00"/>
    <s v="DELIVERED"/>
    <x v="1"/>
    <x v="9"/>
    <s v="Tamil Nadu"/>
    <m/>
    <n v="9258"/>
    <n v="5556"/>
    <n v="3702"/>
    <x v="0"/>
  </r>
  <r>
    <x v="49"/>
    <s v="C393"/>
    <x v="49"/>
    <s v="Mast &amp; Harbour Card Order"/>
    <x v="9"/>
    <x v="5"/>
    <n v="827"/>
    <n v="10"/>
    <n v="745"/>
    <n v="1"/>
    <s v="Free Size"/>
    <s v="Blue"/>
    <n v="4.9000000000000004"/>
    <n v="23"/>
    <d v="2025-06-23T00:00:00"/>
    <s v="DELIVERED"/>
    <x v="1"/>
    <x v="1"/>
    <s v="Karnataka"/>
    <m/>
    <n v="827"/>
    <n v="745"/>
    <n v="82"/>
    <x v="0"/>
  </r>
  <r>
    <x v="50"/>
    <s v="C354"/>
    <x v="50"/>
    <s v="Anouk Item Who"/>
    <x v="7"/>
    <x v="4"/>
    <n v="4317"/>
    <n v="15"/>
    <n v="3670"/>
    <n v="3"/>
    <s v="M"/>
    <s v="Navy"/>
    <n v="4.3"/>
    <n v="220"/>
    <d v="2025-05-25T00:00:00"/>
    <s v="RETURNED"/>
    <x v="1"/>
    <x v="6"/>
    <s v="West Bengal"/>
    <s v="Color Mismatch"/>
    <n v="12951"/>
    <n v="11010"/>
    <n v="1941"/>
    <x v="1"/>
  </r>
  <r>
    <x v="51"/>
    <s v="C375"/>
    <x v="51"/>
    <s v="Roadster May Still"/>
    <x v="3"/>
    <x v="1"/>
    <n v="2064"/>
    <n v="40"/>
    <n v="1239"/>
    <n v="1"/>
    <n v="44"/>
    <s v="Pink"/>
    <n v="4.9000000000000004"/>
    <n v="61"/>
    <d v="2025-06-30T00:00:00"/>
    <s v="DELIVERED"/>
    <x v="2"/>
    <x v="4"/>
    <s v="Delhi"/>
    <m/>
    <n v="2064"/>
    <n v="1239"/>
    <n v="825"/>
    <x v="0"/>
  </r>
  <r>
    <x v="52"/>
    <s v="C667"/>
    <x v="52"/>
    <s v="Mast &amp; Harbour Music Against"/>
    <x v="9"/>
    <x v="5"/>
    <n v="1715"/>
    <n v="25"/>
    <n v="1287"/>
    <n v="3"/>
    <n v="42"/>
    <s v="Red"/>
    <n v="5"/>
    <n v="55"/>
    <d v="2025-07-10T00:00:00"/>
    <s v="CANCELLED"/>
    <x v="0"/>
    <x v="9"/>
    <s v="Tamil Nadu"/>
    <m/>
    <n v="5145"/>
    <n v="3861"/>
    <n v="1284"/>
    <x v="2"/>
  </r>
  <r>
    <x v="53"/>
    <s v="C697"/>
    <x v="53"/>
    <s v="Anouk Throughout Administration"/>
    <x v="7"/>
    <x v="4"/>
    <n v="4414"/>
    <n v="35"/>
    <n v="2870"/>
    <n v="2"/>
    <n v="40"/>
    <s v="Green"/>
    <n v="4.3"/>
    <n v="15"/>
    <d v="2025-06-21T00:00:00"/>
    <s v="RETURNED"/>
    <x v="0"/>
    <x v="5"/>
    <s v="Uttar Pradesh"/>
    <s v="Color Mismatch"/>
    <n v="8828"/>
    <n v="5740"/>
    <n v="3088"/>
    <x v="1"/>
  </r>
  <r>
    <x v="54"/>
    <s v="C425"/>
    <x v="54"/>
    <s v="DressBerry Director Even"/>
    <x v="2"/>
    <x v="0"/>
    <n v="1566"/>
    <n v="25"/>
    <n v="1175"/>
    <n v="1"/>
    <s v="XL"/>
    <s v="Green"/>
    <n v="4.9000000000000004"/>
    <n v="220"/>
    <d v="2025-05-24T00:00:00"/>
    <s v="CANCELLED"/>
    <x v="0"/>
    <x v="1"/>
    <s v="Karnataka"/>
    <m/>
    <n v="1566"/>
    <n v="1175"/>
    <n v="391"/>
    <x v="2"/>
  </r>
  <r>
    <x v="55"/>
    <s v="C263"/>
    <x v="55"/>
    <s v="Roadster You Window"/>
    <x v="6"/>
    <x v="1"/>
    <n v="3647"/>
    <n v="30"/>
    <n v="2553"/>
    <n v="2"/>
    <s v="Free Size"/>
    <s v="Blue"/>
    <n v="5"/>
    <n v="159"/>
    <d v="2025-05-16T00:00:00"/>
    <s v="RETURNED"/>
    <x v="2"/>
    <x v="1"/>
    <s v="Karnataka"/>
    <s v="Defective Item"/>
    <n v="7294"/>
    <n v="5106"/>
    <n v="2188"/>
    <x v="1"/>
  </r>
  <r>
    <x v="56"/>
    <s v="C527"/>
    <x v="56"/>
    <s v="Anouk Adult Keep"/>
    <x v="7"/>
    <x v="4"/>
    <n v="4903"/>
    <n v="35"/>
    <n v="3187"/>
    <n v="3"/>
    <n v="42"/>
    <s v="Black"/>
    <n v="3.8"/>
    <n v="98"/>
    <d v="2025-04-24T00:00:00"/>
    <s v="CANCELLED"/>
    <x v="2"/>
    <x v="6"/>
    <s v="West Bengal"/>
    <m/>
    <n v="14709"/>
    <n v="9561"/>
    <n v="5148"/>
    <x v="2"/>
  </r>
  <r>
    <x v="57"/>
    <s v="C612"/>
    <x v="40"/>
    <s v="Mast &amp; Harbour Space Sure"/>
    <x v="9"/>
    <x v="5"/>
    <n v="4841"/>
    <n v="20"/>
    <n v="3873"/>
    <n v="2"/>
    <n v="42"/>
    <s v="Blue"/>
    <n v="3.7"/>
    <n v="175"/>
    <d v="2025-04-23T00:00:00"/>
    <s v="DELIVERED"/>
    <x v="1"/>
    <x v="3"/>
    <s v="Rajasthan"/>
    <m/>
    <n v="9682"/>
    <n v="7746"/>
    <n v="1936"/>
    <x v="0"/>
  </r>
  <r>
    <x v="58"/>
    <s v="C693"/>
    <x v="57"/>
    <s v="Roadster Owner Left"/>
    <x v="3"/>
    <x v="1"/>
    <n v="1037"/>
    <n v="30"/>
    <n v="726"/>
    <n v="3"/>
    <s v="XXL"/>
    <s v="Black"/>
    <n v="3.7"/>
    <n v="18"/>
    <d v="2025-06-20T00:00:00"/>
    <s v="DELIVERED"/>
    <x v="0"/>
    <x v="0"/>
    <s v="Madhya Pradesh"/>
    <m/>
    <n v="3111"/>
    <n v="2178"/>
    <n v="933"/>
    <x v="0"/>
  </r>
  <r>
    <x v="59"/>
    <s v="C314"/>
    <x v="58"/>
    <s v="DressBerry Chair Rather"/>
    <x v="2"/>
    <x v="0"/>
    <n v="989"/>
    <n v="30"/>
    <n v="693"/>
    <n v="1"/>
    <s v="-"/>
    <s v="Red"/>
    <n v="3.9"/>
    <n v="37"/>
    <d v="2025-05-15T00:00:00"/>
    <s v="DELIVERED"/>
    <x v="1"/>
    <x v="6"/>
    <s v="West Bengal"/>
    <m/>
    <n v="989"/>
    <n v="693"/>
    <n v="296"/>
    <x v="0"/>
  </r>
  <r>
    <x v="60"/>
    <s v="C368"/>
    <x v="59"/>
    <s v="HRX Maintain Hour"/>
    <x v="8"/>
    <x v="2"/>
    <n v="2866"/>
    <n v="15"/>
    <n v="2437"/>
    <n v="2"/>
    <n v="44"/>
    <s v="Grey"/>
    <n v="4.5999999999999996"/>
    <n v="167"/>
    <d v="2025-05-06T00:00:00"/>
    <s v="CANCELLED"/>
    <x v="1"/>
    <x v="2"/>
    <s v="Maharashtra"/>
    <m/>
    <n v="5732"/>
    <n v="4874"/>
    <n v="858"/>
    <x v="2"/>
  </r>
  <r>
    <x v="61"/>
    <s v="C252"/>
    <x v="60"/>
    <s v="HRX Common Room"/>
    <x v="8"/>
    <x v="2"/>
    <n v="4671"/>
    <n v="20"/>
    <n v="3737"/>
    <n v="3"/>
    <s v="Free Size"/>
    <s v="Black"/>
    <n v="3.9"/>
    <n v="48"/>
    <d v="2025-07-02T00:00:00"/>
    <s v="DELIVERED"/>
    <x v="0"/>
    <x v="5"/>
    <s v="Uttar Pradesh"/>
    <m/>
    <n v="14013"/>
    <n v="11211"/>
    <n v="2802"/>
    <x v="0"/>
  </r>
  <r>
    <x v="62"/>
    <s v="C595"/>
    <x v="61"/>
    <s v="Roadster Image Close"/>
    <x v="1"/>
    <x v="1"/>
    <n v="4620"/>
    <n v="15"/>
    <n v="3927"/>
    <n v="1"/>
    <s v="XXL"/>
    <s v="Pink"/>
    <n v="4.2"/>
    <n v="57"/>
    <d v="2025-07-19T00:00:00"/>
    <s v="CANCELLED"/>
    <x v="1"/>
    <x v="2"/>
    <s v="Maharashtra"/>
    <m/>
    <n v="4620"/>
    <n v="3927"/>
    <n v="693"/>
    <x v="2"/>
  </r>
  <r>
    <x v="63"/>
    <s v="C543"/>
    <x v="62"/>
    <s v="HRX Democratic Reality"/>
    <x v="4"/>
    <x v="2"/>
    <n v="3540"/>
    <n v="10"/>
    <n v="3186"/>
    <n v="3"/>
    <n v="44"/>
    <s v="Pink"/>
    <n v="4.0999999999999996"/>
    <n v="144"/>
    <d v="2025-05-07T00:00:00"/>
    <s v="DELIVERED"/>
    <x v="2"/>
    <x v="4"/>
    <s v="Delhi"/>
    <m/>
    <n v="10620"/>
    <n v="9558"/>
    <n v="1062"/>
    <x v="0"/>
  </r>
  <r>
    <x v="64"/>
    <s v="C615"/>
    <x v="63"/>
    <s v="Roadster Hospital Address"/>
    <x v="6"/>
    <x v="1"/>
    <n v="871"/>
    <n v="15"/>
    <n v="741"/>
    <n v="2"/>
    <s v="Free Size"/>
    <s v="Blue"/>
    <n v="4.2"/>
    <n v="72"/>
    <d v="2025-05-29T00:00:00"/>
    <s v="CANCELLED"/>
    <x v="0"/>
    <x v="5"/>
    <s v="Uttar Pradesh"/>
    <m/>
    <n v="1742"/>
    <n v="1482"/>
    <n v="260"/>
    <x v="2"/>
  </r>
  <r>
    <x v="65"/>
    <s v="C668"/>
    <x v="64"/>
    <s v="Anouk Fight Into"/>
    <x v="7"/>
    <x v="4"/>
    <n v="4276"/>
    <n v="35"/>
    <n v="2780"/>
    <n v="2"/>
    <s v="L"/>
    <s v="Navy"/>
    <n v="4.5999999999999996"/>
    <n v="122"/>
    <d v="2025-07-20T00:00:00"/>
    <s v="CANCELLED"/>
    <x v="0"/>
    <x v="9"/>
    <s v="Tamil Nadu"/>
    <m/>
    <n v="8552"/>
    <n v="5560"/>
    <n v="2992"/>
    <x v="2"/>
  </r>
  <r>
    <x v="66"/>
    <s v="C633"/>
    <x v="65"/>
    <s v="Mast &amp; Harbour Magazine Sometimes"/>
    <x v="9"/>
    <x v="5"/>
    <n v="1949"/>
    <n v="35"/>
    <n v="1267"/>
    <n v="3"/>
    <s v="XXL"/>
    <s v="Yellow"/>
    <n v="4.5999999999999996"/>
    <n v="12"/>
    <d v="2025-06-27T00:00:00"/>
    <s v="RETURNED"/>
    <x v="2"/>
    <x v="4"/>
    <s v="Delhi"/>
    <s v="Size Issue"/>
    <n v="5847"/>
    <n v="3801"/>
    <n v="2046"/>
    <x v="1"/>
  </r>
  <r>
    <x v="67"/>
    <s v="C344"/>
    <x v="66"/>
    <s v="Roadster Method Although"/>
    <x v="3"/>
    <x v="1"/>
    <n v="3805"/>
    <n v="25"/>
    <n v="2854"/>
    <n v="2"/>
    <s v="M"/>
    <s v="Navy"/>
    <n v="4"/>
    <n v="153"/>
    <d v="2025-06-01T00:00:00"/>
    <s v="RETURNED"/>
    <x v="0"/>
    <x v="8"/>
    <s v="Gujarat"/>
    <s v="Late Delivery"/>
    <n v="7610"/>
    <n v="5708"/>
    <n v="1902"/>
    <x v="1"/>
  </r>
  <r>
    <x v="68"/>
    <s v="C631"/>
    <x v="67"/>
    <s v="DressBerry Effort Compare"/>
    <x v="2"/>
    <x v="0"/>
    <n v="4829"/>
    <n v="40"/>
    <n v="2898"/>
    <n v="1"/>
    <s v="M"/>
    <s v="Yellow"/>
    <n v="3.8"/>
    <n v="10"/>
    <d v="2025-05-19T00:00:00"/>
    <s v="DELIVERED"/>
    <x v="0"/>
    <x v="6"/>
    <s v="West Bengal"/>
    <m/>
    <n v="4829"/>
    <n v="2898"/>
    <n v="1931"/>
    <x v="0"/>
  </r>
  <r>
    <x v="69"/>
    <s v="C605"/>
    <x v="68"/>
    <s v="WROGN Need Prepare"/>
    <x v="5"/>
    <x v="3"/>
    <n v="1593"/>
    <n v="15"/>
    <n v="1355"/>
    <n v="3"/>
    <n v="40"/>
    <s v="Brown"/>
    <n v="4.2"/>
    <n v="159"/>
    <d v="2025-05-03T00:00:00"/>
    <s v="DELIVERED"/>
    <x v="0"/>
    <x v="7"/>
    <s v="Telangana"/>
    <m/>
    <n v="4779"/>
    <n v="4065"/>
    <n v="714"/>
    <x v="0"/>
  </r>
  <r>
    <x v="70"/>
    <s v="C458"/>
    <x v="69"/>
    <s v="Roadster Nearly Purpose"/>
    <x v="1"/>
    <x v="1"/>
    <n v="4540"/>
    <n v="40"/>
    <n v="2724"/>
    <n v="2"/>
    <s v="-"/>
    <s v="Yellow"/>
    <n v="4.9000000000000004"/>
    <n v="112"/>
    <d v="2025-05-18T00:00:00"/>
    <s v="CANCELLED"/>
    <x v="0"/>
    <x v="2"/>
    <s v="Maharashtra"/>
    <m/>
    <n v="9080"/>
    <n v="5448"/>
    <n v="3632"/>
    <x v="2"/>
  </r>
  <r>
    <x v="71"/>
    <s v="C626"/>
    <x v="70"/>
    <s v="Roadster Especially Compare"/>
    <x v="1"/>
    <x v="1"/>
    <n v="2318"/>
    <n v="15"/>
    <n v="1971"/>
    <n v="1"/>
    <s v="Free Size"/>
    <s v="Grey"/>
    <n v="4.8"/>
    <n v="233"/>
    <d v="2025-07-17T00:00:00"/>
    <s v="DELIVERED"/>
    <x v="2"/>
    <x v="0"/>
    <s v="Madhya Pradesh"/>
    <m/>
    <n v="2318"/>
    <n v="1971"/>
    <n v="347"/>
    <x v="0"/>
  </r>
  <r>
    <x v="72"/>
    <s v="C279"/>
    <x v="71"/>
    <s v="DressBerry Instead Have"/>
    <x v="2"/>
    <x v="0"/>
    <n v="4109"/>
    <n v="25"/>
    <n v="3082"/>
    <n v="2"/>
    <s v="S"/>
    <s v="Brown"/>
    <n v="4.5999999999999996"/>
    <n v="212"/>
    <d v="2025-05-13T00:00:00"/>
    <s v="DELIVERED"/>
    <x v="0"/>
    <x v="6"/>
    <s v="West Bengal"/>
    <m/>
    <n v="8218"/>
    <n v="6164"/>
    <n v="2054"/>
    <x v="0"/>
  </r>
  <r>
    <x v="73"/>
    <s v="C273"/>
    <x v="72"/>
    <s v="DressBerry Analysis Nor"/>
    <x v="0"/>
    <x v="0"/>
    <n v="3011"/>
    <n v="25"/>
    <n v="2259"/>
    <n v="1"/>
    <s v="-"/>
    <s v="Black"/>
    <n v="3.8"/>
    <n v="156"/>
    <d v="2025-07-17T00:00:00"/>
    <s v="CANCELLED"/>
    <x v="1"/>
    <x v="6"/>
    <s v="West Bengal"/>
    <m/>
    <n v="3011"/>
    <n v="2259"/>
    <n v="752"/>
    <x v="2"/>
  </r>
  <r>
    <x v="74"/>
    <s v="C455"/>
    <x v="73"/>
    <s v="Anouk Seem Let"/>
    <x v="7"/>
    <x v="4"/>
    <n v="3928"/>
    <n v="20"/>
    <n v="3143"/>
    <n v="3"/>
    <n v="44"/>
    <s v="Green"/>
    <n v="4"/>
    <n v="277"/>
    <d v="2025-05-24T00:00:00"/>
    <s v="RETURNED"/>
    <x v="2"/>
    <x v="5"/>
    <s v="Uttar Pradesh"/>
    <m/>
    <n v="11784"/>
    <n v="9429"/>
    <n v="2355"/>
    <x v="1"/>
  </r>
  <r>
    <x v="75"/>
    <s v="C562"/>
    <x v="74"/>
    <s v="HRX Send Require"/>
    <x v="4"/>
    <x v="2"/>
    <n v="4967"/>
    <n v="10"/>
    <n v="4471"/>
    <n v="3"/>
    <n v="42"/>
    <s v="Grey"/>
    <n v="4.3"/>
    <n v="153"/>
    <d v="2025-05-16T00:00:00"/>
    <s v="DELIVERED"/>
    <x v="1"/>
    <x v="6"/>
    <s v="West Bengal"/>
    <m/>
    <n v="14901"/>
    <n v="13413"/>
    <n v="1488"/>
    <x v="0"/>
  </r>
  <r>
    <x v="76"/>
    <s v="C487"/>
    <x v="75"/>
    <s v="WROGN Well Direction"/>
    <x v="5"/>
    <x v="3"/>
    <n v="2405"/>
    <n v="25"/>
    <n v="1804"/>
    <n v="1"/>
    <s v="L"/>
    <s v="Black"/>
    <n v="4"/>
    <n v="278"/>
    <d v="2025-05-14T00:00:00"/>
    <s v="DELIVERED"/>
    <x v="2"/>
    <x v="9"/>
    <s v="Tamil Nadu"/>
    <m/>
    <n v="2405"/>
    <n v="1804"/>
    <n v="601"/>
    <x v="0"/>
  </r>
  <r>
    <x v="77"/>
    <s v="C646"/>
    <x v="76"/>
    <s v="Mast &amp; Harbour Black Upon"/>
    <x v="9"/>
    <x v="5"/>
    <n v="1392"/>
    <n v="15"/>
    <n v="1184"/>
    <n v="2"/>
    <s v="M"/>
    <s v="Navy"/>
    <n v="3.9"/>
    <n v="93"/>
    <d v="2025-07-16T00:00:00"/>
    <s v="CANCELLED"/>
    <x v="0"/>
    <x v="0"/>
    <s v="Madhya Pradesh"/>
    <m/>
    <n v="2784"/>
    <n v="2368"/>
    <n v="416"/>
    <x v="2"/>
  </r>
  <r>
    <x v="78"/>
    <s v="C288"/>
    <x v="77"/>
    <s v="Roadster Them Present"/>
    <x v="3"/>
    <x v="1"/>
    <n v="3990"/>
    <n v="20"/>
    <n v="3192"/>
    <n v="3"/>
    <s v="XL"/>
    <s v="Pink"/>
    <n v="4.5"/>
    <n v="113"/>
    <d v="2025-06-21T00:00:00"/>
    <s v="RETURNED"/>
    <x v="2"/>
    <x v="6"/>
    <s v="West Bengal"/>
    <s v="Color Mismatch"/>
    <n v="11970"/>
    <n v="9576"/>
    <n v="2394"/>
    <x v="1"/>
  </r>
  <r>
    <x v="79"/>
    <s v="C383"/>
    <x v="78"/>
    <s v="DressBerry Physical Paper"/>
    <x v="2"/>
    <x v="0"/>
    <n v="2783"/>
    <n v="25"/>
    <n v="2088"/>
    <n v="1"/>
    <s v="L"/>
    <s v="Green"/>
    <n v="3.9"/>
    <n v="226"/>
    <d v="2025-06-08T00:00:00"/>
    <s v="CANCELLED"/>
    <x v="1"/>
    <x v="5"/>
    <s v="Uttar Pradesh"/>
    <m/>
    <n v="2783"/>
    <n v="2088"/>
    <n v="695"/>
    <x v="2"/>
  </r>
  <r>
    <x v="80"/>
    <s v="C598"/>
    <x v="79"/>
    <s v="DressBerry Join Five"/>
    <x v="2"/>
    <x v="0"/>
    <n v="2247"/>
    <n v="25"/>
    <n v="1686"/>
    <n v="1"/>
    <n v="42"/>
    <s v="Green"/>
    <n v="3.7"/>
    <n v="265"/>
    <d v="2025-05-19T00:00:00"/>
    <s v="CANCELLED"/>
    <x v="0"/>
    <x v="6"/>
    <s v="West Bengal"/>
    <m/>
    <n v="2247"/>
    <n v="1686"/>
    <n v="561"/>
    <x v="2"/>
  </r>
  <r>
    <x v="81"/>
    <s v="C504"/>
    <x v="80"/>
    <s v="HRX Fill Must"/>
    <x v="8"/>
    <x v="2"/>
    <n v="2234"/>
    <n v="10"/>
    <n v="2011"/>
    <n v="2"/>
    <n v="42"/>
    <s v="Red"/>
    <n v="3.9"/>
    <n v="131"/>
    <d v="2025-05-18T00:00:00"/>
    <s v="RETURNED"/>
    <x v="0"/>
    <x v="0"/>
    <s v="Madhya Pradesh"/>
    <m/>
    <n v="4468"/>
    <n v="4022"/>
    <n v="446"/>
    <x v="1"/>
  </r>
  <r>
    <x v="82"/>
    <s v="C236"/>
    <x v="81"/>
    <s v="Anouk Professional Most"/>
    <x v="7"/>
    <x v="4"/>
    <n v="1726"/>
    <n v="20"/>
    <n v="1381"/>
    <n v="1"/>
    <s v="L"/>
    <s v="Blue"/>
    <n v="3.9"/>
    <n v="113"/>
    <d v="2025-04-27T00:00:00"/>
    <s v="RETURNED"/>
    <x v="2"/>
    <x v="2"/>
    <s v="Maharashtra"/>
    <m/>
    <n v="1726"/>
    <n v="1381"/>
    <n v="345"/>
    <x v="1"/>
  </r>
  <r>
    <x v="83"/>
    <s v="C517"/>
    <x v="82"/>
    <s v="WROGN However Decision"/>
    <x v="5"/>
    <x v="3"/>
    <n v="3200"/>
    <n v="10"/>
    <n v="2880"/>
    <n v="2"/>
    <s v="XXL"/>
    <s v="Navy"/>
    <n v="4.8"/>
    <n v="299"/>
    <d v="2025-06-24T00:00:00"/>
    <s v="DELIVERED"/>
    <x v="0"/>
    <x v="4"/>
    <s v="Delhi"/>
    <m/>
    <n v="6400"/>
    <n v="5760"/>
    <n v="640"/>
    <x v="0"/>
  </r>
  <r>
    <x v="84"/>
    <s v="C691"/>
    <x v="83"/>
    <s v="Roadster Bring Human"/>
    <x v="1"/>
    <x v="1"/>
    <n v="3878"/>
    <n v="15"/>
    <n v="3297"/>
    <n v="2"/>
    <s v="M"/>
    <s v="Pink"/>
    <n v="3.8"/>
    <n v="223"/>
    <d v="2025-06-05T00:00:00"/>
    <s v="DELIVERED"/>
    <x v="0"/>
    <x v="3"/>
    <s v="Rajasthan"/>
    <m/>
    <n v="7756"/>
    <n v="6594"/>
    <n v="1162"/>
    <x v="0"/>
  </r>
  <r>
    <x v="85"/>
    <s v="C362"/>
    <x v="84"/>
    <s v="Anouk Line Analysis"/>
    <x v="7"/>
    <x v="4"/>
    <n v="2461"/>
    <n v="35"/>
    <n v="1600"/>
    <n v="3"/>
    <s v="XXL"/>
    <s v="Red"/>
    <n v="4.2"/>
    <n v="286"/>
    <d v="2025-04-23T00:00:00"/>
    <s v="CANCELLED"/>
    <x v="1"/>
    <x v="3"/>
    <s v="Rajasthan"/>
    <m/>
    <n v="7383"/>
    <n v="4800"/>
    <n v="2583"/>
    <x v="2"/>
  </r>
  <r>
    <x v="86"/>
    <s v="C247"/>
    <x v="85"/>
    <s v="Roadster Quality Help"/>
    <x v="3"/>
    <x v="1"/>
    <n v="1745"/>
    <n v="35"/>
    <n v="1135"/>
    <n v="3"/>
    <n v="42"/>
    <s v="Red"/>
    <n v="4.8"/>
    <n v="93"/>
    <d v="2025-05-09T00:00:00"/>
    <s v="DELIVERED"/>
    <x v="2"/>
    <x v="8"/>
    <s v="Gujarat"/>
    <m/>
    <n v="5235"/>
    <n v="3405"/>
    <n v="1830"/>
    <x v="0"/>
  </r>
  <r>
    <x v="87"/>
    <s v="C274"/>
    <x v="86"/>
    <s v="Roadster Data Size"/>
    <x v="6"/>
    <x v="1"/>
    <n v="2830"/>
    <n v="20"/>
    <n v="2264"/>
    <n v="2"/>
    <s v="S"/>
    <s v="Pink"/>
    <n v="5"/>
    <n v="269"/>
    <d v="2025-05-30T00:00:00"/>
    <s v="RETURNED"/>
    <x v="0"/>
    <x v="8"/>
    <s v="Gujarat"/>
    <s v="Size Issue"/>
    <n v="5660"/>
    <n v="4528"/>
    <n v="1132"/>
    <x v="1"/>
  </r>
  <r>
    <x v="88"/>
    <s v="C684"/>
    <x v="87"/>
    <s v="HRX Second Main"/>
    <x v="4"/>
    <x v="2"/>
    <n v="1090"/>
    <n v="40"/>
    <n v="654"/>
    <n v="3"/>
    <n v="40"/>
    <s v="Brown"/>
    <n v="3.7"/>
    <n v="19"/>
    <d v="2025-06-22T00:00:00"/>
    <s v="RETURNED"/>
    <x v="0"/>
    <x v="6"/>
    <s v="West Bengal"/>
    <m/>
    <n v="3270"/>
    <n v="1962"/>
    <n v="1308"/>
    <x v="1"/>
  </r>
  <r>
    <x v="89"/>
    <s v="C209"/>
    <x v="88"/>
    <s v="DressBerry Life Performance"/>
    <x v="2"/>
    <x v="0"/>
    <n v="2775"/>
    <n v="40"/>
    <n v="1665"/>
    <n v="1"/>
    <s v="XL"/>
    <s v="Red"/>
    <n v="4.8"/>
    <n v="46"/>
    <d v="2025-06-17T00:00:00"/>
    <s v="CANCELLED"/>
    <x v="1"/>
    <x v="8"/>
    <s v="Gujarat"/>
    <m/>
    <n v="2775"/>
    <n v="1665"/>
    <n v="1110"/>
    <x v="2"/>
  </r>
  <r>
    <x v="90"/>
    <s v="C404"/>
    <x v="89"/>
    <s v="HRX Identify Organization"/>
    <x v="4"/>
    <x v="2"/>
    <n v="2726"/>
    <n v="25"/>
    <n v="2045"/>
    <n v="3"/>
    <s v="XXL"/>
    <s v="Green"/>
    <n v="4.9000000000000004"/>
    <n v="119"/>
    <d v="2025-05-07T00:00:00"/>
    <s v="RETURNED"/>
    <x v="2"/>
    <x v="5"/>
    <s v="Uttar Pradesh"/>
    <m/>
    <n v="8178"/>
    <n v="6135"/>
    <n v="2043"/>
    <x v="1"/>
  </r>
  <r>
    <x v="91"/>
    <s v="C414"/>
    <x v="90"/>
    <s v="Anouk Seek Old"/>
    <x v="7"/>
    <x v="4"/>
    <n v="4594"/>
    <n v="20"/>
    <n v="3676"/>
    <n v="3"/>
    <n v="42"/>
    <s v="Red"/>
    <n v="4.8"/>
    <n v="188"/>
    <d v="2025-06-20T00:00:00"/>
    <s v="RETURNED"/>
    <x v="0"/>
    <x v="0"/>
    <s v="Madhya Pradesh"/>
    <s v="Size Issue"/>
    <n v="13782"/>
    <n v="11028"/>
    <n v="2754"/>
    <x v="1"/>
  </r>
  <r>
    <x v="92"/>
    <s v="C300"/>
    <x v="91"/>
    <s v="Anouk Parent Hour"/>
    <x v="7"/>
    <x v="4"/>
    <n v="4405"/>
    <n v="20"/>
    <n v="3524"/>
    <n v="2"/>
    <s v="XXL"/>
    <s v="Brown"/>
    <n v="3.7"/>
    <n v="91"/>
    <d v="2025-05-27T00:00:00"/>
    <s v="RETURNED"/>
    <x v="0"/>
    <x v="3"/>
    <s v="Rajasthan"/>
    <s v="Color Mismatch"/>
    <n v="8810"/>
    <n v="7048"/>
    <n v="1762"/>
    <x v="1"/>
  </r>
  <r>
    <x v="93"/>
    <s v="C210"/>
    <x v="92"/>
    <s v="WROGN Four Under"/>
    <x v="5"/>
    <x v="3"/>
    <n v="3280"/>
    <n v="35"/>
    <n v="2132"/>
    <n v="3"/>
    <s v="S"/>
    <s v="Pink"/>
    <n v="4"/>
    <n v="142"/>
    <d v="2025-05-13T00:00:00"/>
    <s v="RETURNED"/>
    <x v="1"/>
    <x v="6"/>
    <s v="West Bengal"/>
    <s v="Late Delivery"/>
    <n v="9840"/>
    <n v="6396"/>
    <n v="3444"/>
    <x v="1"/>
  </r>
  <r>
    <x v="94"/>
    <s v="C262"/>
    <x v="93"/>
    <s v="Mast &amp; Harbour Fact Sound"/>
    <x v="9"/>
    <x v="5"/>
    <n v="1195"/>
    <n v="30"/>
    <n v="837"/>
    <n v="3"/>
    <s v="S"/>
    <s v="Black"/>
    <n v="4.3"/>
    <n v="238"/>
    <d v="2025-07-15T00:00:00"/>
    <s v="DELIVERED"/>
    <x v="1"/>
    <x v="0"/>
    <s v="Madhya Pradesh"/>
    <m/>
    <n v="3585"/>
    <n v="2511"/>
    <n v="1074"/>
    <x v="0"/>
  </r>
  <r>
    <x v="95"/>
    <s v="C226"/>
    <x v="94"/>
    <s v="Roadster Spring Across"/>
    <x v="3"/>
    <x v="1"/>
    <n v="4462"/>
    <n v="10"/>
    <n v="4016"/>
    <n v="1"/>
    <s v="S"/>
    <s v="Pink"/>
    <n v="4"/>
    <n v="50"/>
    <d v="2025-04-27T00:00:00"/>
    <s v="DELIVERED"/>
    <x v="2"/>
    <x v="4"/>
    <s v="Delhi"/>
    <m/>
    <n v="4462"/>
    <n v="4016"/>
    <n v="446"/>
    <x v="0"/>
  </r>
  <r>
    <x v="96"/>
    <s v="C320"/>
    <x v="95"/>
    <s v="DressBerry Without Address"/>
    <x v="2"/>
    <x v="0"/>
    <n v="1988"/>
    <n v="10"/>
    <n v="1790"/>
    <n v="2"/>
    <n v="40"/>
    <s v="Green"/>
    <n v="3.6"/>
    <n v="172"/>
    <d v="2025-05-29T00:00:00"/>
    <s v="CANCELLED"/>
    <x v="2"/>
    <x v="7"/>
    <s v="Telangana"/>
    <m/>
    <n v="3976"/>
    <n v="3580"/>
    <n v="396"/>
    <x v="2"/>
  </r>
  <r>
    <x v="97"/>
    <s v="C398"/>
    <x v="96"/>
    <s v="HRX Song Again"/>
    <x v="4"/>
    <x v="2"/>
    <n v="3716"/>
    <n v="40"/>
    <n v="2230"/>
    <n v="2"/>
    <n v="40"/>
    <s v="Yellow"/>
    <n v="4.9000000000000004"/>
    <n v="174"/>
    <d v="2025-05-07T00:00:00"/>
    <s v="CANCELLED"/>
    <x v="0"/>
    <x v="8"/>
    <s v="Gujarat"/>
    <m/>
    <n v="7432"/>
    <n v="4460"/>
    <n v="2972"/>
    <x v="2"/>
  </r>
  <r>
    <x v="98"/>
    <s v="C222"/>
    <x v="97"/>
    <s v="Mast &amp; Harbour Boy Would"/>
    <x v="9"/>
    <x v="5"/>
    <n v="2796"/>
    <n v="20"/>
    <n v="2237"/>
    <n v="3"/>
    <s v="XXL"/>
    <s v="Black"/>
    <n v="4.2"/>
    <n v="128"/>
    <d v="2025-07-05T00:00:00"/>
    <s v="RETURNED"/>
    <x v="1"/>
    <x v="0"/>
    <s v="Madhya Pradesh"/>
    <s v="Defective Item"/>
    <n v="8388"/>
    <n v="6711"/>
    <n v="1677"/>
    <x v="1"/>
  </r>
  <r>
    <x v="99"/>
    <s v="C273"/>
    <x v="98"/>
    <s v="DressBerry Feeling Approach"/>
    <x v="2"/>
    <x v="0"/>
    <n v="2687"/>
    <n v="25"/>
    <n v="2016"/>
    <n v="2"/>
    <s v="M"/>
    <s v="Green"/>
    <n v="4.7"/>
    <n v="219"/>
    <d v="2025-05-04T00:00:00"/>
    <s v="DELIVERED"/>
    <x v="2"/>
    <x v="2"/>
    <s v="Maharashtra"/>
    <m/>
    <n v="5374"/>
    <n v="4032"/>
    <n v="1342"/>
    <x v="0"/>
  </r>
  <r>
    <x v="100"/>
    <s v="C499"/>
    <x v="99"/>
    <s v="Roadster Cause Want"/>
    <x v="1"/>
    <x v="1"/>
    <n v="1776"/>
    <n v="40"/>
    <n v="1066"/>
    <n v="1"/>
    <n v="40"/>
    <s v="Pink"/>
    <n v="3.9"/>
    <n v="71"/>
    <d v="2025-07-09T00:00:00"/>
    <s v="RETURNED"/>
    <x v="0"/>
    <x v="0"/>
    <s v="Madhya Pradesh"/>
    <s v="Defective Item"/>
    <n v="1776"/>
    <n v="1066"/>
    <n v="710"/>
    <x v="1"/>
  </r>
  <r>
    <x v="101"/>
    <s v="C695"/>
    <x v="100"/>
    <s v="Roadster Expect Detail"/>
    <x v="1"/>
    <x v="1"/>
    <n v="2910"/>
    <n v="20"/>
    <n v="2328"/>
    <n v="3"/>
    <s v="-"/>
    <s v="Black"/>
    <n v="4.5999999999999996"/>
    <n v="52"/>
    <d v="2025-05-18T00:00:00"/>
    <s v="RETURNED"/>
    <x v="0"/>
    <x v="2"/>
    <s v="Maharashtra"/>
    <m/>
    <n v="8730"/>
    <n v="6984"/>
    <n v="1746"/>
    <x v="1"/>
  </r>
  <r>
    <x v="102"/>
    <s v="C670"/>
    <x v="101"/>
    <s v="Mast &amp; Harbour Again Something"/>
    <x v="9"/>
    <x v="5"/>
    <n v="3446"/>
    <n v="10"/>
    <n v="3102"/>
    <n v="3"/>
    <n v="40"/>
    <s v="Yellow"/>
    <n v="4.2"/>
    <n v="211"/>
    <d v="2025-05-05T00:00:00"/>
    <s v="DELIVERED"/>
    <x v="1"/>
    <x v="1"/>
    <s v="Karnataka"/>
    <m/>
    <n v="10338"/>
    <n v="9306"/>
    <n v="1032"/>
    <x v="0"/>
  </r>
  <r>
    <x v="103"/>
    <s v="C211"/>
    <x v="102"/>
    <s v="Roadster Raise Early"/>
    <x v="3"/>
    <x v="1"/>
    <n v="633"/>
    <n v="40"/>
    <n v="380"/>
    <n v="3"/>
    <s v="-"/>
    <s v="Grey"/>
    <n v="4.8"/>
    <n v="135"/>
    <d v="2025-04-30T00:00:00"/>
    <s v="RETURNED"/>
    <x v="1"/>
    <x v="3"/>
    <s v="Rajasthan"/>
    <s v="Size Issue"/>
    <n v="1899"/>
    <n v="1140"/>
    <n v="759"/>
    <x v="1"/>
  </r>
  <r>
    <x v="104"/>
    <s v="C590"/>
    <x v="103"/>
    <s v="Anouk Pass Suggest"/>
    <x v="7"/>
    <x v="4"/>
    <n v="1424"/>
    <n v="20"/>
    <n v="1140"/>
    <n v="3"/>
    <s v="Free Size"/>
    <s v="Blue"/>
    <n v="3.6"/>
    <n v="297"/>
    <d v="2025-06-30T00:00:00"/>
    <s v="CANCELLED"/>
    <x v="1"/>
    <x v="6"/>
    <s v="West Bengal"/>
    <m/>
    <n v="4272"/>
    <n v="3420"/>
    <n v="852"/>
    <x v="2"/>
  </r>
  <r>
    <x v="105"/>
    <s v="C526"/>
    <x v="104"/>
    <s v="Roadster Eight Own"/>
    <x v="6"/>
    <x v="1"/>
    <n v="1997"/>
    <n v="10"/>
    <n v="1798"/>
    <n v="3"/>
    <s v="-"/>
    <s v="White"/>
    <n v="3.9"/>
    <n v="207"/>
    <d v="2025-07-04T00:00:00"/>
    <s v="DELIVERED"/>
    <x v="1"/>
    <x v="1"/>
    <s v="Karnataka"/>
    <m/>
    <n v="5991"/>
    <n v="5394"/>
    <n v="597"/>
    <x v="0"/>
  </r>
  <r>
    <x v="106"/>
    <s v="C642"/>
    <x v="105"/>
    <s v="DressBerry Data Common"/>
    <x v="0"/>
    <x v="0"/>
    <n v="2585"/>
    <n v="35"/>
    <n v="1681"/>
    <n v="3"/>
    <n v="44"/>
    <s v="Navy"/>
    <n v="4.8"/>
    <n v="153"/>
    <d v="2025-04-22T00:00:00"/>
    <s v="DELIVERED"/>
    <x v="1"/>
    <x v="2"/>
    <s v="Maharashtra"/>
    <m/>
    <n v="7755"/>
    <n v="5043"/>
    <n v="2712"/>
    <x v="0"/>
  </r>
  <r>
    <x v="107"/>
    <s v="C406"/>
    <x v="106"/>
    <s v="Roadster Some Door"/>
    <x v="1"/>
    <x v="1"/>
    <n v="2116"/>
    <n v="10"/>
    <n v="1905"/>
    <n v="2"/>
    <s v="XL"/>
    <s v="Brown"/>
    <n v="4.5"/>
    <n v="215"/>
    <d v="2025-05-25T00:00:00"/>
    <s v="RETURNED"/>
    <x v="0"/>
    <x v="0"/>
    <s v="Madhya Pradesh"/>
    <s v="Color Mismatch"/>
    <n v="4232"/>
    <n v="3810"/>
    <n v="422"/>
    <x v="1"/>
  </r>
  <r>
    <x v="108"/>
    <s v="C254"/>
    <x v="107"/>
    <s v="DressBerry Perhaps What"/>
    <x v="2"/>
    <x v="0"/>
    <n v="2890"/>
    <n v="35"/>
    <n v="1879"/>
    <n v="2"/>
    <s v="XL"/>
    <s v="Brown"/>
    <n v="4.7"/>
    <n v="65"/>
    <d v="2025-04-25T00:00:00"/>
    <s v="RETURNED"/>
    <x v="2"/>
    <x v="4"/>
    <s v="Delhi"/>
    <s v="Color Mismatch"/>
    <n v="5780"/>
    <n v="3758"/>
    <n v="2022"/>
    <x v="1"/>
  </r>
  <r>
    <x v="109"/>
    <s v="C478"/>
    <x v="108"/>
    <s v="Mast &amp; Harbour Choose People"/>
    <x v="9"/>
    <x v="5"/>
    <n v="4592"/>
    <n v="35"/>
    <n v="2985"/>
    <n v="2"/>
    <s v="L"/>
    <s v="Navy"/>
    <n v="4.2"/>
    <n v="264"/>
    <d v="2025-07-07T00:00:00"/>
    <s v="CANCELLED"/>
    <x v="1"/>
    <x v="1"/>
    <s v="Karnataka"/>
    <m/>
    <n v="9184"/>
    <n v="5970"/>
    <n v="3214"/>
    <x v="2"/>
  </r>
  <r>
    <x v="110"/>
    <s v="C278"/>
    <x v="109"/>
    <s v="Roadster Draw Of"/>
    <x v="3"/>
    <x v="1"/>
    <n v="4234"/>
    <n v="40"/>
    <n v="2541"/>
    <n v="3"/>
    <s v="XXL"/>
    <s v="Grey"/>
    <n v="4.0999999999999996"/>
    <n v="269"/>
    <d v="2025-07-13T00:00:00"/>
    <s v="RETURNED"/>
    <x v="0"/>
    <x v="3"/>
    <s v="Rajasthan"/>
    <s v="Color Mismatch"/>
    <n v="12702"/>
    <n v="7623"/>
    <n v="5079"/>
    <x v="1"/>
  </r>
  <r>
    <x v="111"/>
    <s v="C374"/>
    <x v="110"/>
    <s v="Roadster Agree Stuff"/>
    <x v="6"/>
    <x v="1"/>
    <n v="4417"/>
    <n v="25"/>
    <n v="3313"/>
    <n v="2"/>
    <s v="XL"/>
    <s v="Yellow"/>
    <n v="3.6"/>
    <n v="286"/>
    <d v="2025-06-30T00:00:00"/>
    <s v="DELIVERED"/>
    <x v="1"/>
    <x v="7"/>
    <s v="Telangana"/>
    <m/>
    <n v="8834"/>
    <n v="6626"/>
    <n v="2208"/>
    <x v="0"/>
  </r>
  <r>
    <x v="112"/>
    <s v="C554"/>
    <x v="111"/>
    <s v="HRX Meeting Wear"/>
    <x v="4"/>
    <x v="2"/>
    <n v="4806"/>
    <n v="30"/>
    <n v="3365"/>
    <n v="3"/>
    <s v="XL"/>
    <s v="White"/>
    <n v="4.4000000000000004"/>
    <n v="42"/>
    <d v="2025-06-25T00:00:00"/>
    <s v="DELIVERED"/>
    <x v="1"/>
    <x v="6"/>
    <s v="West Bengal"/>
    <m/>
    <n v="14418"/>
    <n v="10095"/>
    <n v="4323"/>
    <x v="0"/>
  </r>
  <r>
    <x v="113"/>
    <s v="C556"/>
    <x v="112"/>
    <s v="DressBerry Military Race"/>
    <x v="2"/>
    <x v="0"/>
    <n v="2121"/>
    <n v="30"/>
    <n v="1485"/>
    <n v="3"/>
    <s v="Free Size"/>
    <s v="Blue"/>
    <n v="4.4000000000000004"/>
    <n v="242"/>
    <d v="2025-05-22T00:00:00"/>
    <s v="CANCELLED"/>
    <x v="2"/>
    <x v="0"/>
    <s v="Madhya Pradesh"/>
    <m/>
    <n v="6363"/>
    <n v="4455"/>
    <n v="1908"/>
    <x v="2"/>
  </r>
  <r>
    <x v="114"/>
    <s v="C262"/>
    <x v="113"/>
    <s v="Mast &amp; Harbour Later Investment"/>
    <x v="9"/>
    <x v="5"/>
    <n v="2657"/>
    <n v="10"/>
    <n v="2392"/>
    <n v="2"/>
    <s v="Free Size"/>
    <s v="Brown"/>
    <n v="4"/>
    <n v="246"/>
    <d v="2025-04-27T00:00:00"/>
    <s v="RETURNED"/>
    <x v="1"/>
    <x v="3"/>
    <s v="Rajasthan"/>
    <s v="Size Issue"/>
    <n v="5314"/>
    <n v="4784"/>
    <n v="530"/>
    <x v="1"/>
  </r>
  <r>
    <x v="115"/>
    <s v="C234"/>
    <x v="114"/>
    <s v="Roadster Stay Firm"/>
    <x v="3"/>
    <x v="1"/>
    <n v="1835"/>
    <n v="10"/>
    <n v="1652"/>
    <n v="1"/>
    <s v="-"/>
    <s v="Pink"/>
    <n v="3.9"/>
    <n v="242"/>
    <d v="2025-05-16T00:00:00"/>
    <s v="RETURNED"/>
    <x v="1"/>
    <x v="7"/>
    <s v="Telangana"/>
    <s v="Defective Item"/>
    <n v="1835"/>
    <n v="1652"/>
    <n v="183"/>
    <x v="1"/>
  </r>
  <r>
    <x v="116"/>
    <s v="C407"/>
    <x v="115"/>
    <s v="DressBerry Alone Soon"/>
    <x v="0"/>
    <x v="0"/>
    <n v="4681"/>
    <n v="30"/>
    <n v="3277"/>
    <n v="2"/>
    <s v="XL"/>
    <s v="Yellow"/>
    <n v="4.9000000000000004"/>
    <n v="276"/>
    <d v="2025-04-28T00:00:00"/>
    <s v="CANCELLED"/>
    <x v="0"/>
    <x v="4"/>
    <s v="Delhi"/>
    <m/>
    <n v="9362"/>
    <n v="6554"/>
    <n v="2808"/>
    <x v="2"/>
  </r>
  <r>
    <x v="117"/>
    <s v="C232"/>
    <x v="116"/>
    <s v="Roadster World Four"/>
    <x v="6"/>
    <x v="1"/>
    <n v="3893"/>
    <n v="40"/>
    <n v="2336"/>
    <n v="2"/>
    <s v="XXL"/>
    <s v="Navy"/>
    <n v="4.4000000000000004"/>
    <n v="246"/>
    <d v="2025-05-11T00:00:00"/>
    <s v="DELIVERED"/>
    <x v="0"/>
    <x v="7"/>
    <s v="Telangana"/>
    <m/>
    <n v="7786"/>
    <n v="4672"/>
    <n v="3114"/>
    <x v="0"/>
  </r>
  <r>
    <x v="118"/>
    <s v="C484"/>
    <x v="117"/>
    <s v="Roadster Tough Help"/>
    <x v="6"/>
    <x v="1"/>
    <n v="850"/>
    <n v="40"/>
    <n v="510"/>
    <n v="2"/>
    <n v="42"/>
    <s v="White"/>
    <n v="4"/>
    <n v="180"/>
    <d v="2025-05-30T00:00:00"/>
    <s v="RETURNED"/>
    <x v="2"/>
    <x v="2"/>
    <s v="Maharashtra"/>
    <m/>
    <n v="1700"/>
    <n v="1020"/>
    <n v="680"/>
    <x v="1"/>
  </r>
  <r>
    <x v="119"/>
    <s v="C431"/>
    <x v="118"/>
    <s v="DressBerry Institution Game"/>
    <x v="0"/>
    <x v="0"/>
    <n v="873"/>
    <n v="25"/>
    <n v="655"/>
    <n v="1"/>
    <s v="-"/>
    <s v="Grey"/>
    <n v="4.3"/>
    <n v="149"/>
    <d v="2025-05-03T00:00:00"/>
    <s v="CANCELLED"/>
    <x v="1"/>
    <x v="2"/>
    <s v="Maharashtra"/>
    <m/>
    <n v="873"/>
    <n v="655"/>
    <n v="218"/>
    <x v="2"/>
  </r>
  <r>
    <x v="120"/>
    <s v="C357"/>
    <x v="119"/>
    <s v="DressBerry Suggest Who"/>
    <x v="2"/>
    <x v="0"/>
    <n v="2106"/>
    <n v="25"/>
    <n v="1580"/>
    <n v="1"/>
    <s v="M"/>
    <s v="Green"/>
    <n v="5"/>
    <n v="80"/>
    <d v="2025-06-01T00:00:00"/>
    <s v="DELIVERED"/>
    <x v="2"/>
    <x v="6"/>
    <s v="West Bengal"/>
    <m/>
    <n v="2106"/>
    <n v="1580"/>
    <n v="526"/>
    <x v="0"/>
  </r>
  <r>
    <x v="121"/>
    <s v="C312"/>
    <x v="120"/>
    <s v="Mast &amp; Harbour Game Money"/>
    <x v="9"/>
    <x v="5"/>
    <n v="4527"/>
    <n v="35"/>
    <n v="2943"/>
    <n v="1"/>
    <s v="XL"/>
    <s v="Grey"/>
    <n v="4.9000000000000004"/>
    <n v="152"/>
    <d v="2025-06-14T00:00:00"/>
    <s v="CANCELLED"/>
    <x v="1"/>
    <x v="8"/>
    <s v="Gujarat"/>
    <m/>
    <n v="4527"/>
    <n v="2943"/>
    <n v="1584"/>
    <x v="2"/>
  </r>
  <r>
    <x v="122"/>
    <s v="C399"/>
    <x v="121"/>
    <s v="Roadster Vote Herself"/>
    <x v="6"/>
    <x v="1"/>
    <n v="1611"/>
    <n v="10"/>
    <n v="1450"/>
    <n v="3"/>
    <n v="42"/>
    <s v="Red"/>
    <n v="4.3"/>
    <n v="68"/>
    <d v="2025-04-27T00:00:00"/>
    <s v="RETURNED"/>
    <x v="0"/>
    <x v="0"/>
    <s v="Madhya Pradesh"/>
    <s v="Size Issue"/>
    <n v="4833"/>
    <n v="4350"/>
    <n v="483"/>
    <x v="1"/>
  </r>
  <r>
    <x v="123"/>
    <s v="C358"/>
    <x v="122"/>
    <s v="DressBerry Available Believe"/>
    <x v="0"/>
    <x v="0"/>
    <n v="2874"/>
    <n v="40"/>
    <n v="1725"/>
    <n v="1"/>
    <s v="Free Size"/>
    <s v="Yellow"/>
    <n v="4.3"/>
    <n v="98"/>
    <d v="2025-05-22T00:00:00"/>
    <s v="CANCELLED"/>
    <x v="2"/>
    <x v="4"/>
    <s v="Delhi"/>
    <m/>
    <n v="2874"/>
    <n v="1725"/>
    <n v="1149"/>
    <x v="2"/>
  </r>
  <r>
    <x v="124"/>
    <s v="C284"/>
    <x v="123"/>
    <s v="HRX Style Can"/>
    <x v="4"/>
    <x v="2"/>
    <n v="2412"/>
    <n v="25"/>
    <n v="1809"/>
    <n v="1"/>
    <s v="S"/>
    <s v="Pink"/>
    <n v="4.2"/>
    <n v="270"/>
    <d v="2025-07-19T00:00:00"/>
    <s v="CANCELLED"/>
    <x v="2"/>
    <x v="8"/>
    <s v="Gujarat"/>
    <m/>
    <n v="2412"/>
    <n v="1809"/>
    <n v="603"/>
    <x v="2"/>
  </r>
  <r>
    <x v="125"/>
    <s v="C222"/>
    <x v="124"/>
    <s v="Anouk Any Behavior"/>
    <x v="7"/>
    <x v="4"/>
    <n v="3890"/>
    <n v="40"/>
    <n v="2334"/>
    <n v="1"/>
    <s v="Free Size"/>
    <s v="Brown"/>
    <n v="4.0999999999999996"/>
    <n v="234"/>
    <d v="2025-06-11T00:00:00"/>
    <s v="CANCELLED"/>
    <x v="0"/>
    <x v="5"/>
    <s v="Uttar Pradesh"/>
    <m/>
    <n v="3890"/>
    <n v="2334"/>
    <n v="1556"/>
    <x v="2"/>
  </r>
  <r>
    <x v="126"/>
    <s v="C550"/>
    <x v="125"/>
    <s v="Roadster Seat Board"/>
    <x v="6"/>
    <x v="1"/>
    <n v="4254"/>
    <n v="15"/>
    <n v="3616"/>
    <n v="1"/>
    <s v="Free Size"/>
    <s v="Pink"/>
    <n v="4.8"/>
    <n v="278"/>
    <d v="2025-05-01T00:00:00"/>
    <s v="CANCELLED"/>
    <x v="0"/>
    <x v="4"/>
    <s v="Delhi"/>
    <m/>
    <n v="4254"/>
    <n v="3616"/>
    <n v="638"/>
    <x v="2"/>
  </r>
  <r>
    <x v="127"/>
    <s v="C370"/>
    <x v="126"/>
    <s v="WROGN Smile Onto"/>
    <x v="5"/>
    <x v="3"/>
    <n v="3160"/>
    <n v="15"/>
    <n v="2686"/>
    <n v="2"/>
    <n v="40"/>
    <s v="White"/>
    <n v="4"/>
    <n v="174"/>
    <d v="2025-06-16T00:00:00"/>
    <s v="CANCELLED"/>
    <x v="2"/>
    <x v="9"/>
    <s v="Tamil Nadu"/>
    <m/>
    <n v="6320"/>
    <n v="5372"/>
    <n v="948"/>
    <x v="2"/>
  </r>
  <r>
    <x v="128"/>
    <s v="C416"/>
    <x v="127"/>
    <s v="Mast &amp; Harbour Want Church"/>
    <x v="9"/>
    <x v="5"/>
    <n v="4941"/>
    <n v="40"/>
    <n v="2965"/>
    <n v="3"/>
    <n v="42"/>
    <s v="Blue"/>
    <n v="4.5"/>
    <n v="238"/>
    <d v="2025-07-10T00:00:00"/>
    <s v="CANCELLED"/>
    <x v="2"/>
    <x v="6"/>
    <s v="West Bengal"/>
    <m/>
    <n v="14823"/>
    <n v="8895"/>
    <n v="5928"/>
    <x v="2"/>
  </r>
  <r>
    <x v="129"/>
    <s v="C647"/>
    <x v="128"/>
    <s v="Roadster Of Could"/>
    <x v="1"/>
    <x v="1"/>
    <n v="1255"/>
    <n v="15"/>
    <n v="1067"/>
    <n v="1"/>
    <s v="XXL"/>
    <s v="Grey"/>
    <n v="4.5999999999999996"/>
    <n v="129"/>
    <d v="2025-06-13T00:00:00"/>
    <s v="RETURNED"/>
    <x v="0"/>
    <x v="2"/>
    <s v="Maharashtra"/>
    <s v="Late Delivery"/>
    <n v="1255"/>
    <n v="1067"/>
    <n v="188"/>
    <x v="1"/>
  </r>
  <r>
    <x v="130"/>
    <s v="C542"/>
    <x v="16"/>
    <s v="WROGN Sit Receive"/>
    <x v="5"/>
    <x v="3"/>
    <n v="3753"/>
    <n v="15"/>
    <n v="3191"/>
    <n v="3"/>
    <s v="XL"/>
    <s v="Green"/>
    <n v="3.6"/>
    <n v="241"/>
    <d v="2025-07-08T00:00:00"/>
    <s v="RETURNED"/>
    <x v="1"/>
    <x v="7"/>
    <s v="Telangana"/>
    <s v="Defective Item"/>
    <n v="11259"/>
    <n v="9573"/>
    <n v="1686"/>
    <x v="1"/>
  </r>
  <r>
    <x v="131"/>
    <s v="C605"/>
    <x v="129"/>
    <s v="WROGN War Yard"/>
    <x v="5"/>
    <x v="3"/>
    <n v="2048"/>
    <n v="15"/>
    <n v="1741"/>
    <n v="1"/>
    <n v="42"/>
    <s v="Grey"/>
    <n v="4.3"/>
    <n v="123"/>
    <d v="2025-06-19T00:00:00"/>
    <s v="DELIVERED"/>
    <x v="1"/>
    <x v="4"/>
    <s v="Delhi"/>
    <m/>
    <n v="2048"/>
    <n v="1741"/>
    <n v="307"/>
    <x v="0"/>
  </r>
  <r>
    <x v="132"/>
    <s v="C216"/>
    <x v="130"/>
    <s v="HRX Simply Write"/>
    <x v="4"/>
    <x v="2"/>
    <n v="3547"/>
    <n v="35"/>
    <n v="2306"/>
    <n v="3"/>
    <s v="-"/>
    <s v="Blue"/>
    <n v="4.7"/>
    <n v="295"/>
    <d v="2025-05-12T00:00:00"/>
    <s v="RETURNED"/>
    <x v="0"/>
    <x v="4"/>
    <s v="Delhi"/>
    <s v="Size Issue"/>
    <n v="10641"/>
    <n v="6918"/>
    <n v="3723"/>
    <x v="1"/>
  </r>
  <r>
    <x v="133"/>
    <s v="C315"/>
    <x v="131"/>
    <s v="Anouk Seven Expect"/>
    <x v="7"/>
    <x v="4"/>
    <n v="2466"/>
    <n v="20"/>
    <n v="1973"/>
    <n v="1"/>
    <s v="M"/>
    <s v="Navy"/>
    <n v="4.7"/>
    <n v="25"/>
    <d v="2025-06-12T00:00:00"/>
    <s v="DELIVERED"/>
    <x v="0"/>
    <x v="0"/>
    <s v="Madhya Pradesh"/>
    <m/>
    <n v="2466"/>
    <n v="1973"/>
    <n v="493"/>
    <x v="0"/>
  </r>
  <r>
    <x v="134"/>
    <s v="C251"/>
    <x v="132"/>
    <s v="WROGN Fund Today"/>
    <x v="5"/>
    <x v="3"/>
    <n v="4294"/>
    <n v="25"/>
    <n v="3221"/>
    <n v="2"/>
    <s v="M"/>
    <s v="Navy"/>
    <n v="4.5"/>
    <n v="232"/>
    <d v="2025-05-15T00:00:00"/>
    <s v="DELIVERED"/>
    <x v="2"/>
    <x v="1"/>
    <s v="Karnataka"/>
    <m/>
    <n v="8588"/>
    <n v="6442"/>
    <n v="2146"/>
    <x v="0"/>
  </r>
  <r>
    <x v="135"/>
    <s v="C450"/>
    <x v="133"/>
    <s v="Anouk Market Five"/>
    <x v="7"/>
    <x v="4"/>
    <n v="4286"/>
    <n v="10"/>
    <n v="3858"/>
    <n v="3"/>
    <n v="40"/>
    <s v="White"/>
    <n v="4.7"/>
    <n v="107"/>
    <d v="2025-06-19T00:00:00"/>
    <s v="CANCELLED"/>
    <x v="2"/>
    <x v="5"/>
    <s v="Uttar Pradesh"/>
    <m/>
    <n v="12858"/>
    <n v="11574"/>
    <n v="1284"/>
    <x v="2"/>
  </r>
  <r>
    <x v="136"/>
    <s v="C647"/>
    <x v="134"/>
    <s v="Mast &amp; Harbour Easy Pull"/>
    <x v="9"/>
    <x v="5"/>
    <n v="1592"/>
    <n v="10"/>
    <n v="1433"/>
    <n v="1"/>
    <s v="S"/>
    <s v="White"/>
    <n v="4.8"/>
    <n v="17"/>
    <d v="2025-04-27T00:00:00"/>
    <s v="RETURNED"/>
    <x v="1"/>
    <x v="8"/>
    <s v="Gujarat"/>
    <s v="Size Issue"/>
    <n v="1592"/>
    <n v="1433"/>
    <n v="159"/>
    <x v="1"/>
  </r>
  <r>
    <x v="137"/>
    <s v="C384"/>
    <x v="135"/>
    <s v="HRX Result Dream"/>
    <x v="8"/>
    <x v="2"/>
    <n v="3202"/>
    <n v="35"/>
    <n v="2082"/>
    <n v="1"/>
    <s v="XXL"/>
    <s v="Brown"/>
    <n v="3.8"/>
    <n v="191"/>
    <d v="2025-06-20T00:00:00"/>
    <s v="CANCELLED"/>
    <x v="1"/>
    <x v="4"/>
    <s v="Delhi"/>
    <m/>
    <n v="3202"/>
    <n v="2082"/>
    <n v="1120"/>
    <x v="2"/>
  </r>
  <r>
    <x v="138"/>
    <s v="C551"/>
    <x v="136"/>
    <s v="DressBerry Citizen Or"/>
    <x v="0"/>
    <x v="0"/>
    <n v="1909"/>
    <n v="10"/>
    <n v="1719"/>
    <n v="2"/>
    <n v="44"/>
    <s v="Black"/>
    <n v="4.7"/>
    <n v="238"/>
    <d v="2025-06-08T00:00:00"/>
    <s v="RETURNED"/>
    <x v="1"/>
    <x v="6"/>
    <s v="West Bengal"/>
    <s v="Late Delivery"/>
    <n v="3818"/>
    <n v="3438"/>
    <n v="380"/>
    <x v="1"/>
  </r>
  <r>
    <x v="139"/>
    <s v="C635"/>
    <x v="137"/>
    <s v="Mast &amp; Harbour Choice One"/>
    <x v="9"/>
    <x v="5"/>
    <n v="948"/>
    <n v="40"/>
    <n v="569"/>
    <n v="1"/>
    <s v="XL"/>
    <s v="Blue"/>
    <n v="4.2"/>
    <n v="45"/>
    <d v="2025-05-11T00:00:00"/>
    <s v="RETURNED"/>
    <x v="0"/>
    <x v="5"/>
    <s v="Uttar Pradesh"/>
    <s v="Late Delivery"/>
    <n v="948"/>
    <n v="569"/>
    <n v="379"/>
    <x v="1"/>
  </r>
  <r>
    <x v="140"/>
    <s v="C351"/>
    <x v="138"/>
    <s v="Anouk Kid Security"/>
    <x v="7"/>
    <x v="4"/>
    <n v="936"/>
    <n v="35"/>
    <n v="609"/>
    <n v="3"/>
    <s v="L"/>
    <s v="Grey"/>
    <n v="5"/>
    <n v="114"/>
    <d v="2025-06-02T00:00:00"/>
    <s v="RETURNED"/>
    <x v="2"/>
    <x v="5"/>
    <s v="Uttar Pradesh"/>
    <s v="Color Mismatch"/>
    <n v="2808"/>
    <n v="1827"/>
    <n v="981"/>
    <x v="1"/>
  </r>
  <r>
    <x v="141"/>
    <s v="C518"/>
    <x v="80"/>
    <s v="DressBerry Even Attention"/>
    <x v="2"/>
    <x v="0"/>
    <n v="3969"/>
    <n v="35"/>
    <n v="2580"/>
    <n v="3"/>
    <s v="M"/>
    <s v="White"/>
    <n v="4.0999999999999996"/>
    <n v="151"/>
    <d v="2025-07-20T00:00:00"/>
    <s v="RETURNED"/>
    <x v="1"/>
    <x v="5"/>
    <s v="Uttar Pradesh"/>
    <s v="Color Mismatch"/>
    <n v="11907"/>
    <n v="7740"/>
    <n v="4167"/>
    <x v="1"/>
  </r>
  <r>
    <x v="142"/>
    <s v="C277"/>
    <x v="139"/>
    <s v="Roadster Control Foreign"/>
    <x v="3"/>
    <x v="1"/>
    <n v="3372"/>
    <n v="35"/>
    <n v="2192"/>
    <n v="3"/>
    <s v="-"/>
    <s v="Black"/>
    <n v="4.7"/>
    <n v="25"/>
    <d v="2025-07-08T00:00:00"/>
    <s v="CANCELLED"/>
    <x v="2"/>
    <x v="9"/>
    <s v="Tamil Nadu"/>
    <m/>
    <n v="10116"/>
    <n v="6576"/>
    <n v="3540"/>
    <x v="2"/>
  </r>
  <r>
    <x v="143"/>
    <s v="C595"/>
    <x v="140"/>
    <s v="HRX Walk Mission"/>
    <x v="4"/>
    <x v="2"/>
    <n v="1755"/>
    <n v="40"/>
    <n v="1053"/>
    <n v="3"/>
    <n v="42"/>
    <s v="Red"/>
    <n v="4.3"/>
    <n v="111"/>
    <d v="2025-06-19T00:00:00"/>
    <s v="CANCELLED"/>
    <x v="2"/>
    <x v="9"/>
    <s v="Tamil Nadu"/>
    <m/>
    <n v="5265"/>
    <n v="3159"/>
    <n v="2106"/>
    <x v="2"/>
  </r>
  <r>
    <x v="144"/>
    <s v="C486"/>
    <x v="141"/>
    <s v="DressBerry Language Relationship"/>
    <x v="0"/>
    <x v="0"/>
    <n v="3448"/>
    <n v="30"/>
    <n v="2414"/>
    <n v="3"/>
    <n v="42"/>
    <s v="Pink"/>
    <n v="4.0999999999999996"/>
    <n v="181"/>
    <d v="2025-06-11T00:00:00"/>
    <s v="DELIVERED"/>
    <x v="1"/>
    <x v="6"/>
    <s v="West Bengal"/>
    <m/>
    <n v="10344"/>
    <n v="7242"/>
    <n v="3102"/>
    <x v="0"/>
  </r>
  <r>
    <x v="145"/>
    <s v="C625"/>
    <x v="142"/>
    <s v="Roadster Always Research"/>
    <x v="6"/>
    <x v="1"/>
    <n v="1018"/>
    <n v="25"/>
    <n v="764"/>
    <n v="3"/>
    <n v="40"/>
    <s v="Brown"/>
    <n v="4.3"/>
    <n v="53"/>
    <d v="2025-07-10T00:00:00"/>
    <s v="DELIVERED"/>
    <x v="2"/>
    <x v="6"/>
    <s v="West Bengal"/>
    <m/>
    <n v="3054"/>
    <n v="2292"/>
    <n v="762"/>
    <x v="0"/>
  </r>
  <r>
    <x v="146"/>
    <s v="C254"/>
    <x v="143"/>
    <s v="DressBerry Five Dream"/>
    <x v="2"/>
    <x v="0"/>
    <n v="4946"/>
    <n v="35"/>
    <n v="3215"/>
    <n v="1"/>
    <s v="M"/>
    <s v="Blue"/>
    <n v="4.4000000000000004"/>
    <n v="155"/>
    <d v="2025-06-08T00:00:00"/>
    <s v="CANCELLED"/>
    <x v="1"/>
    <x v="0"/>
    <s v="Madhya Pradesh"/>
    <m/>
    <n v="4946"/>
    <n v="3215"/>
    <n v="1731"/>
    <x v="2"/>
  </r>
  <r>
    <x v="147"/>
    <s v="C337"/>
    <x v="144"/>
    <s v="DressBerry Right Management"/>
    <x v="0"/>
    <x v="0"/>
    <n v="1763"/>
    <n v="25"/>
    <n v="1323"/>
    <n v="1"/>
    <s v="-"/>
    <s v="Pink"/>
    <n v="4.0999999999999996"/>
    <n v="157"/>
    <d v="2025-06-20T00:00:00"/>
    <s v="DELIVERED"/>
    <x v="2"/>
    <x v="2"/>
    <s v="Maharashtra"/>
    <m/>
    <n v="1763"/>
    <n v="1323"/>
    <n v="440"/>
    <x v="0"/>
  </r>
  <r>
    <x v="148"/>
    <s v="C221"/>
    <x v="145"/>
    <s v="HRX Service Perform"/>
    <x v="8"/>
    <x v="2"/>
    <n v="2968"/>
    <n v="30"/>
    <n v="2078"/>
    <n v="2"/>
    <s v="XL"/>
    <s v="Navy"/>
    <n v="3.9"/>
    <n v="37"/>
    <d v="2025-06-12T00:00:00"/>
    <s v="RETURNED"/>
    <x v="0"/>
    <x v="2"/>
    <s v="Maharashtra"/>
    <s v="Defective Item"/>
    <n v="5936"/>
    <n v="4156"/>
    <n v="1780"/>
    <x v="1"/>
  </r>
  <r>
    <x v="149"/>
    <s v="C253"/>
    <x v="146"/>
    <s v="DressBerry Mind Season"/>
    <x v="2"/>
    <x v="0"/>
    <n v="1554"/>
    <n v="15"/>
    <n v="1321"/>
    <n v="2"/>
    <s v="XXL"/>
    <s v="Grey"/>
    <n v="3.7"/>
    <n v="56"/>
    <d v="2025-07-12T00:00:00"/>
    <s v="CANCELLED"/>
    <x v="0"/>
    <x v="1"/>
    <s v="Karnataka"/>
    <m/>
    <n v="3108"/>
    <n v="2642"/>
    <n v="466"/>
    <x v="2"/>
  </r>
  <r>
    <x v="150"/>
    <s v="C251"/>
    <x v="147"/>
    <s v="DressBerry Staff Morning"/>
    <x v="0"/>
    <x v="0"/>
    <n v="2899"/>
    <n v="25"/>
    <n v="2175"/>
    <n v="2"/>
    <s v="Free Size"/>
    <s v="Green"/>
    <n v="4.5"/>
    <n v="273"/>
    <d v="2025-05-18T00:00:00"/>
    <s v="RETURNED"/>
    <x v="2"/>
    <x v="5"/>
    <s v="Uttar Pradesh"/>
    <s v="Defective Item"/>
    <n v="5798"/>
    <n v="4350"/>
    <n v="1448"/>
    <x v="1"/>
  </r>
  <r>
    <x v="151"/>
    <s v="C491"/>
    <x v="148"/>
    <s v="Roadster Try Because"/>
    <x v="1"/>
    <x v="1"/>
    <n v="1987"/>
    <n v="30"/>
    <n v="1391"/>
    <n v="2"/>
    <n v="42"/>
    <s v="Green"/>
    <n v="4.0999999999999996"/>
    <n v="271"/>
    <d v="2025-06-14T00:00:00"/>
    <s v="DELIVERED"/>
    <x v="2"/>
    <x v="9"/>
    <s v="Tamil Nadu"/>
    <m/>
    <n v="3974"/>
    <n v="2782"/>
    <n v="1192"/>
    <x v="0"/>
  </r>
  <r>
    <x v="152"/>
    <s v="C277"/>
    <x v="149"/>
    <s v="HRX Officer Take"/>
    <x v="4"/>
    <x v="2"/>
    <n v="954"/>
    <n v="30"/>
    <n v="668"/>
    <n v="1"/>
    <s v="-"/>
    <s v="Navy"/>
    <n v="4.3"/>
    <n v="72"/>
    <d v="2025-07-01T00:00:00"/>
    <s v="RETURNED"/>
    <x v="2"/>
    <x v="1"/>
    <s v="Karnataka"/>
    <s v="Color Mismatch"/>
    <n v="954"/>
    <n v="668"/>
    <n v="286"/>
    <x v="1"/>
  </r>
  <r>
    <x v="153"/>
    <s v="C561"/>
    <x v="150"/>
    <s v="Anouk Lose Southern"/>
    <x v="7"/>
    <x v="4"/>
    <n v="1695"/>
    <n v="10"/>
    <n v="1526"/>
    <n v="3"/>
    <s v="-"/>
    <s v="Yellow"/>
    <n v="5"/>
    <n v="252"/>
    <d v="2025-06-04T00:00:00"/>
    <s v="RETURNED"/>
    <x v="1"/>
    <x v="2"/>
    <s v="Maharashtra"/>
    <s v="Size Issue"/>
    <n v="5085"/>
    <n v="4578"/>
    <n v="507"/>
    <x v="1"/>
  </r>
  <r>
    <x v="154"/>
    <s v="C289"/>
    <x v="151"/>
    <s v="HRX Simply Test"/>
    <x v="4"/>
    <x v="2"/>
    <n v="2838"/>
    <n v="30"/>
    <n v="1987"/>
    <n v="2"/>
    <s v="L"/>
    <s v="Brown"/>
    <n v="3.6"/>
    <n v="159"/>
    <d v="2025-05-22T00:00:00"/>
    <s v="CANCELLED"/>
    <x v="0"/>
    <x v="8"/>
    <s v="Gujarat"/>
    <m/>
    <n v="5676"/>
    <n v="3974"/>
    <n v="1702"/>
    <x v="2"/>
  </r>
  <r>
    <x v="155"/>
    <s v="C303"/>
    <x v="152"/>
    <s v="DressBerry Show Success"/>
    <x v="0"/>
    <x v="0"/>
    <n v="3559"/>
    <n v="35"/>
    <n v="2314"/>
    <n v="3"/>
    <n v="42"/>
    <s v="White"/>
    <n v="4.9000000000000004"/>
    <n v="212"/>
    <d v="2025-04-30T00:00:00"/>
    <s v="DELIVERED"/>
    <x v="2"/>
    <x v="2"/>
    <s v="Maharashtra"/>
    <m/>
    <n v="10677"/>
    <n v="6942"/>
    <n v="3735"/>
    <x v="0"/>
  </r>
  <r>
    <x v="156"/>
    <s v="C564"/>
    <x v="153"/>
    <s v="DressBerry Discover Paper"/>
    <x v="0"/>
    <x v="0"/>
    <n v="1178"/>
    <n v="10"/>
    <n v="1061"/>
    <n v="2"/>
    <n v="40"/>
    <s v="Pink"/>
    <n v="4.3"/>
    <n v="120"/>
    <d v="2025-05-26T00:00:00"/>
    <s v="DELIVERED"/>
    <x v="0"/>
    <x v="4"/>
    <s v="Delhi"/>
    <m/>
    <n v="2356"/>
    <n v="2122"/>
    <n v="234"/>
    <x v="0"/>
  </r>
  <r>
    <x v="157"/>
    <s v="C658"/>
    <x v="154"/>
    <s v="WROGN Line Increase"/>
    <x v="5"/>
    <x v="3"/>
    <n v="4085"/>
    <n v="30"/>
    <n v="2860"/>
    <n v="1"/>
    <s v="L"/>
    <s v="Red"/>
    <n v="4.7"/>
    <n v="271"/>
    <d v="2025-07-11T00:00:00"/>
    <s v="DELIVERED"/>
    <x v="1"/>
    <x v="6"/>
    <s v="West Bengal"/>
    <m/>
    <n v="4085"/>
    <n v="2860"/>
    <n v="1225"/>
    <x v="0"/>
  </r>
  <r>
    <x v="158"/>
    <s v="C327"/>
    <x v="155"/>
    <s v="WROGN Show Or"/>
    <x v="5"/>
    <x v="3"/>
    <n v="4007"/>
    <n v="25"/>
    <n v="3006"/>
    <n v="2"/>
    <s v="M"/>
    <s v="Red"/>
    <n v="3.7"/>
    <n v="187"/>
    <d v="2025-05-09T00:00:00"/>
    <s v="DELIVERED"/>
    <x v="0"/>
    <x v="7"/>
    <s v="Telangana"/>
    <m/>
    <n v="8014"/>
    <n v="6012"/>
    <n v="2002"/>
    <x v="0"/>
  </r>
  <r>
    <x v="159"/>
    <s v="C680"/>
    <x v="156"/>
    <s v="Roadster Contain Culture"/>
    <x v="6"/>
    <x v="1"/>
    <n v="3883"/>
    <n v="35"/>
    <n v="2524"/>
    <n v="1"/>
    <s v="S"/>
    <s v="Black"/>
    <n v="4"/>
    <n v="188"/>
    <d v="2025-06-20T00:00:00"/>
    <s v="CANCELLED"/>
    <x v="2"/>
    <x v="1"/>
    <s v="Karnataka"/>
    <m/>
    <n v="3883"/>
    <n v="2524"/>
    <n v="1359"/>
    <x v="2"/>
  </r>
  <r>
    <x v="160"/>
    <s v="C498"/>
    <x v="157"/>
    <s v="Roadster Five In"/>
    <x v="1"/>
    <x v="1"/>
    <n v="2948"/>
    <n v="10"/>
    <n v="2654"/>
    <n v="1"/>
    <n v="40"/>
    <s v="Brown"/>
    <n v="5"/>
    <n v="299"/>
    <d v="2025-07-13T00:00:00"/>
    <s v="CANCELLED"/>
    <x v="1"/>
    <x v="6"/>
    <s v="West Bengal"/>
    <m/>
    <n v="2948"/>
    <n v="2654"/>
    <n v="294"/>
    <x v="2"/>
  </r>
  <r>
    <x v="161"/>
    <s v="C671"/>
    <x v="158"/>
    <s v="HRX Than Office"/>
    <x v="4"/>
    <x v="2"/>
    <n v="1868"/>
    <n v="10"/>
    <n v="1682"/>
    <n v="1"/>
    <s v="XL"/>
    <s v="Red"/>
    <n v="4.5"/>
    <n v="241"/>
    <d v="2025-05-13T00:00:00"/>
    <s v="DELIVERED"/>
    <x v="0"/>
    <x v="7"/>
    <s v="Telangana"/>
    <m/>
    <n v="1868"/>
    <n v="1682"/>
    <n v="186"/>
    <x v="0"/>
  </r>
  <r>
    <x v="162"/>
    <s v="C636"/>
    <x v="159"/>
    <s v="DressBerry By Help"/>
    <x v="2"/>
    <x v="0"/>
    <n v="1213"/>
    <n v="20"/>
    <n v="971"/>
    <n v="1"/>
    <s v="-"/>
    <s v="Pink"/>
    <n v="5"/>
    <n v="147"/>
    <d v="2025-05-12T00:00:00"/>
    <s v="CANCELLED"/>
    <x v="0"/>
    <x v="7"/>
    <s v="Telangana"/>
    <m/>
    <n v="1213"/>
    <n v="971"/>
    <n v="242"/>
    <x v="2"/>
  </r>
  <r>
    <x v="163"/>
    <s v="C225"/>
    <x v="160"/>
    <s v="Mast &amp; Harbour Bad Because"/>
    <x v="9"/>
    <x v="5"/>
    <n v="2587"/>
    <n v="40"/>
    <n v="1553"/>
    <n v="2"/>
    <n v="44"/>
    <s v="Grey"/>
    <n v="3.8"/>
    <n v="294"/>
    <d v="2025-07-11T00:00:00"/>
    <s v="CANCELLED"/>
    <x v="2"/>
    <x v="0"/>
    <s v="Madhya Pradesh"/>
    <m/>
    <n v="5174"/>
    <n v="3106"/>
    <n v="2068"/>
    <x v="2"/>
  </r>
  <r>
    <x v="164"/>
    <s v="C363"/>
    <x v="161"/>
    <s v="DressBerry Teach Information"/>
    <x v="2"/>
    <x v="0"/>
    <n v="4193"/>
    <n v="15"/>
    <n v="3565"/>
    <n v="3"/>
    <s v="Free Size"/>
    <s v="Black"/>
    <n v="4.9000000000000004"/>
    <n v="173"/>
    <d v="2025-04-27T00:00:00"/>
    <s v="RETURNED"/>
    <x v="0"/>
    <x v="7"/>
    <s v="Telangana"/>
    <s v="Defective Item"/>
    <n v="12579"/>
    <n v="10695"/>
    <n v="1884"/>
    <x v="1"/>
  </r>
  <r>
    <x v="165"/>
    <s v="C281"/>
    <x v="162"/>
    <s v="Roadster About Half"/>
    <x v="3"/>
    <x v="1"/>
    <n v="4530"/>
    <n v="15"/>
    <n v="3851"/>
    <n v="1"/>
    <n v="40"/>
    <s v="White"/>
    <n v="4.0999999999999996"/>
    <n v="63"/>
    <d v="2025-07-12T00:00:00"/>
    <s v="DELIVERED"/>
    <x v="0"/>
    <x v="7"/>
    <s v="Telangana"/>
    <m/>
    <n v="4530"/>
    <n v="3851"/>
    <n v="679"/>
    <x v="0"/>
  </r>
  <r>
    <x v="166"/>
    <s v="C607"/>
    <x v="163"/>
    <s v="WROGN Protect Carry"/>
    <x v="5"/>
    <x v="3"/>
    <n v="2949"/>
    <n v="20"/>
    <n v="2360"/>
    <n v="3"/>
    <s v="S"/>
    <s v="Pink"/>
    <n v="4.9000000000000004"/>
    <n v="59"/>
    <d v="2025-07-20T00:00:00"/>
    <s v="RETURNED"/>
    <x v="1"/>
    <x v="3"/>
    <s v="Rajasthan"/>
    <m/>
    <n v="8847"/>
    <n v="7080"/>
    <n v="1767"/>
    <x v="1"/>
  </r>
  <r>
    <x v="167"/>
    <s v="C486"/>
    <x v="164"/>
    <s v="HRX Evidence Decade"/>
    <x v="8"/>
    <x v="2"/>
    <n v="1056"/>
    <n v="10"/>
    <n v="951"/>
    <n v="2"/>
    <n v="44"/>
    <s v="Pink"/>
    <n v="4.4000000000000004"/>
    <n v="64"/>
    <d v="2025-05-10T00:00:00"/>
    <s v="CANCELLED"/>
    <x v="2"/>
    <x v="4"/>
    <s v="Delhi"/>
    <m/>
    <n v="2112"/>
    <n v="1902"/>
    <n v="210"/>
    <x v="2"/>
  </r>
  <r>
    <x v="168"/>
    <s v="C546"/>
    <x v="165"/>
    <s v="HRX Him Choose"/>
    <x v="4"/>
    <x v="2"/>
    <n v="2307"/>
    <n v="25"/>
    <n v="1731"/>
    <n v="3"/>
    <n v="42"/>
    <s v="Green"/>
    <n v="4.9000000000000004"/>
    <n v="19"/>
    <d v="2025-07-03T00:00:00"/>
    <s v="DELIVERED"/>
    <x v="2"/>
    <x v="1"/>
    <s v="Karnataka"/>
    <m/>
    <n v="6921"/>
    <n v="5193"/>
    <n v="1728"/>
    <x v="0"/>
  </r>
  <r>
    <x v="169"/>
    <s v="C636"/>
    <x v="166"/>
    <s v="Roadster Although Beyond"/>
    <x v="6"/>
    <x v="1"/>
    <n v="3022"/>
    <n v="20"/>
    <n v="2418"/>
    <n v="2"/>
    <s v="XL"/>
    <s v="Grey"/>
    <n v="4.3"/>
    <n v="220"/>
    <d v="2025-07-03T00:00:00"/>
    <s v="CANCELLED"/>
    <x v="2"/>
    <x v="3"/>
    <s v="Rajasthan"/>
    <m/>
    <n v="6044"/>
    <n v="4836"/>
    <n v="1208"/>
    <x v="2"/>
  </r>
  <r>
    <x v="170"/>
    <s v="C237"/>
    <x v="167"/>
    <s v="HRX Where Fine"/>
    <x v="4"/>
    <x v="2"/>
    <n v="4083"/>
    <n v="30"/>
    <n v="2859"/>
    <n v="2"/>
    <s v="XXL"/>
    <s v="White"/>
    <n v="3.9"/>
    <n v="166"/>
    <d v="2025-06-19T00:00:00"/>
    <s v="RETURNED"/>
    <x v="2"/>
    <x v="9"/>
    <s v="Tamil Nadu"/>
    <s v="Size Issue"/>
    <n v="8166"/>
    <n v="5718"/>
    <n v="2448"/>
    <x v="1"/>
  </r>
  <r>
    <x v="171"/>
    <s v="C215"/>
    <x v="168"/>
    <s v="DressBerry Window Source"/>
    <x v="0"/>
    <x v="0"/>
    <n v="620"/>
    <n v="15"/>
    <n v="527"/>
    <n v="1"/>
    <s v="L"/>
    <s v="Green"/>
    <n v="4.5999999999999996"/>
    <n v="38"/>
    <d v="2025-05-03T00:00:00"/>
    <s v="RETURNED"/>
    <x v="1"/>
    <x v="9"/>
    <s v="Tamil Nadu"/>
    <s v="Late Delivery"/>
    <n v="620"/>
    <n v="527"/>
    <n v="93"/>
    <x v="1"/>
  </r>
  <r>
    <x v="172"/>
    <s v="C279"/>
    <x v="169"/>
    <s v="Roadster Concern Firm"/>
    <x v="1"/>
    <x v="1"/>
    <n v="2041"/>
    <n v="30"/>
    <n v="1429"/>
    <n v="2"/>
    <s v="XL"/>
    <s v="Grey"/>
    <n v="4.7"/>
    <n v="230"/>
    <d v="2025-06-09T00:00:00"/>
    <s v="DELIVERED"/>
    <x v="1"/>
    <x v="0"/>
    <s v="Madhya Pradesh"/>
    <m/>
    <n v="4082"/>
    <n v="2858"/>
    <n v="1224"/>
    <x v="0"/>
  </r>
  <r>
    <x v="173"/>
    <s v="C243"/>
    <x v="170"/>
    <s v="Roadster Left Respond"/>
    <x v="3"/>
    <x v="1"/>
    <n v="3272"/>
    <n v="25"/>
    <n v="2454"/>
    <n v="2"/>
    <s v="L"/>
    <s v="Red"/>
    <n v="4.9000000000000004"/>
    <n v="255"/>
    <d v="2025-04-22T00:00:00"/>
    <s v="CANCELLED"/>
    <x v="1"/>
    <x v="3"/>
    <s v="Rajasthan"/>
    <m/>
    <n v="6544"/>
    <n v="4908"/>
    <n v="1636"/>
    <x v="2"/>
  </r>
  <r>
    <x v="174"/>
    <s v="C653"/>
    <x v="171"/>
    <s v="DressBerry Stuff Sing"/>
    <x v="2"/>
    <x v="0"/>
    <n v="1939"/>
    <n v="35"/>
    <n v="1261"/>
    <n v="2"/>
    <s v="-"/>
    <s v="Pink"/>
    <n v="3.8"/>
    <n v="111"/>
    <d v="2025-05-25T00:00:00"/>
    <s v="RETURNED"/>
    <x v="0"/>
    <x v="3"/>
    <s v="Rajasthan"/>
    <s v="Size Issue"/>
    <n v="3878"/>
    <n v="2522"/>
    <n v="1356"/>
    <x v="1"/>
  </r>
  <r>
    <x v="175"/>
    <s v="C474"/>
    <x v="172"/>
    <s v="Mast &amp; Harbour Do Particular"/>
    <x v="9"/>
    <x v="5"/>
    <n v="4054"/>
    <n v="15"/>
    <n v="3446"/>
    <n v="3"/>
    <n v="42"/>
    <s v="Red"/>
    <n v="3.7"/>
    <n v="196"/>
    <d v="2025-06-06T00:00:00"/>
    <s v="DELIVERED"/>
    <x v="0"/>
    <x v="6"/>
    <s v="West Bengal"/>
    <m/>
    <n v="12162"/>
    <n v="10338"/>
    <n v="1824"/>
    <x v="0"/>
  </r>
  <r>
    <x v="176"/>
    <s v="C614"/>
    <x v="173"/>
    <s v="DressBerry Stop Between"/>
    <x v="2"/>
    <x v="0"/>
    <n v="4210"/>
    <n v="35"/>
    <n v="2737"/>
    <n v="3"/>
    <s v="-"/>
    <s v="Brown"/>
    <n v="4.5"/>
    <n v="23"/>
    <d v="2025-06-25T00:00:00"/>
    <s v="CANCELLED"/>
    <x v="0"/>
    <x v="0"/>
    <s v="Madhya Pradesh"/>
    <m/>
    <n v="12630"/>
    <n v="8211"/>
    <n v="4419"/>
    <x v="2"/>
  </r>
  <r>
    <x v="177"/>
    <s v="C477"/>
    <x v="174"/>
    <s v="Roadster Daughter Heart"/>
    <x v="1"/>
    <x v="1"/>
    <n v="3744"/>
    <n v="40"/>
    <n v="2247"/>
    <n v="2"/>
    <s v="Free Size"/>
    <s v="White"/>
    <n v="4.5"/>
    <n v="96"/>
    <d v="2025-07-14T00:00:00"/>
    <s v="CANCELLED"/>
    <x v="2"/>
    <x v="0"/>
    <s v="Madhya Pradesh"/>
    <m/>
    <n v="7488"/>
    <n v="4494"/>
    <n v="2994"/>
    <x v="2"/>
  </r>
  <r>
    <x v="178"/>
    <s v="C442"/>
    <x v="175"/>
    <s v="Roadster Plant Best"/>
    <x v="6"/>
    <x v="1"/>
    <n v="3840"/>
    <n v="20"/>
    <n v="3072"/>
    <n v="2"/>
    <s v="M"/>
    <s v="White"/>
    <n v="3.8"/>
    <n v="25"/>
    <d v="2025-07-01T00:00:00"/>
    <s v="RETURNED"/>
    <x v="0"/>
    <x v="8"/>
    <s v="Gujarat"/>
    <s v="Color Mismatch"/>
    <n v="7680"/>
    <n v="6144"/>
    <n v="1536"/>
    <x v="1"/>
  </r>
  <r>
    <x v="179"/>
    <s v="C575"/>
    <x v="176"/>
    <s v="Roadster Mind Effect"/>
    <x v="1"/>
    <x v="1"/>
    <n v="3982"/>
    <n v="40"/>
    <n v="2390"/>
    <n v="1"/>
    <s v="-"/>
    <s v="Pink"/>
    <n v="4.5"/>
    <n v="56"/>
    <d v="2025-07-18T00:00:00"/>
    <s v="CANCELLED"/>
    <x v="0"/>
    <x v="7"/>
    <s v="Telangana"/>
    <m/>
    <n v="3982"/>
    <n v="2390"/>
    <n v="1592"/>
    <x v="2"/>
  </r>
  <r>
    <x v="180"/>
    <s v="C460"/>
    <x v="177"/>
    <s v="HRX Day Result"/>
    <x v="4"/>
    <x v="2"/>
    <n v="3854"/>
    <n v="35"/>
    <n v="2506"/>
    <n v="2"/>
    <s v="M"/>
    <s v="Brown"/>
    <n v="3.9"/>
    <n v="132"/>
    <d v="2025-05-07T00:00:00"/>
    <s v="RETURNED"/>
    <x v="0"/>
    <x v="7"/>
    <s v="Telangana"/>
    <s v="Defective Item"/>
    <n v="7708"/>
    <n v="5012"/>
    <n v="2696"/>
    <x v="1"/>
  </r>
  <r>
    <x v="181"/>
    <s v="C281"/>
    <x v="178"/>
    <s v="Mast &amp; Harbour Decision Model"/>
    <x v="9"/>
    <x v="5"/>
    <n v="2337"/>
    <n v="10"/>
    <n v="2104"/>
    <n v="2"/>
    <n v="42"/>
    <s v="Navy"/>
    <n v="4"/>
    <n v="90"/>
    <d v="2025-05-16T00:00:00"/>
    <s v="CANCELLED"/>
    <x v="1"/>
    <x v="8"/>
    <s v="Gujarat"/>
    <m/>
    <n v="4674"/>
    <n v="4208"/>
    <n v="466"/>
    <x v="2"/>
  </r>
  <r>
    <x v="182"/>
    <s v="C294"/>
    <x v="179"/>
    <s v="Mast &amp; Harbour Space Even"/>
    <x v="9"/>
    <x v="5"/>
    <n v="3261"/>
    <n v="35"/>
    <n v="2120"/>
    <n v="1"/>
    <s v="S"/>
    <s v="Red"/>
    <n v="4.8"/>
    <n v="300"/>
    <d v="2025-04-26T00:00:00"/>
    <s v="CANCELLED"/>
    <x v="1"/>
    <x v="2"/>
    <s v="Maharashtra"/>
    <m/>
    <n v="3261"/>
    <n v="2120"/>
    <n v="1141"/>
    <x v="2"/>
  </r>
  <r>
    <x v="183"/>
    <s v="C207"/>
    <x v="180"/>
    <s v="HRX Performance Interview"/>
    <x v="8"/>
    <x v="2"/>
    <n v="3907"/>
    <n v="40"/>
    <n v="2345"/>
    <n v="2"/>
    <s v="XL"/>
    <s v="Red"/>
    <n v="3.6"/>
    <n v="210"/>
    <d v="2025-07-20T00:00:00"/>
    <s v="DELIVERED"/>
    <x v="0"/>
    <x v="4"/>
    <s v="Delhi"/>
    <m/>
    <n v="7814"/>
    <n v="4690"/>
    <n v="3124"/>
    <x v="0"/>
  </r>
  <r>
    <x v="184"/>
    <s v="C687"/>
    <x v="181"/>
    <s v="Mast &amp; Harbour Commercial Organization"/>
    <x v="9"/>
    <x v="5"/>
    <n v="3880"/>
    <n v="25"/>
    <n v="2910"/>
    <n v="3"/>
    <s v="M"/>
    <s v="White"/>
    <n v="3.7"/>
    <n v="222"/>
    <d v="2025-05-25T00:00:00"/>
    <s v="CANCELLED"/>
    <x v="2"/>
    <x v="9"/>
    <s v="Tamil Nadu"/>
    <m/>
    <n v="11640"/>
    <n v="8730"/>
    <n v="2910"/>
    <x v="2"/>
  </r>
  <r>
    <x v="185"/>
    <s v="C645"/>
    <x v="182"/>
    <s v="Roadster Particular Example"/>
    <x v="3"/>
    <x v="1"/>
    <n v="3994"/>
    <n v="30"/>
    <n v="2796"/>
    <n v="2"/>
    <s v="XL"/>
    <s v="Blue"/>
    <n v="3.5"/>
    <n v="53"/>
    <d v="2025-07-03T00:00:00"/>
    <s v="DELIVERED"/>
    <x v="2"/>
    <x v="3"/>
    <s v="Rajasthan"/>
    <m/>
    <n v="7988"/>
    <n v="5592"/>
    <n v="2396"/>
    <x v="0"/>
  </r>
  <r>
    <x v="186"/>
    <s v="C355"/>
    <x v="183"/>
    <s v="DressBerry Catch Remain"/>
    <x v="0"/>
    <x v="0"/>
    <n v="4562"/>
    <n v="30"/>
    <n v="3194"/>
    <n v="2"/>
    <s v="M"/>
    <s v="Navy"/>
    <n v="4.9000000000000004"/>
    <n v="42"/>
    <d v="2025-06-18T00:00:00"/>
    <s v="RETURNED"/>
    <x v="2"/>
    <x v="9"/>
    <s v="Tamil Nadu"/>
    <s v="Defective Item"/>
    <n v="9124"/>
    <n v="6388"/>
    <n v="2736"/>
    <x v="1"/>
  </r>
  <r>
    <x v="187"/>
    <s v="C686"/>
    <x v="184"/>
    <s v="HRX Agency Product"/>
    <x v="4"/>
    <x v="2"/>
    <n v="1184"/>
    <n v="15"/>
    <n v="1007"/>
    <n v="1"/>
    <s v="-"/>
    <s v="Navy"/>
    <n v="4.7"/>
    <n v="286"/>
    <d v="2025-05-02T00:00:00"/>
    <s v="CANCELLED"/>
    <x v="1"/>
    <x v="0"/>
    <s v="Madhya Pradesh"/>
    <m/>
    <n v="1184"/>
    <n v="1007"/>
    <n v="177"/>
    <x v="2"/>
  </r>
  <r>
    <x v="188"/>
    <s v="C364"/>
    <x v="185"/>
    <s v="Roadster As Citizen"/>
    <x v="1"/>
    <x v="1"/>
    <n v="4952"/>
    <n v="15"/>
    <n v="4210"/>
    <n v="2"/>
    <n v="44"/>
    <s v="White"/>
    <n v="4.5999999999999996"/>
    <n v="142"/>
    <d v="2025-05-10T00:00:00"/>
    <s v="CANCELLED"/>
    <x v="1"/>
    <x v="6"/>
    <s v="West Bengal"/>
    <m/>
    <n v="9904"/>
    <n v="8420"/>
    <n v="1484"/>
    <x v="2"/>
  </r>
  <r>
    <x v="189"/>
    <s v="C209"/>
    <x v="186"/>
    <s v="Mast &amp; Harbour Teach More"/>
    <x v="9"/>
    <x v="5"/>
    <n v="2360"/>
    <n v="40"/>
    <n v="1416"/>
    <n v="3"/>
    <s v="Free Size"/>
    <s v="Pink"/>
    <n v="4.3"/>
    <n v="67"/>
    <d v="2025-06-05T00:00:00"/>
    <s v="DELIVERED"/>
    <x v="2"/>
    <x v="0"/>
    <s v="Madhya Pradesh"/>
    <m/>
    <n v="7080"/>
    <n v="4248"/>
    <n v="2832"/>
    <x v="0"/>
  </r>
  <r>
    <x v="190"/>
    <s v="C412"/>
    <x v="187"/>
    <s v="Mast &amp; Harbour Hit Anyone"/>
    <x v="9"/>
    <x v="5"/>
    <n v="2328"/>
    <n v="40"/>
    <n v="1397"/>
    <n v="3"/>
    <s v="XL"/>
    <s v="Green"/>
    <n v="4"/>
    <n v="19"/>
    <d v="2025-06-15T00:00:00"/>
    <s v="CANCELLED"/>
    <x v="1"/>
    <x v="2"/>
    <s v="Maharashtra"/>
    <m/>
    <n v="6984"/>
    <n v="4191"/>
    <n v="2793"/>
    <x v="2"/>
  </r>
  <r>
    <x v="191"/>
    <s v="C256"/>
    <x v="188"/>
    <s v="Roadster Yeah Face"/>
    <x v="6"/>
    <x v="1"/>
    <n v="1860"/>
    <n v="40"/>
    <n v="1116"/>
    <n v="2"/>
    <n v="40"/>
    <s v="Blue"/>
    <n v="4.4000000000000004"/>
    <n v="54"/>
    <d v="2025-06-02T00:00:00"/>
    <s v="RETURNED"/>
    <x v="2"/>
    <x v="1"/>
    <s v="Karnataka"/>
    <m/>
    <n v="3720"/>
    <n v="2232"/>
    <n v="1488"/>
    <x v="1"/>
  </r>
  <r>
    <x v="192"/>
    <s v="C601"/>
    <x v="189"/>
    <s v="HRX High Mention"/>
    <x v="8"/>
    <x v="2"/>
    <n v="4012"/>
    <n v="10"/>
    <n v="3611"/>
    <n v="3"/>
    <s v="XXL"/>
    <s v="Grey"/>
    <n v="4"/>
    <n v="68"/>
    <d v="2025-05-13T00:00:00"/>
    <s v="DELIVERED"/>
    <x v="1"/>
    <x v="4"/>
    <s v="Delhi"/>
    <m/>
    <n v="12036"/>
    <n v="10833"/>
    <n v="1203"/>
    <x v="0"/>
  </r>
  <r>
    <x v="193"/>
    <s v="C650"/>
    <x v="190"/>
    <s v="WROGN National Science"/>
    <x v="5"/>
    <x v="3"/>
    <n v="3998"/>
    <n v="35"/>
    <n v="2599"/>
    <n v="1"/>
    <s v="XXL"/>
    <s v="Red"/>
    <n v="4"/>
    <n v="112"/>
    <d v="2025-06-10T00:00:00"/>
    <s v="DELIVERED"/>
    <x v="0"/>
    <x v="5"/>
    <s v="Uttar Pradesh"/>
    <m/>
    <n v="3998"/>
    <n v="2599"/>
    <n v="1399"/>
    <x v="0"/>
  </r>
  <r>
    <x v="194"/>
    <s v="C276"/>
    <x v="191"/>
    <s v="HRX Thing Middle"/>
    <x v="8"/>
    <x v="2"/>
    <n v="1548"/>
    <n v="10"/>
    <n v="1394"/>
    <n v="2"/>
    <n v="42"/>
    <s v="Green"/>
    <n v="5"/>
    <n v="171"/>
    <d v="2025-06-16T00:00:00"/>
    <s v="RETURNED"/>
    <x v="1"/>
    <x v="3"/>
    <s v="Rajasthan"/>
    <s v="Size Issue"/>
    <n v="3096"/>
    <n v="2788"/>
    <n v="308"/>
    <x v="1"/>
  </r>
  <r>
    <x v="195"/>
    <s v="C275"/>
    <x v="192"/>
    <s v="Roadster It Current"/>
    <x v="6"/>
    <x v="1"/>
    <n v="4381"/>
    <n v="10"/>
    <n v="3943"/>
    <n v="2"/>
    <s v="M"/>
    <s v="Yellow"/>
    <n v="4.7"/>
    <n v="91"/>
    <d v="2025-07-09T00:00:00"/>
    <s v="CANCELLED"/>
    <x v="1"/>
    <x v="1"/>
    <s v="Karnataka"/>
    <m/>
    <n v="8762"/>
    <n v="7886"/>
    <n v="876"/>
    <x v="2"/>
  </r>
  <r>
    <x v="196"/>
    <s v="C330"/>
    <x v="193"/>
    <s v="HRX Network General"/>
    <x v="4"/>
    <x v="2"/>
    <n v="3577"/>
    <n v="35"/>
    <n v="2326"/>
    <n v="1"/>
    <s v="L"/>
    <s v="Grey"/>
    <n v="4.9000000000000004"/>
    <n v="58"/>
    <d v="2025-07-13T00:00:00"/>
    <s v="CANCELLED"/>
    <x v="0"/>
    <x v="2"/>
    <s v="Maharashtra"/>
    <m/>
    <n v="3577"/>
    <n v="2326"/>
    <n v="1251"/>
    <x v="2"/>
  </r>
  <r>
    <x v="197"/>
    <s v="C478"/>
    <x v="194"/>
    <s v="Roadster Stay Although"/>
    <x v="3"/>
    <x v="1"/>
    <n v="4994"/>
    <n v="10"/>
    <n v="4495"/>
    <n v="3"/>
    <s v="-"/>
    <s v="Blue"/>
    <n v="4.8"/>
    <n v="255"/>
    <d v="2025-06-15T00:00:00"/>
    <s v="DELIVERED"/>
    <x v="2"/>
    <x v="2"/>
    <s v="Maharashtra"/>
    <m/>
    <n v="14982"/>
    <n v="13485"/>
    <n v="1497"/>
    <x v="0"/>
  </r>
  <r>
    <x v="198"/>
    <s v="C438"/>
    <x v="195"/>
    <s v="Roadster Everyone Bad"/>
    <x v="3"/>
    <x v="1"/>
    <n v="4621"/>
    <n v="35"/>
    <n v="3004"/>
    <n v="3"/>
    <s v="XXL"/>
    <s v="White"/>
    <n v="5"/>
    <n v="39"/>
    <d v="2025-06-13T00:00:00"/>
    <s v="CANCELLED"/>
    <x v="1"/>
    <x v="7"/>
    <s v="Telangana"/>
    <m/>
    <n v="13863"/>
    <n v="9012"/>
    <n v="4851"/>
    <x v="2"/>
  </r>
  <r>
    <x v="199"/>
    <s v="C674"/>
    <x v="196"/>
    <s v="Roadster Common Practice"/>
    <x v="1"/>
    <x v="1"/>
    <n v="1679"/>
    <n v="25"/>
    <n v="1260"/>
    <n v="3"/>
    <s v="XL"/>
    <s v="Navy"/>
    <n v="3.5"/>
    <n v="157"/>
    <d v="2025-04-23T00:00:00"/>
    <s v="RETURNED"/>
    <x v="0"/>
    <x v="9"/>
    <s v="Tamil Nadu"/>
    <s v="Late Delivery"/>
    <n v="5037"/>
    <n v="3780"/>
    <n v="1257"/>
    <x v="1"/>
  </r>
  <r>
    <x v="200"/>
    <s v="C446"/>
    <x v="197"/>
    <s v="DressBerry All I"/>
    <x v="0"/>
    <x v="0"/>
    <n v="4049"/>
    <n v="20"/>
    <n v="3240"/>
    <n v="3"/>
    <n v="42"/>
    <s v="Blue"/>
    <n v="4.5999999999999996"/>
    <n v="176"/>
    <d v="2025-05-02T00:00:00"/>
    <s v="RETURNED"/>
    <x v="2"/>
    <x v="2"/>
    <s v="Maharashtra"/>
    <m/>
    <n v="12147"/>
    <n v="9720"/>
    <n v="2427"/>
    <x v="1"/>
  </r>
  <r>
    <x v="201"/>
    <s v="C514"/>
    <x v="198"/>
    <s v="Roadster Since Major"/>
    <x v="3"/>
    <x v="1"/>
    <n v="2981"/>
    <n v="40"/>
    <n v="1789"/>
    <n v="3"/>
    <n v="40"/>
    <s v="Blue"/>
    <n v="3.9"/>
    <n v="218"/>
    <d v="2025-07-17T00:00:00"/>
    <s v="RETURNED"/>
    <x v="2"/>
    <x v="8"/>
    <s v="Gujarat"/>
    <s v="Size Issue"/>
    <n v="8943"/>
    <n v="5367"/>
    <n v="3576"/>
    <x v="1"/>
  </r>
  <r>
    <x v="202"/>
    <s v="C594"/>
    <x v="199"/>
    <s v="HRX System Break"/>
    <x v="4"/>
    <x v="2"/>
    <n v="4544"/>
    <n v="35"/>
    <n v="2954"/>
    <n v="3"/>
    <s v="M"/>
    <s v="Green"/>
    <n v="4.3"/>
    <n v="178"/>
    <d v="2025-06-24T00:00:00"/>
    <s v="CANCELLED"/>
    <x v="2"/>
    <x v="4"/>
    <s v="Delhi"/>
    <m/>
    <n v="13632"/>
    <n v="8862"/>
    <n v="4770"/>
    <x v="2"/>
  </r>
  <r>
    <x v="203"/>
    <s v="C409"/>
    <x v="200"/>
    <s v="Anouk Movie See"/>
    <x v="7"/>
    <x v="4"/>
    <n v="2781"/>
    <n v="15"/>
    <n v="2364"/>
    <n v="2"/>
    <s v="L"/>
    <s v="White"/>
    <n v="4.4000000000000004"/>
    <n v="177"/>
    <d v="2025-06-12T00:00:00"/>
    <s v="RETURNED"/>
    <x v="2"/>
    <x v="4"/>
    <s v="Delhi"/>
    <s v="Color Mismatch"/>
    <n v="5562"/>
    <n v="4728"/>
    <n v="834"/>
    <x v="1"/>
  </r>
  <r>
    <x v="204"/>
    <s v="C331"/>
    <x v="201"/>
    <s v="DressBerry Then Customer"/>
    <x v="0"/>
    <x v="0"/>
    <n v="2959"/>
    <n v="25"/>
    <n v="2220"/>
    <n v="1"/>
    <s v="M"/>
    <s v="Red"/>
    <n v="4.3"/>
    <n v="35"/>
    <d v="2025-05-23T00:00:00"/>
    <s v="DELIVERED"/>
    <x v="2"/>
    <x v="9"/>
    <s v="Tamil Nadu"/>
    <m/>
    <n v="2959"/>
    <n v="2220"/>
    <n v="739"/>
    <x v="0"/>
  </r>
  <r>
    <x v="205"/>
    <s v="C645"/>
    <x v="202"/>
    <s v="DressBerry Property Clear"/>
    <x v="2"/>
    <x v="0"/>
    <n v="4709"/>
    <n v="20"/>
    <n v="3768"/>
    <n v="3"/>
    <n v="42"/>
    <s v="White"/>
    <n v="4.0999999999999996"/>
    <n v="216"/>
    <d v="2025-05-02T00:00:00"/>
    <s v="DELIVERED"/>
    <x v="2"/>
    <x v="8"/>
    <s v="Gujarat"/>
    <m/>
    <n v="14127"/>
    <n v="11304"/>
    <n v="2823"/>
    <x v="0"/>
  </r>
  <r>
    <x v="206"/>
    <s v="C244"/>
    <x v="203"/>
    <s v="HRX Travel Himself"/>
    <x v="8"/>
    <x v="2"/>
    <n v="3163"/>
    <n v="40"/>
    <n v="1898"/>
    <n v="3"/>
    <n v="42"/>
    <s v="Grey"/>
    <n v="4.8"/>
    <n v="156"/>
    <d v="2025-06-21T00:00:00"/>
    <s v="RETURNED"/>
    <x v="0"/>
    <x v="6"/>
    <s v="West Bengal"/>
    <s v="Defective Item"/>
    <n v="9489"/>
    <n v="5694"/>
    <n v="3795"/>
    <x v="1"/>
  </r>
  <r>
    <x v="207"/>
    <s v="C400"/>
    <x v="204"/>
    <s v="DressBerry Billion Wonder"/>
    <x v="0"/>
    <x v="0"/>
    <n v="628"/>
    <n v="15"/>
    <n v="534"/>
    <n v="3"/>
    <s v="L"/>
    <s v="Yellow"/>
    <n v="3.6"/>
    <n v="28"/>
    <d v="2025-05-30T00:00:00"/>
    <s v="RETURNED"/>
    <x v="2"/>
    <x v="4"/>
    <s v="Delhi"/>
    <s v="Defective Item"/>
    <n v="1884"/>
    <n v="1602"/>
    <n v="282"/>
    <x v="1"/>
  </r>
  <r>
    <x v="208"/>
    <s v="C379"/>
    <x v="205"/>
    <s v="Anouk Enjoy Throw"/>
    <x v="7"/>
    <x v="4"/>
    <n v="2221"/>
    <n v="20"/>
    <n v="1777"/>
    <n v="1"/>
    <s v="-"/>
    <s v="Pink"/>
    <n v="4.4000000000000004"/>
    <n v="47"/>
    <d v="2025-05-03T00:00:00"/>
    <s v="DELIVERED"/>
    <x v="2"/>
    <x v="0"/>
    <s v="Madhya Pradesh"/>
    <m/>
    <n v="2221"/>
    <n v="1777"/>
    <n v="444"/>
    <x v="0"/>
  </r>
  <r>
    <x v="209"/>
    <s v="C263"/>
    <x v="206"/>
    <s v="HRX Own Four"/>
    <x v="4"/>
    <x v="2"/>
    <n v="4389"/>
    <n v="25"/>
    <n v="3292"/>
    <n v="1"/>
    <n v="44"/>
    <s v="White"/>
    <n v="3.8"/>
    <n v="135"/>
    <d v="2025-05-04T00:00:00"/>
    <s v="DELIVERED"/>
    <x v="1"/>
    <x v="8"/>
    <s v="Gujarat"/>
    <m/>
    <n v="4389"/>
    <n v="3292"/>
    <n v="1097"/>
    <x v="0"/>
  </r>
  <r>
    <x v="210"/>
    <s v="C648"/>
    <x v="145"/>
    <s v="Roadster Scene Ready"/>
    <x v="1"/>
    <x v="1"/>
    <n v="4136"/>
    <n v="30"/>
    <n v="2896"/>
    <n v="3"/>
    <s v="S"/>
    <s v="Pink"/>
    <n v="4.2"/>
    <n v="166"/>
    <d v="2025-04-30T00:00:00"/>
    <s v="RETURNED"/>
    <x v="2"/>
    <x v="7"/>
    <s v="Telangana"/>
    <s v="Color Mismatch"/>
    <n v="12408"/>
    <n v="8688"/>
    <n v="3720"/>
    <x v="1"/>
  </r>
  <r>
    <x v="211"/>
    <s v="C378"/>
    <x v="207"/>
    <s v="Roadster Former Say"/>
    <x v="6"/>
    <x v="1"/>
    <n v="3640"/>
    <n v="35"/>
    <n v="2366"/>
    <n v="2"/>
    <n v="42"/>
    <s v="Green"/>
    <n v="4.7"/>
    <n v="182"/>
    <d v="2025-05-11T00:00:00"/>
    <s v="CANCELLED"/>
    <x v="1"/>
    <x v="2"/>
    <s v="Maharashtra"/>
    <m/>
    <n v="7280"/>
    <n v="4732"/>
    <n v="2548"/>
    <x v="2"/>
  </r>
  <r>
    <x v="212"/>
    <s v="C662"/>
    <x v="208"/>
    <s v="Roadster Just Evening"/>
    <x v="3"/>
    <x v="1"/>
    <n v="2811"/>
    <n v="30"/>
    <n v="1968"/>
    <n v="2"/>
    <s v="S"/>
    <s v="White"/>
    <n v="4.4000000000000004"/>
    <n v="179"/>
    <d v="2025-05-05T00:00:00"/>
    <s v="DELIVERED"/>
    <x v="0"/>
    <x v="6"/>
    <s v="West Bengal"/>
    <m/>
    <n v="5622"/>
    <n v="3936"/>
    <n v="1686"/>
    <x v="0"/>
  </r>
  <r>
    <x v="213"/>
    <s v="C503"/>
    <x v="209"/>
    <s v="HRX Direction Determine"/>
    <x v="4"/>
    <x v="2"/>
    <n v="4508"/>
    <n v="20"/>
    <n v="3607"/>
    <n v="1"/>
    <n v="44"/>
    <s v="White"/>
    <n v="3.9"/>
    <n v="98"/>
    <d v="2025-05-01T00:00:00"/>
    <s v="RETURNED"/>
    <x v="0"/>
    <x v="7"/>
    <s v="Telangana"/>
    <m/>
    <n v="4508"/>
    <n v="3607"/>
    <n v="901"/>
    <x v="1"/>
  </r>
  <r>
    <x v="214"/>
    <s v="C285"/>
    <x v="210"/>
    <s v="Roadster Campaign I"/>
    <x v="1"/>
    <x v="1"/>
    <n v="4881"/>
    <n v="40"/>
    <n v="2929"/>
    <n v="3"/>
    <s v="L"/>
    <s v="Navy"/>
    <n v="4.4000000000000004"/>
    <n v="218"/>
    <d v="2025-06-23T00:00:00"/>
    <s v="RETURNED"/>
    <x v="0"/>
    <x v="1"/>
    <s v="Karnataka"/>
    <s v="Late Delivery"/>
    <n v="14643"/>
    <n v="8787"/>
    <n v="5856"/>
    <x v="1"/>
  </r>
  <r>
    <x v="215"/>
    <s v="C520"/>
    <x v="211"/>
    <s v="Anouk Able How"/>
    <x v="7"/>
    <x v="4"/>
    <n v="4173"/>
    <n v="25"/>
    <n v="3130"/>
    <n v="3"/>
    <s v="Free Size"/>
    <s v="Yellow"/>
    <n v="3.9"/>
    <n v="218"/>
    <d v="2025-05-06T00:00:00"/>
    <s v="DELIVERED"/>
    <x v="1"/>
    <x v="8"/>
    <s v="Gujarat"/>
    <m/>
    <n v="12519"/>
    <n v="9390"/>
    <n v="3129"/>
    <x v="0"/>
  </r>
  <r>
    <x v="216"/>
    <s v="C339"/>
    <x v="212"/>
    <s v="Anouk Together Kind"/>
    <x v="7"/>
    <x v="4"/>
    <n v="3866"/>
    <n v="35"/>
    <n v="2513"/>
    <n v="1"/>
    <n v="44"/>
    <s v="Red"/>
    <n v="4.2"/>
    <n v="299"/>
    <d v="2025-06-04T00:00:00"/>
    <s v="DELIVERED"/>
    <x v="1"/>
    <x v="0"/>
    <s v="Madhya Pradesh"/>
    <m/>
    <n v="3866"/>
    <n v="2513"/>
    <n v="1353"/>
    <x v="0"/>
  </r>
  <r>
    <x v="217"/>
    <s v="C231"/>
    <x v="213"/>
    <s v="DressBerry Thank Manager"/>
    <x v="2"/>
    <x v="0"/>
    <n v="4488"/>
    <n v="35"/>
    <n v="2918"/>
    <n v="3"/>
    <s v="L"/>
    <s v="Brown"/>
    <n v="3.8"/>
    <n v="187"/>
    <d v="2025-06-23T00:00:00"/>
    <s v="CANCELLED"/>
    <x v="2"/>
    <x v="2"/>
    <s v="Maharashtra"/>
    <m/>
    <n v="13464"/>
    <n v="8754"/>
    <n v="4710"/>
    <x v="2"/>
  </r>
  <r>
    <x v="218"/>
    <s v="C623"/>
    <x v="214"/>
    <s v="HRX Particularly Effort"/>
    <x v="8"/>
    <x v="2"/>
    <n v="2634"/>
    <n v="20"/>
    <n v="2108"/>
    <n v="1"/>
    <s v="S"/>
    <s v="Pink"/>
    <n v="4.4000000000000004"/>
    <n v="221"/>
    <d v="2025-05-05T00:00:00"/>
    <s v="RETURNED"/>
    <x v="0"/>
    <x v="4"/>
    <s v="Delhi"/>
    <m/>
    <n v="2634"/>
    <n v="2108"/>
    <n v="526"/>
    <x v="1"/>
  </r>
  <r>
    <x v="219"/>
    <s v="C655"/>
    <x v="215"/>
    <s v="Roadster Another Record"/>
    <x v="1"/>
    <x v="1"/>
    <n v="2915"/>
    <n v="30"/>
    <n v="2041"/>
    <n v="2"/>
    <s v="-"/>
    <s v="White"/>
    <n v="3.8"/>
    <n v="12"/>
    <d v="2025-04-28T00:00:00"/>
    <s v="DELIVERED"/>
    <x v="1"/>
    <x v="7"/>
    <s v="Telangana"/>
    <m/>
    <n v="5830"/>
    <n v="4082"/>
    <n v="1748"/>
    <x v="0"/>
  </r>
  <r>
    <x v="220"/>
    <s v="C291"/>
    <x v="216"/>
    <s v="Anouk Rich Speech"/>
    <x v="7"/>
    <x v="4"/>
    <n v="4189"/>
    <n v="15"/>
    <n v="3561"/>
    <n v="2"/>
    <s v="-"/>
    <s v="Grey"/>
    <n v="3.7"/>
    <n v="129"/>
    <d v="2025-05-10T00:00:00"/>
    <s v="DELIVERED"/>
    <x v="2"/>
    <x v="2"/>
    <s v="Maharashtra"/>
    <m/>
    <n v="8378"/>
    <n v="7122"/>
    <n v="1256"/>
    <x v="0"/>
  </r>
  <r>
    <x v="221"/>
    <s v="C438"/>
    <x v="217"/>
    <s v="HRX Service Instead"/>
    <x v="8"/>
    <x v="2"/>
    <n v="4577"/>
    <n v="10"/>
    <n v="4120"/>
    <n v="2"/>
    <s v="Free Size"/>
    <s v="Navy"/>
    <n v="4.4000000000000004"/>
    <n v="55"/>
    <d v="2025-06-27T00:00:00"/>
    <s v="DELIVERED"/>
    <x v="2"/>
    <x v="6"/>
    <s v="West Bengal"/>
    <m/>
    <n v="9154"/>
    <n v="8240"/>
    <n v="914"/>
    <x v="0"/>
  </r>
  <r>
    <x v="222"/>
    <s v="C494"/>
    <x v="218"/>
    <s v="Roadster By One"/>
    <x v="6"/>
    <x v="1"/>
    <n v="2042"/>
    <n v="20"/>
    <n v="1634"/>
    <n v="1"/>
    <n v="44"/>
    <s v="Black"/>
    <n v="3.8"/>
    <n v="102"/>
    <d v="2025-05-26T00:00:00"/>
    <s v="RETURNED"/>
    <x v="1"/>
    <x v="3"/>
    <s v="Rajasthan"/>
    <m/>
    <n v="2042"/>
    <n v="1634"/>
    <n v="408"/>
    <x v="1"/>
  </r>
  <r>
    <x v="223"/>
    <s v="C404"/>
    <x v="219"/>
    <s v="Roadster Put Why"/>
    <x v="3"/>
    <x v="1"/>
    <n v="3199"/>
    <n v="20"/>
    <n v="2560"/>
    <n v="1"/>
    <n v="44"/>
    <s v="Green"/>
    <n v="4.7"/>
    <n v="38"/>
    <d v="2025-04-28T00:00:00"/>
    <s v="DELIVERED"/>
    <x v="2"/>
    <x v="9"/>
    <s v="Tamil Nadu"/>
    <m/>
    <n v="3199"/>
    <n v="2560"/>
    <n v="639"/>
    <x v="0"/>
  </r>
  <r>
    <x v="224"/>
    <s v="C545"/>
    <x v="220"/>
    <s v="Roadster Past War"/>
    <x v="1"/>
    <x v="1"/>
    <n v="771"/>
    <n v="40"/>
    <n v="463"/>
    <n v="2"/>
    <n v="40"/>
    <s v="Blue"/>
    <n v="5"/>
    <n v="285"/>
    <d v="2025-05-04T00:00:00"/>
    <s v="CANCELLED"/>
    <x v="0"/>
    <x v="4"/>
    <s v="Delhi"/>
    <m/>
    <n v="1542"/>
    <n v="926"/>
    <n v="616"/>
    <x v="2"/>
  </r>
  <r>
    <x v="225"/>
    <s v="C534"/>
    <x v="221"/>
    <s v="Anouk One Team"/>
    <x v="7"/>
    <x v="4"/>
    <n v="2931"/>
    <n v="30"/>
    <n v="2052"/>
    <n v="2"/>
    <s v="Free Size"/>
    <s v="Black"/>
    <n v="3.9"/>
    <n v="123"/>
    <d v="2025-07-02T00:00:00"/>
    <s v="RETURNED"/>
    <x v="0"/>
    <x v="7"/>
    <s v="Telangana"/>
    <s v="Size Issue"/>
    <n v="5862"/>
    <n v="4104"/>
    <n v="1758"/>
    <x v="1"/>
  </r>
  <r>
    <x v="226"/>
    <s v="C490"/>
    <x v="222"/>
    <s v="Roadster Over Source"/>
    <x v="6"/>
    <x v="1"/>
    <n v="1509"/>
    <n v="40"/>
    <n v="906"/>
    <n v="1"/>
    <n v="42"/>
    <s v="Red"/>
    <n v="4.3"/>
    <n v="76"/>
    <d v="2025-05-25T00:00:00"/>
    <s v="RETURNED"/>
    <x v="2"/>
    <x v="6"/>
    <s v="West Bengal"/>
    <s v="Defective Item"/>
    <n v="1509"/>
    <n v="906"/>
    <n v="603"/>
    <x v="1"/>
  </r>
  <r>
    <x v="227"/>
    <s v="C395"/>
    <x v="223"/>
    <s v="HRX Before Hand"/>
    <x v="8"/>
    <x v="2"/>
    <n v="1797"/>
    <n v="40"/>
    <n v="1079"/>
    <n v="1"/>
    <s v="XL"/>
    <s v="White"/>
    <n v="4"/>
    <n v="37"/>
    <d v="2025-06-28T00:00:00"/>
    <s v="DELIVERED"/>
    <x v="2"/>
    <x v="7"/>
    <s v="Telangana"/>
    <m/>
    <n v="1797"/>
    <n v="1079"/>
    <n v="718"/>
    <x v="0"/>
  </r>
  <r>
    <x v="228"/>
    <s v="C579"/>
    <x v="224"/>
    <s v="HRX Leave Step"/>
    <x v="8"/>
    <x v="2"/>
    <n v="1915"/>
    <n v="15"/>
    <n v="1628"/>
    <n v="3"/>
    <n v="44"/>
    <s v="Pink"/>
    <n v="4.9000000000000004"/>
    <n v="35"/>
    <d v="2025-05-21T00:00:00"/>
    <s v="DELIVERED"/>
    <x v="0"/>
    <x v="8"/>
    <s v="Gujarat"/>
    <m/>
    <n v="5745"/>
    <n v="4884"/>
    <n v="861"/>
    <x v="0"/>
  </r>
  <r>
    <x v="229"/>
    <s v="C523"/>
    <x v="225"/>
    <s v="HRX Number Avoid"/>
    <x v="8"/>
    <x v="2"/>
    <n v="4210"/>
    <n v="15"/>
    <n v="3579"/>
    <n v="2"/>
    <n v="44"/>
    <s v="Blue"/>
    <n v="4.0999999999999996"/>
    <n v="112"/>
    <d v="2025-06-14T00:00:00"/>
    <s v="DELIVERED"/>
    <x v="1"/>
    <x v="7"/>
    <s v="Telangana"/>
    <m/>
    <n v="8420"/>
    <n v="7158"/>
    <n v="1262"/>
    <x v="0"/>
  </r>
  <r>
    <x v="230"/>
    <s v="C658"/>
    <x v="226"/>
    <s v="Mast &amp; Harbour Fall Third"/>
    <x v="9"/>
    <x v="5"/>
    <n v="4943"/>
    <n v="30"/>
    <n v="3461"/>
    <n v="2"/>
    <s v="XL"/>
    <s v="Navy"/>
    <n v="4.5999999999999996"/>
    <n v="145"/>
    <d v="2025-06-03T00:00:00"/>
    <s v="CANCELLED"/>
    <x v="1"/>
    <x v="7"/>
    <s v="Telangana"/>
    <m/>
    <n v="9886"/>
    <n v="6922"/>
    <n v="2964"/>
    <x v="2"/>
  </r>
  <r>
    <x v="231"/>
    <s v="C681"/>
    <x v="227"/>
    <s v="Roadster Region Such"/>
    <x v="1"/>
    <x v="1"/>
    <n v="4182"/>
    <n v="40"/>
    <n v="2510"/>
    <n v="1"/>
    <s v="M"/>
    <s v="White"/>
    <n v="4.9000000000000004"/>
    <n v="294"/>
    <d v="2025-05-22T00:00:00"/>
    <s v="RETURNED"/>
    <x v="1"/>
    <x v="4"/>
    <s v="Delhi"/>
    <s v="Late Delivery"/>
    <n v="4182"/>
    <n v="2510"/>
    <n v="1672"/>
    <x v="1"/>
  </r>
  <r>
    <x v="232"/>
    <s v="C219"/>
    <x v="228"/>
    <s v="Mast &amp; Harbour Forget Top"/>
    <x v="9"/>
    <x v="5"/>
    <n v="4451"/>
    <n v="20"/>
    <n v="3561"/>
    <n v="2"/>
    <s v="Free Size"/>
    <s v="Green"/>
    <n v="4.0999999999999996"/>
    <n v="18"/>
    <d v="2025-06-16T00:00:00"/>
    <s v="CANCELLED"/>
    <x v="0"/>
    <x v="1"/>
    <s v="Karnataka"/>
    <m/>
    <n v="8902"/>
    <n v="7122"/>
    <n v="1780"/>
    <x v="2"/>
  </r>
  <r>
    <x v="233"/>
    <s v="C373"/>
    <x v="229"/>
    <s v="HRX Man Personal"/>
    <x v="4"/>
    <x v="2"/>
    <n v="4512"/>
    <n v="10"/>
    <n v="4061"/>
    <n v="1"/>
    <s v="-"/>
    <s v="Navy"/>
    <n v="4.8"/>
    <n v="32"/>
    <d v="2025-06-10T00:00:00"/>
    <s v="CANCELLED"/>
    <x v="2"/>
    <x v="9"/>
    <s v="Tamil Nadu"/>
    <m/>
    <n v="4512"/>
    <n v="4061"/>
    <n v="451"/>
    <x v="2"/>
  </r>
  <r>
    <x v="234"/>
    <s v="C211"/>
    <x v="230"/>
    <s v="Anouk Near Stay"/>
    <x v="7"/>
    <x v="4"/>
    <n v="1231"/>
    <n v="25"/>
    <n v="924"/>
    <n v="2"/>
    <s v="M"/>
    <s v="Navy"/>
    <n v="4.8"/>
    <n v="97"/>
    <d v="2025-05-19T00:00:00"/>
    <s v="RETURNED"/>
    <x v="2"/>
    <x v="7"/>
    <s v="Telangana"/>
    <s v="Defective Item"/>
    <n v="2462"/>
    <n v="1848"/>
    <n v="614"/>
    <x v="1"/>
  </r>
  <r>
    <x v="235"/>
    <s v="C282"/>
    <x v="231"/>
    <s v="DressBerry Past Spend"/>
    <x v="0"/>
    <x v="0"/>
    <n v="3492"/>
    <n v="35"/>
    <n v="2270"/>
    <n v="2"/>
    <s v="M"/>
    <s v="Brown"/>
    <n v="3.6"/>
    <n v="59"/>
    <d v="2025-06-21T00:00:00"/>
    <s v="CANCELLED"/>
    <x v="1"/>
    <x v="0"/>
    <s v="Madhya Pradesh"/>
    <m/>
    <n v="6984"/>
    <n v="4540"/>
    <n v="2444"/>
    <x v="2"/>
  </r>
  <r>
    <x v="236"/>
    <s v="C309"/>
    <x v="232"/>
    <s v="HRX These Consumer"/>
    <x v="8"/>
    <x v="2"/>
    <n v="1567"/>
    <n v="15"/>
    <n v="1332"/>
    <n v="2"/>
    <n v="40"/>
    <s v="Black"/>
    <n v="4.7"/>
    <n v="14"/>
    <d v="2025-07-13T00:00:00"/>
    <s v="DELIVERED"/>
    <x v="0"/>
    <x v="8"/>
    <s v="Gujarat"/>
    <m/>
    <n v="3134"/>
    <n v="2664"/>
    <n v="470"/>
    <x v="0"/>
  </r>
  <r>
    <x v="237"/>
    <s v="C482"/>
    <x v="233"/>
    <s v="Roadster President Turn"/>
    <x v="6"/>
    <x v="1"/>
    <n v="3234"/>
    <n v="35"/>
    <n v="2103"/>
    <n v="2"/>
    <n v="42"/>
    <s v="Green"/>
    <n v="4.5"/>
    <n v="135"/>
    <d v="2025-05-03T00:00:00"/>
    <s v="CANCELLED"/>
    <x v="1"/>
    <x v="9"/>
    <s v="Tamil Nadu"/>
    <m/>
    <n v="6468"/>
    <n v="4206"/>
    <n v="2262"/>
    <x v="2"/>
  </r>
  <r>
    <x v="238"/>
    <s v="C422"/>
    <x v="234"/>
    <s v="Roadster Small Audience"/>
    <x v="3"/>
    <x v="1"/>
    <n v="4636"/>
    <n v="35"/>
    <n v="3014"/>
    <n v="2"/>
    <s v="S"/>
    <s v="Blue"/>
    <n v="4.7"/>
    <n v="277"/>
    <d v="2025-07-15T00:00:00"/>
    <s v="CANCELLED"/>
    <x v="1"/>
    <x v="8"/>
    <s v="Gujarat"/>
    <m/>
    <n v="9272"/>
    <n v="6028"/>
    <n v="3244"/>
    <x v="2"/>
  </r>
  <r>
    <x v="239"/>
    <s v="C681"/>
    <x v="235"/>
    <s v="Mast &amp; Harbour Ready Discussion"/>
    <x v="9"/>
    <x v="5"/>
    <n v="3457"/>
    <n v="25"/>
    <n v="2593"/>
    <n v="1"/>
    <s v="-"/>
    <s v="Brown"/>
    <n v="4"/>
    <n v="290"/>
    <d v="2025-07-01T00:00:00"/>
    <s v="RETURNED"/>
    <x v="0"/>
    <x v="0"/>
    <s v="Madhya Pradesh"/>
    <s v="Defective Item"/>
    <n v="3457"/>
    <n v="2593"/>
    <n v="864"/>
    <x v="1"/>
  </r>
  <r>
    <x v="240"/>
    <s v="C343"/>
    <x v="236"/>
    <s v="Roadster Author Someone"/>
    <x v="3"/>
    <x v="1"/>
    <n v="3661"/>
    <n v="25"/>
    <n v="2746"/>
    <n v="1"/>
    <n v="44"/>
    <s v="White"/>
    <n v="4.5"/>
    <n v="237"/>
    <d v="2025-06-19T00:00:00"/>
    <s v="CANCELLED"/>
    <x v="0"/>
    <x v="6"/>
    <s v="West Bengal"/>
    <m/>
    <n v="3661"/>
    <n v="2746"/>
    <n v="915"/>
    <x v="2"/>
  </r>
  <r>
    <x v="241"/>
    <s v="C244"/>
    <x v="237"/>
    <s v="Roadster Society While"/>
    <x v="6"/>
    <x v="1"/>
    <n v="2136"/>
    <n v="35"/>
    <n v="1389"/>
    <n v="3"/>
    <s v="L"/>
    <s v="Green"/>
    <n v="4"/>
    <n v="21"/>
    <d v="2025-06-22T00:00:00"/>
    <s v="DELIVERED"/>
    <x v="1"/>
    <x v="4"/>
    <s v="Delhi"/>
    <m/>
    <n v="6408"/>
    <n v="4167"/>
    <n v="2241"/>
    <x v="0"/>
  </r>
  <r>
    <x v="242"/>
    <s v="C584"/>
    <x v="238"/>
    <s v="DressBerry Into Should"/>
    <x v="0"/>
    <x v="0"/>
    <n v="3396"/>
    <n v="25"/>
    <n v="2547"/>
    <n v="2"/>
    <n v="42"/>
    <s v="Green"/>
    <n v="4.3"/>
    <n v="230"/>
    <d v="2025-06-10T00:00:00"/>
    <s v="DELIVERED"/>
    <x v="0"/>
    <x v="1"/>
    <s v="Karnataka"/>
    <m/>
    <n v="6792"/>
    <n v="5094"/>
    <n v="1698"/>
    <x v="0"/>
  </r>
  <r>
    <x v="243"/>
    <s v="C310"/>
    <x v="239"/>
    <s v="DressBerry Event Toward"/>
    <x v="2"/>
    <x v="0"/>
    <n v="3268"/>
    <n v="20"/>
    <n v="2615"/>
    <n v="2"/>
    <s v="L"/>
    <s v="Red"/>
    <n v="4.9000000000000004"/>
    <n v="266"/>
    <d v="2025-06-09T00:00:00"/>
    <s v="CANCELLED"/>
    <x v="1"/>
    <x v="0"/>
    <s v="Madhya Pradesh"/>
    <m/>
    <n v="6536"/>
    <n v="5230"/>
    <n v="1306"/>
    <x v="2"/>
  </r>
  <r>
    <x v="244"/>
    <s v="C384"/>
    <x v="240"/>
    <s v="Roadster Certainly Mind"/>
    <x v="3"/>
    <x v="1"/>
    <n v="3463"/>
    <n v="25"/>
    <n v="2598"/>
    <n v="2"/>
    <s v="M"/>
    <s v="Navy"/>
    <n v="4.9000000000000004"/>
    <n v="204"/>
    <d v="2025-05-26T00:00:00"/>
    <s v="CANCELLED"/>
    <x v="1"/>
    <x v="9"/>
    <s v="Tamil Nadu"/>
    <m/>
    <n v="6926"/>
    <n v="5196"/>
    <n v="1730"/>
    <x v="2"/>
  </r>
  <r>
    <x v="245"/>
    <s v="C306"/>
    <x v="241"/>
    <s v="Roadster Food Life"/>
    <x v="6"/>
    <x v="1"/>
    <n v="2366"/>
    <n v="15"/>
    <n v="2012"/>
    <n v="1"/>
    <n v="42"/>
    <s v="White"/>
    <n v="3.7"/>
    <n v="233"/>
    <d v="2025-06-01T00:00:00"/>
    <s v="CANCELLED"/>
    <x v="0"/>
    <x v="6"/>
    <s v="West Bengal"/>
    <m/>
    <n v="2366"/>
    <n v="2012"/>
    <n v="354"/>
    <x v="2"/>
  </r>
  <r>
    <x v="246"/>
    <s v="C459"/>
    <x v="242"/>
    <s v="Mast &amp; Harbour Suddenly Mind"/>
    <x v="9"/>
    <x v="5"/>
    <n v="1207"/>
    <n v="25"/>
    <n v="906"/>
    <n v="2"/>
    <n v="44"/>
    <s v="Black"/>
    <n v="4.2"/>
    <n v="284"/>
    <d v="2025-07-18T00:00:00"/>
    <s v="CANCELLED"/>
    <x v="0"/>
    <x v="1"/>
    <s v="Karnataka"/>
    <m/>
    <n v="2414"/>
    <n v="1812"/>
    <n v="602"/>
    <x v="2"/>
  </r>
  <r>
    <x v="247"/>
    <s v="C349"/>
    <x v="243"/>
    <s v="Roadster Wide Those"/>
    <x v="6"/>
    <x v="1"/>
    <n v="4662"/>
    <n v="15"/>
    <n v="3963"/>
    <n v="2"/>
    <s v="S"/>
    <s v="Pink"/>
    <n v="4.2"/>
    <n v="137"/>
    <d v="2025-05-05T00:00:00"/>
    <s v="RETURNED"/>
    <x v="0"/>
    <x v="5"/>
    <s v="Uttar Pradesh"/>
    <m/>
    <n v="9324"/>
    <n v="7926"/>
    <n v="1398"/>
    <x v="1"/>
  </r>
  <r>
    <x v="248"/>
    <s v="C218"/>
    <x v="244"/>
    <s v="DressBerry Despite System"/>
    <x v="0"/>
    <x v="0"/>
    <n v="4035"/>
    <n v="15"/>
    <n v="3430"/>
    <n v="1"/>
    <s v="M"/>
    <s v="Grey"/>
    <n v="4"/>
    <n v="56"/>
    <d v="2025-04-25T00:00:00"/>
    <s v="DELIVERED"/>
    <x v="0"/>
    <x v="6"/>
    <s v="West Bengal"/>
    <m/>
    <n v="4035"/>
    <n v="3430"/>
    <n v="605"/>
    <x v="0"/>
  </r>
  <r>
    <x v="249"/>
    <s v="C558"/>
    <x v="245"/>
    <s v="DressBerry Child Key"/>
    <x v="2"/>
    <x v="0"/>
    <n v="2661"/>
    <n v="40"/>
    <n v="1597"/>
    <n v="1"/>
    <s v="S"/>
    <s v="Green"/>
    <n v="4.9000000000000004"/>
    <n v="36"/>
    <d v="2025-06-01T00:00:00"/>
    <s v="DELIVERED"/>
    <x v="0"/>
    <x v="6"/>
    <s v="West Bengal"/>
    <m/>
    <n v="2661"/>
    <n v="1597"/>
    <n v="1064"/>
    <x v="0"/>
  </r>
  <r>
    <x v="250"/>
    <s v="C570"/>
    <x v="246"/>
    <s v="HRX Sort Alone"/>
    <x v="8"/>
    <x v="2"/>
    <n v="1342"/>
    <n v="30"/>
    <n v="940"/>
    <n v="1"/>
    <n v="40"/>
    <s v="Grey"/>
    <n v="4.2"/>
    <n v="184"/>
    <d v="2025-06-19T00:00:00"/>
    <s v="DELIVERED"/>
    <x v="2"/>
    <x v="9"/>
    <s v="Tamil Nadu"/>
    <m/>
    <n v="1342"/>
    <n v="940"/>
    <n v="402"/>
    <x v="0"/>
  </r>
  <r>
    <x v="251"/>
    <s v="C230"/>
    <x v="247"/>
    <s v="HRX Group Mind"/>
    <x v="4"/>
    <x v="2"/>
    <n v="1841"/>
    <n v="35"/>
    <n v="1197"/>
    <n v="2"/>
    <n v="42"/>
    <s v="Brown"/>
    <n v="3.9"/>
    <n v="102"/>
    <d v="2025-05-30T00:00:00"/>
    <s v="RETURNED"/>
    <x v="2"/>
    <x v="8"/>
    <s v="Gujarat"/>
    <s v="Size Issue"/>
    <n v="3682"/>
    <n v="2394"/>
    <n v="1288"/>
    <x v="1"/>
  </r>
  <r>
    <x v="252"/>
    <s v="C507"/>
    <x v="248"/>
    <s v="WROGN Hope Suffer"/>
    <x v="5"/>
    <x v="3"/>
    <n v="3866"/>
    <n v="15"/>
    <n v="3287"/>
    <n v="3"/>
    <s v="XL"/>
    <s v="White"/>
    <n v="3.8"/>
    <n v="291"/>
    <d v="2025-06-18T00:00:00"/>
    <s v="DELIVERED"/>
    <x v="1"/>
    <x v="7"/>
    <s v="Telangana"/>
    <m/>
    <n v="11598"/>
    <n v="9861"/>
    <n v="1737"/>
    <x v="0"/>
  </r>
  <r>
    <x v="253"/>
    <s v="C698"/>
    <x v="249"/>
    <s v="Roadster Coach Join"/>
    <x v="1"/>
    <x v="1"/>
    <n v="2558"/>
    <n v="15"/>
    <n v="2175"/>
    <n v="3"/>
    <n v="42"/>
    <s v="Red"/>
    <n v="4.8"/>
    <n v="124"/>
    <d v="2025-06-20T00:00:00"/>
    <s v="RETURNED"/>
    <x v="2"/>
    <x v="2"/>
    <s v="Maharashtra"/>
    <s v="Late Delivery"/>
    <n v="7674"/>
    <n v="6525"/>
    <n v="1149"/>
    <x v="1"/>
  </r>
  <r>
    <x v="254"/>
    <s v="C673"/>
    <x v="250"/>
    <s v="HRX Picture Charge"/>
    <x v="8"/>
    <x v="2"/>
    <n v="3187"/>
    <n v="30"/>
    <n v="2231"/>
    <n v="1"/>
    <n v="42"/>
    <s v="Brown"/>
    <n v="4.5"/>
    <n v="53"/>
    <d v="2025-05-06T00:00:00"/>
    <s v="RETURNED"/>
    <x v="2"/>
    <x v="6"/>
    <s v="West Bengal"/>
    <s v="Color Mismatch"/>
    <n v="3187"/>
    <n v="2231"/>
    <n v="956"/>
    <x v="1"/>
  </r>
  <r>
    <x v="255"/>
    <s v="C392"/>
    <x v="251"/>
    <s v="HRX Modern Area"/>
    <x v="8"/>
    <x v="2"/>
    <n v="4741"/>
    <n v="25"/>
    <n v="3556"/>
    <n v="1"/>
    <s v="Free Size"/>
    <s v="Blue"/>
    <n v="4.9000000000000004"/>
    <n v="182"/>
    <d v="2025-05-29T00:00:00"/>
    <s v="RETURNED"/>
    <x v="0"/>
    <x v="3"/>
    <s v="Rajasthan"/>
    <s v="Color Mismatch"/>
    <n v="4741"/>
    <n v="3556"/>
    <n v="1185"/>
    <x v="1"/>
  </r>
  <r>
    <x v="256"/>
    <s v="C448"/>
    <x v="252"/>
    <s v="Roadster Hard Very"/>
    <x v="3"/>
    <x v="1"/>
    <n v="682"/>
    <n v="10"/>
    <n v="614"/>
    <n v="3"/>
    <s v="-"/>
    <s v="Green"/>
    <n v="3.6"/>
    <n v="232"/>
    <d v="2025-07-09T00:00:00"/>
    <s v="RETURNED"/>
    <x v="0"/>
    <x v="5"/>
    <s v="Uttar Pradesh"/>
    <m/>
    <n v="2046"/>
    <n v="1842"/>
    <n v="204"/>
    <x v="1"/>
  </r>
  <r>
    <x v="257"/>
    <s v="C412"/>
    <x v="253"/>
    <s v="DressBerry Beyond Store"/>
    <x v="2"/>
    <x v="0"/>
    <n v="716"/>
    <n v="40"/>
    <n v="430"/>
    <n v="1"/>
    <n v="42"/>
    <s v="Black"/>
    <n v="3.6"/>
    <n v="105"/>
    <d v="2025-07-18T00:00:00"/>
    <s v="DELIVERED"/>
    <x v="1"/>
    <x v="4"/>
    <s v="Delhi"/>
    <m/>
    <n v="716"/>
    <n v="430"/>
    <n v="286"/>
    <x v="0"/>
  </r>
  <r>
    <x v="258"/>
    <s v="C469"/>
    <x v="254"/>
    <s v="Anouk Near Officer"/>
    <x v="7"/>
    <x v="4"/>
    <n v="4526"/>
    <n v="20"/>
    <n v="3621"/>
    <n v="2"/>
    <n v="40"/>
    <s v="Black"/>
    <n v="4.3"/>
    <n v="218"/>
    <d v="2025-05-02T00:00:00"/>
    <s v="DELIVERED"/>
    <x v="1"/>
    <x v="7"/>
    <s v="Telangana"/>
    <m/>
    <n v="9052"/>
    <n v="7242"/>
    <n v="1810"/>
    <x v="0"/>
  </r>
  <r>
    <x v="259"/>
    <s v="C429"/>
    <x v="255"/>
    <s v="Mast &amp; Harbour Local Matter"/>
    <x v="9"/>
    <x v="5"/>
    <n v="3434"/>
    <n v="35"/>
    <n v="2233"/>
    <n v="1"/>
    <n v="42"/>
    <s v="Pink"/>
    <n v="4.5"/>
    <n v="61"/>
    <d v="2025-05-18T00:00:00"/>
    <s v="RETURNED"/>
    <x v="2"/>
    <x v="3"/>
    <s v="Rajasthan"/>
    <s v="Late Delivery"/>
    <n v="3434"/>
    <n v="2233"/>
    <n v="1201"/>
    <x v="1"/>
  </r>
  <r>
    <x v="260"/>
    <s v="C694"/>
    <x v="256"/>
    <s v="HRX Too Woman"/>
    <x v="4"/>
    <x v="2"/>
    <n v="971"/>
    <n v="40"/>
    <n v="583"/>
    <n v="1"/>
    <n v="42"/>
    <s v="Black"/>
    <n v="4.0999999999999996"/>
    <n v="28"/>
    <d v="2025-05-13T00:00:00"/>
    <s v="DELIVERED"/>
    <x v="1"/>
    <x v="1"/>
    <s v="Karnataka"/>
    <m/>
    <n v="971"/>
    <n v="583"/>
    <n v="388"/>
    <x v="0"/>
  </r>
  <r>
    <x v="261"/>
    <s v="C505"/>
    <x v="257"/>
    <s v="WROGN College Learn"/>
    <x v="5"/>
    <x v="3"/>
    <n v="747"/>
    <n v="10"/>
    <n v="673"/>
    <n v="3"/>
    <s v="Free Size"/>
    <s v="Pink"/>
    <n v="3.8"/>
    <n v="278"/>
    <d v="2025-07-04T00:00:00"/>
    <s v="CANCELLED"/>
    <x v="0"/>
    <x v="1"/>
    <s v="Karnataka"/>
    <m/>
    <n v="2241"/>
    <n v="2019"/>
    <n v="222"/>
    <x v="2"/>
  </r>
  <r>
    <x v="262"/>
    <s v="C545"/>
    <x v="258"/>
    <s v="Roadster Enjoy Attention"/>
    <x v="1"/>
    <x v="1"/>
    <n v="2286"/>
    <n v="15"/>
    <n v="1944"/>
    <n v="3"/>
    <s v="L"/>
    <s v="Red"/>
    <n v="4.4000000000000004"/>
    <n v="174"/>
    <d v="2025-05-07T00:00:00"/>
    <s v="RETURNED"/>
    <x v="2"/>
    <x v="5"/>
    <s v="Uttar Pradesh"/>
    <m/>
    <n v="6858"/>
    <n v="5832"/>
    <n v="1026"/>
    <x v="1"/>
  </r>
  <r>
    <x v="263"/>
    <s v="C306"/>
    <x v="259"/>
    <s v="DressBerry Take Free"/>
    <x v="2"/>
    <x v="0"/>
    <n v="940"/>
    <n v="15"/>
    <n v="799"/>
    <n v="1"/>
    <n v="42"/>
    <s v="Blue"/>
    <n v="4.0999999999999996"/>
    <n v="224"/>
    <d v="2025-07-06T00:00:00"/>
    <s v="CANCELLED"/>
    <x v="0"/>
    <x v="8"/>
    <s v="Gujarat"/>
    <m/>
    <n v="940"/>
    <n v="799"/>
    <n v="141"/>
    <x v="2"/>
  </r>
  <r>
    <x v="264"/>
    <s v="C439"/>
    <x v="260"/>
    <s v="Roadster Challenge Garden"/>
    <x v="1"/>
    <x v="1"/>
    <n v="3219"/>
    <n v="35"/>
    <n v="2093"/>
    <n v="1"/>
    <n v="42"/>
    <s v="Blue"/>
    <n v="4.9000000000000004"/>
    <n v="256"/>
    <d v="2025-07-06T00:00:00"/>
    <s v="RETURNED"/>
    <x v="2"/>
    <x v="7"/>
    <s v="Telangana"/>
    <s v="Defective Item"/>
    <n v="3219"/>
    <n v="2093"/>
    <n v="1126"/>
    <x v="1"/>
  </r>
  <r>
    <x v="265"/>
    <s v="C358"/>
    <x v="261"/>
    <s v="Anouk Citizen Reduce"/>
    <x v="7"/>
    <x v="4"/>
    <n v="4537"/>
    <n v="30"/>
    <n v="3176"/>
    <n v="3"/>
    <s v="Free Size"/>
    <s v="Brown"/>
    <n v="3.9"/>
    <n v="278"/>
    <d v="2025-05-02T00:00:00"/>
    <s v="RETURNED"/>
    <x v="1"/>
    <x v="2"/>
    <s v="Maharashtra"/>
    <s v="Color Mismatch"/>
    <n v="13611"/>
    <n v="9528"/>
    <n v="4083"/>
    <x v="1"/>
  </r>
  <r>
    <x v="266"/>
    <s v="C319"/>
    <x v="262"/>
    <s v="Mast &amp; Harbour Member Goal"/>
    <x v="9"/>
    <x v="5"/>
    <n v="2554"/>
    <n v="20"/>
    <n v="2044"/>
    <n v="1"/>
    <n v="44"/>
    <s v="White"/>
    <n v="4.3"/>
    <n v="289"/>
    <d v="2025-06-15T00:00:00"/>
    <s v="CANCELLED"/>
    <x v="1"/>
    <x v="6"/>
    <s v="West Bengal"/>
    <m/>
    <n v="2554"/>
    <n v="2044"/>
    <n v="510"/>
    <x v="2"/>
  </r>
  <r>
    <x v="267"/>
    <s v="C293"/>
    <x v="263"/>
    <s v="HRX Bag Customer"/>
    <x v="8"/>
    <x v="2"/>
    <n v="1899"/>
    <n v="10"/>
    <n v="1710"/>
    <n v="2"/>
    <s v="XXL"/>
    <s v="Red"/>
    <n v="4"/>
    <n v="211"/>
    <d v="2025-05-17T00:00:00"/>
    <s v="DELIVERED"/>
    <x v="2"/>
    <x v="4"/>
    <s v="Delhi"/>
    <m/>
    <n v="3798"/>
    <n v="3420"/>
    <n v="378"/>
    <x v="0"/>
  </r>
  <r>
    <x v="268"/>
    <s v="C474"/>
    <x v="264"/>
    <s v="DressBerry Outside Drug"/>
    <x v="2"/>
    <x v="0"/>
    <n v="4533"/>
    <n v="20"/>
    <n v="3627"/>
    <n v="1"/>
    <n v="44"/>
    <s v="Grey"/>
    <n v="4.3"/>
    <n v="276"/>
    <d v="2025-06-19T00:00:00"/>
    <s v="CANCELLED"/>
    <x v="2"/>
    <x v="4"/>
    <s v="Delhi"/>
    <m/>
    <n v="4533"/>
    <n v="3627"/>
    <n v="906"/>
    <x v="2"/>
  </r>
  <r>
    <x v="269"/>
    <s v="C424"/>
    <x v="265"/>
    <s v="WROGN Sea Amount"/>
    <x v="5"/>
    <x v="3"/>
    <n v="3743"/>
    <n v="20"/>
    <n v="2995"/>
    <n v="3"/>
    <s v="M"/>
    <s v="Yellow"/>
    <n v="3.9"/>
    <n v="259"/>
    <d v="2025-04-28T00:00:00"/>
    <s v="RETURNED"/>
    <x v="2"/>
    <x v="8"/>
    <s v="Gujarat"/>
    <s v="Size Issue"/>
    <n v="11229"/>
    <n v="8985"/>
    <n v="2244"/>
    <x v="1"/>
  </r>
  <r>
    <x v="270"/>
    <s v="C517"/>
    <x v="266"/>
    <s v="Roadster Talk Put"/>
    <x v="3"/>
    <x v="1"/>
    <n v="4585"/>
    <n v="15"/>
    <n v="3898"/>
    <n v="1"/>
    <s v="M"/>
    <s v="Navy"/>
    <n v="4.5999999999999996"/>
    <n v="54"/>
    <d v="2025-05-06T00:00:00"/>
    <s v="CANCELLED"/>
    <x v="2"/>
    <x v="6"/>
    <s v="West Bengal"/>
    <m/>
    <n v="4585"/>
    <n v="3898"/>
    <n v="687"/>
    <x v="2"/>
  </r>
  <r>
    <x v="271"/>
    <s v="C426"/>
    <x v="267"/>
    <s v="Anouk View Study"/>
    <x v="7"/>
    <x v="4"/>
    <n v="2298"/>
    <n v="40"/>
    <n v="1379"/>
    <n v="2"/>
    <n v="44"/>
    <s v="Brown"/>
    <n v="4.7"/>
    <n v="151"/>
    <d v="2025-06-20T00:00:00"/>
    <s v="CANCELLED"/>
    <x v="0"/>
    <x v="6"/>
    <s v="West Bengal"/>
    <m/>
    <n v="4596"/>
    <n v="2758"/>
    <n v="1838"/>
    <x v="2"/>
  </r>
  <r>
    <x v="272"/>
    <s v="C285"/>
    <x v="268"/>
    <s v="DressBerry Baby Sort"/>
    <x v="2"/>
    <x v="0"/>
    <n v="2967"/>
    <n v="10"/>
    <n v="2671"/>
    <n v="1"/>
    <n v="44"/>
    <s v="White"/>
    <n v="4.0999999999999996"/>
    <n v="25"/>
    <d v="2025-05-30T00:00:00"/>
    <s v="RETURNED"/>
    <x v="1"/>
    <x v="5"/>
    <s v="Uttar Pradesh"/>
    <s v="Late Delivery"/>
    <n v="2967"/>
    <n v="2671"/>
    <n v="296"/>
    <x v="1"/>
  </r>
  <r>
    <x v="273"/>
    <s v="C584"/>
    <x v="269"/>
    <s v="DressBerry Party Office"/>
    <x v="2"/>
    <x v="0"/>
    <n v="2974"/>
    <n v="35"/>
    <n v="1934"/>
    <n v="1"/>
    <s v="M"/>
    <s v="Pink"/>
    <n v="5"/>
    <n v="258"/>
    <d v="2025-07-18T00:00:00"/>
    <s v="DELIVERED"/>
    <x v="1"/>
    <x v="1"/>
    <s v="Karnataka"/>
    <m/>
    <n v="2974"/>
    <n v="1934"/>
    <n v="1040"/>
    <x v="0"/>
  </r>
  <r>
    <x v="274"/>
    <s v="C625"/>
    <x v="270"/>
    <s v="Roadster Entire Its"/>
    <x v="6"/>
    <x v="1"/>
    <n v="4386"/>
    <n v="10"/>
    <n v="3948"/>
    <n v="3"/>
    <s v="M"/>
    <s v="Brown"/>
    <n v="3.9"/>
    <n v="100"/>
    <d v="2025-06-27T00:00:00"/>
    <s v="CANCELLED"/>
    <x v="0"/>
    <x v="4"/>
    <s v="Delhi"/>
    <m/>
    <n v="13158"/>
    <n v="11844"/>
    <n v="1314"/>
    <x v="2"/>
  </r>
  <r>
    <x v="275"/>
    <s v="C546"/>
    <x v="271"/>
    <s v="Anouk Who Pretty"/>
    <x v="7"/>
    <x v="4"/>
    <n v="3509"/>
    <n v="40"/>
    <n v="2106"/>
    <n v="1"/>
    <s v="-"/>
    <s v="Yellow"/>
    <n v="4"/>
    <n v="269"/>
    <d v="2025-07-13T00:00:00"/>
    <s v="RETURNED"/>
    <x v="1"/>
    <x v="3"/>
    <s v="Rajasthan"/>
    <s v="Size Issue"/>
    <n v="3509"/>
    <n v="2106"/>
    <n v="1403"/>
    <x v="1"/>
  </r>
  <r>
    <x v="276"/>
    <s v="C492"/>
    <x v="272"/>
    <s v="HRX Late Role"/>
    <x v="8"/>
    <x v="2"/>
    <n v="2481"/>
    <n v="20"/>
    <n v="1985"/>
    <n v="2"/>
    <s v="-"/>
    <s v="Black"/>
    <n v="4.2"/>
    <n v="35"/>
    <d v="2025-06-05T00:00:00"/>
    <s v="CANCELLED"/>
    <x v="2"/>
    <x v="9"/>
    <s v="Tamil Nadu"/>
    <m/>
    <n v="4962"/>
    <n v="3970"/>
    <n v="992"/>
    <x v="2"/>
  </r>
  <r>
    <x v="277"/>
    <s v="C326"/>
    <x v="273"/>
    <s v="HRX Worry North"/>
    <x v="4"/>
    <x v="2"/>
    <n v="3198"/>
    <n v="20"/>
    <n v="2559"/>
    <n v="1"/>
    <s v="M"/>
    <s v="Blue"/>
    <n v="5"/>
    <n v="240"/>
    <d v="2025-07-14T00:00:00"/>
    <s v="RETURNED"/>
    <x v="1"/>
    <x v="3"/>
    <s v="Rajasthan"/>
    <s v="Size Issue"/>
    <n v="3198"/>
    <n v="2559"/>
    <n v="639"/>
    <x v="1"/>
  </r>
  <r>
    <x v="278"/>
    <s v="C577"/>
    <x v="274"/>
    <s v="DressBerry Operation Something"/>
    <x v="0"/>
    <x v="0"/>
    <n v="1964"/>
    <n v="10"/>
    <n v="1768"/>
    <n v="1"/>
    <s v="S"/>
    <s v="Yellow"/>
    <n v="4.2"/>
    <n v="246"/>
    <d v="2025-05-06T00:00:00"/>
    <s v="CANCELLED"/>
    <x v="0"/>
    <x v="1"/>
    <s v="Karnataka"/>
    <m/>
    <n v="1964"/>
    <n v="1768"/>
    <n v="196"/>
    <x v="2"/>
  </r>
  <r>
    <x v="279"/>
    <s v="C546"/>
    <x v="275"/>
    <s v="DressBerry Rich Image"/>
    <x v="2"/>
    <x v="0"/>
    <n v="2326"/>
    <n v="20"/>
    <n v="1861"/>
    <n v="3"/>
    <n v="40"/>
    <s v="Pink"/>
    <n v="4.5999999999999996"/>
    <n v="72"/>
    <d v="2025-06-15T00:00:00"/>
    <s v="DELIVERED"/>
    <x v="2"/>
    <x v="5"/>
    <s v="Uttar Pradesh"/>
    <m/>
    <n v="6978"/>
    <n v="5583"/>
    <n v="1395"/>
    <x v="0"/>
  </r>
  <r>
    <x v="280"/>
    <s v="C290"/>
    <x v="276"/>
    <s v="WROGN Form Live"/>
    <x v="5"/>
    <x v="3"/>
    <n v="1729"/>
    <n v="25"/>
    <n v="1297"/>
    <n v="1"/>
    <s v="S"/>
    <s v="Grey"/>
    <n v="4.7"/>
    <n v="81"/>
    <d v="2025-05-22T00:00:00"/>
    <s v="CANCELLED"/>
    <x v="0"/>
    <x v="0"/>
    <s v="Madhya Pradesh"/>
    <m/>
    <n v="1729"/>
    <n v="1297"/>
    <n v="432"/>
    <x v="2"/>
  </r>
  <r>
    <x v="281"/>
    <s v="C661"/>
    <x v="277"/>
    <s v="DressBerry Opportunity Kitchen"/>
    <x v="2"/>
    <x v="0"/>
    <n v="2112"/>
    <n v="40"/>
    <n v="1268"/>
    <n v="2"/>
    <s v="L"/>
    <s v="Red"/>
    <n v="4.4000000000000004"/>
    <n v="90"/>
    <d v="2025-06-08T00:00:00"/>
    <s v="DELIVERED"/>
    <x v="1"/>
    <x v="8"/>
    <s v="Gujarat"/>
    <m/>
    <n v="4224"/>
    <n v="2536"/>
    <n v="1688"/>
    <x v="0"/>
  </r>
  <r>
    <x v="282"/>
    <s v="C644"/>
    <x v="278"/>
    <s v="WROGN Cup Leader"/>
    <x v="5"/>
    <x v="3"/>
    <n v="4285"/>
    <n v="30"/>
    <n v="3000"/>
    <n v="1"/>
    <s v="XL"/>
    <s v="Grey"/>
    <n v="4.3"/>
    <n v="239"/>
    <d v="2025-05-25T00:00:00"/>
    <s v="DELIVERED"/>
    <x v="2"/>
    <x v="6"/>
    <s v="West Bengal"/>
    <m/>
    <n v="4285"/>
    <n v="3000"/>
    <n v="1285"/>
    <x v="0"/>
  </r>
  <r>
    <x v="283"/>
    <s v="C507"/>
    <x v="279"/>
    <s v="Roadster I Short"/>
    <x v="1"/>
    <x v="1"/>
    <n v="3332"/>
    <n v="20"/>
    <n v="2666"/>
    <n v="3"/>
    <s v="XL"/>
    <s v="Pink"/>
    <n v="4.5999999999999996"/>
    <n v="139"/>
    <d v="2025-04-26T00:00:00"/>
    <s v="DELIVERED"/>
    <x v="0"/>
    <x v="0"/>
    <s v="Madhya Pradesh"/>
    <m/>
    <n v="9996"/>
    <n v="7998"/>
    <n v="1998"/>
    <x v="0"/>
  </r>
  <r>
    <x v="284"/>
    <s v="C434"/>
    <x v="280"/>
    <s v="Mast &amp; Harbour Better Send"/>
    <x v="9"/>
    <x v="5"/>
    <n v="3213"/>
    <n v="10"/>
    <n v="2892"/>
    <n v="1"/>
    <s v="L"/>
    <s v="Navy"/>
    <n v="4"/>
    <n v="239"/>
    <d v="2025-05-02T00:00:00"/>
    <s v="CANCELLED"/>
    <x v="1"/>
    <x v="2"/>
    <s v="Maharashtra"/>
    <m/>
    <n v="3213"/>
    <n v="2892"/>
    <n v="321"/>
    <x v="2"/>
  </r>
  <r>
    <x v="285"/>
    <s v="C481"/>
    <x v="281"/>
    <s v="Roadster Really Senior"/>
    <x v="6"/>
    <x v="1"/>
    <n v="3859"/>
    <n v="30"/>
    <n v="2702"/>
    <n v="1"/>
    <s v="-"/>
    <s v="Red"/>
    <n v="3.6"/>
    <n v="59"/>
    <d v="2025-07-20T00:00:00"/>
    <s v="DELIVERED"/>
    <x v="1"/>
    <x v="6"/>
    <s v="West Bengal"/>
    <m/>
    <n v="3859"/>
    <n v="2702"/>
    <n v="1157"/>
    <x v="0"/>
  </r>
  <r>
    <x v="286"/>
    <s v="C559"/>
    <x v="45"/>
    <s v="HRX Stay Character"/>
    <x v="8"/>
    <x v="2"/>
    <n v="1845"/>
    <n v="10"/>
    <n v="1661"/>
    <n v="1"/>
    <n v="40"/>
    <s v="Brown"/>
    <n v="3.5"/>
    <n v="32"/>
    <d v="2025-05-13T00:00:00"/>
    <s v="CANCELLED"/>
    <x v="0"/>
    <x v="3"/>
    <s v="Rajasthan"/>
    <m/>
    <n v="1845"/>
    <n v="1661"/>
    <n v="184"/>
    <x v="2"/>
  </r>
  <r>
    <x v="287"/>
    <s v="C448"/>
    <x v="282"/>
    <s v="HRX Team Page"/>
    <x v="8"/>
    <x v="2"/>
    <n v="2740"/>
    <n v="40"/>
    <n v="1644"/>
    <n v="1"/>
    <s v="XXL"/>
    <s v="Navy"/>
    <n v="3.5"/>
    <n v="185"/>
    <d v="2025-06-05T00:00:00"/>
    <s v="RETURNED"/>
    <x v="2"/>
    <x v="0"/>
    <s v="Madhya Pradesh"/>
    <s v="Late Delivery"/>
    <n v="2740"/>
    <n v="1644"/>
    <n v="1096"/>
    <x v="1"/>
  </r>
  <r>
    <x v="288"/>
    <s v="C203"/>
    <x v="283"/>
    <s v="Roadster Determine Myself"/>
    <x v="6"/>
    <x v="1"/>
    <n v="4098"/>
    <n v="30"/>
    <n v="2869"/>
    <n v="3"/>
    <s v="M"/>
    <s v="Grey"/>
    <n v="4.2"/>
    <n v="227"/>
    <d v="2025-05-24T00:00:00"/>
    <s v="RETURNED"/>
    <x v="1"/>
    <x v="3"/>
    <s v="Rajasthan"/>
    <s v="Late Delivery"/>
    <n v="12294"/>
    <n v="8607"/>
    <n v="3687"/>
    <x v="1"/>
  </r>
  <r>
    <x v="289"/>
    <s v="C543"/>
    <x v="284"/>
    <s v="HRX Could Plan"/>
    <x v="4"/>
    <x v="2"/>
    <n v="957"/>
    <n v="20"/>
    <n v="766"/>
    <n v="1"/>
    <n v="44"/>
    <s v="Blue"/>
    <n v="3.6"/>
    <n v="35"/>
    <d v="2025-05-03T00:00:00"/>
    <s v="RETURNED"/>
    <x v="1"/>
    <x v="2"/>
    <s v="Maharashtra"/>
    <m/>
    <n v="957"/>
    <n v="766"/>
    <n v="191"/>
    <x v="1"/>
  </r>
  <r>
    <x v="290"/>
    <s v="C268"/>
    <x v="285"/>
    <s v="HRX Describe Seat"/>
    <x v="4"/>
    <x v="2"/>
    <n v="2519"/>
    <n v="25"/>
    <n v="1890"/>
    <n v="2"/>
    <s v="Free Size"/>
    <s v="Brown"/>
    <n v="3.8"/>
    <n v="49"/>
    <d v="2025-06-17T00:00:00"/>
    <s v="CANCELLED"/>
    <x v="0"/>
    <x v="8"/>
    <s v="Gujarat"/>
    <m/>
    <n v="5038"/>
    <n v="3780"/>
    <n v="1258"/>
    <x v="2"/>
  </r>
  <r>
    <x v="291"/>
    <s v="C470"/>
    <x v="286"/>
    <s v="Anouk Audience Network"/>
    <x v="7"/>
    <x v="4"/>
    <n v="3484"/>
    <n v="30"/>
    <n v="2439"/>
    <n v="3"/>
    <s v="L"/>
    <s v="Brown"/>
    <n v="4"/>
    <n v="200"/>
    <d v="2025-05-13T00:00:00"/>
    <s v="DELIVERED"/>
    <x v="2"/>
    <x v="3"/>
    <s v="Rajasthan"/>
    <m/>
    <n v="10452"/>
    <n v="7317"/>
    <n v="3135"/>
    <x v="0"/>
  </r>
  <r>
    <x v="292"/>
    <s v="C349"/>
    <x v="287"/>
    <s v="DressBerry Bag Three"/>
    <x v="0"/>
    <x v="0"/>
    <n v="1928"/>
    <n v="15"/>
    <n v="1639"/>
    <n v="1"/>
    <n v="44"/>
    <s v="Pink"/>
    <n v="4.4000000000000004"/>
    <n v="39"/>
    <d v="2025-05-14T00:00:00"/>
    <s v="RETURNED"/>
    <x v="0"/>
    <x v="9"/>
    <s v="Tamil Nadu"/>
    <s v="Defective Item"/>
    <n v="1928"/>
    <n v="1639"/>
    <n v="289"/>
    <x v="1"/>
  </r>
  <r>
    <x v="293"/>
    <s v="C318"/>
    <x v="288"/>
    <s v="Anouk Support Miss"/>
    <x v="7"/>
    <x v="4"/>
    <n v="1751"/>
    <n v="25"/>
    <n v="1314"/>
    <n v="1"/>
    <s v="S"/>
    <s v="Blue"/>
    <n v="3.5"/>
    <n v="136"/>
    <d v="2025-07-08T00:00:00"/>
    <s v="RETURNED"/>
    <x v="0"/>
    <x v="3"/>
    <s v="Rajasthan"/>
    <s v="Size Issue"/>
    <n v="1751"/>
    <n v="1314"/>
    <n v="437"/>
    <x v="1"/>
  </r>
  <r>
    <x v="294"/>
    <s v="C400"/>
    <x v="289"/>
    <s v="DressBerry For Song"/>
    <x v="0"/>
    <x v="0"/>
    <n v="1616"/>
    <n v="35"/>
    <n v="1051"/>
    <n v="2"/>
    <n v="40"/>
    <s v="Blue"/>
    <n v="3.7"/>
    <n v="141"/>
    <d v="2025-05-08T00:00:00"/>
    <s v="CANCELLED"/>
    <x v="2"/>
    <x v="9"/>
    <s v="Tamil Nadu"/>
    <m/>
    <n v="3232"/>
    <n v="2102"/>
    <n v="1130"/>
    <x v="2"/>
  </r>
  <r>
    <x v="295"/>
    <s v="C257"/>
    <x v="290"/>
    <s v="DressBerry Party Plant"/>
    <x v="0"/>
    <x v="0"/>
    <n v="2712"/>
    <n v="25"/>
    <n v="2034"/>
    <n v="2"/>
    <n v="40"/>
    <s v="Brown"/>
    <n v="4.2"/>
    <n v="43"/>
    <d v="2025-04-29T00:00:00"/>
    <s v="CANCELLED"/>
    <x v="0"/>
    <x v="0"/>
    <s v="Madhya Pradesh"/>
    <m/>
    <n v="5424"/>
    <n v="4068"/>
    <n v="1356"/>
    <x v="2"/>
  </r>
  <r>
    <x v="296"/>
    <s v="C278"/>
    <x v="291"/>
    <s v="Roadster Time Be"/>
    <x v="1"/>
    <x v="1"/>
    <n v="4042"/>
    <n v="25"/>
    <n v="3032"/>
    <n v="1"/>
    <n v="40"/>
    <s v="Navy"/>
    <n v="4.4000000000000004"/>
    <n v="225"/>
    <d v="2025-07-07T00:00:00"/>
    <s v="RETURNED"/>
    <x v="2"/>
    <x v="9"/>
    <s v="Tamil Nadu"/>
    <s v="Late Delivery"/>
    <n v="4042"/>
    <n v="3032"/>
    <n v="1010"/>
    <x v="1"/>
  </r>
  <r>
    <x v="297"/>
    <s v="C246"/>
    <x v="292"/>
    <s v="WROGN Like Sister"/>
    <x v="5"/>
    <x v="3"/>
    <n v="4499"/>
    <n v="20"/>
    <n v="3600"/>
    <n v="3"/>
    <s v="S"/>
    <s v="Grey"/>
    <n v="3.6"/>
    <n v="31"/>
    <d v="2025-05-19T00:00:00"/>
    <s v="CANCELLED"/>
    <x v="1"/>
    <x v="7"/>
    <s v="Telangana"/>
    <m/>
    <n v="13497"/>
    <n v="10800"/>
    <n v="2697"/>
    <x v="2"/>
  </r>
  <r>
    <x v="298"/>
    <s v="C503"/>
    <x v="293"/>
    <s v="WROGN Religious From"/>
    <x v="5"/>
    <x v="3"/>
    <n v="1869"/>
    <n v="20"/>
    <n v="1496"/>
    <n v="3"/>
    <s v="M"/>
    <s v="Green"/>
    <n v="4.2"/>
    <n v="216"/>
    <d v="2025-07-19T00:00:00"/>
    <s v="DELIVERED"/>
    <x v="2"/>
    <x v="3"/>
    <s v="Rajasthan"/>
    <m/>
    <n v="5607"/>
    <n v="4488"/>
    <n v="1119"/>
    <x v="0"/>
  </r>
  <r>
    <x v="299"/>
    <s v="C244"/>
    <x v="294"/>
    <s v="DressBerry Office Scientist"/>
    <x v="2"/>
    <x v="0"/>
    <n v="4461"/>
    <n v="35"/>
    <n v="2900"/>
    <n v="1"/>
    <n v="44"/>
    <s v="Yellow"/>
    <n v="3.9"/>
    <n v="72"/>
    <d v="2025-06-30T00:00:00"/>
    <s v="DELIVERED"/>
    <x v="2"/>
    <x v="0"/>
    <s v="Madhya Pradesh"/>
    <m/>
    <n v="4461"/>
    <n v="2900"/>
    <n v="1561"/>
    <x v="0"/>
  </r>
  <r>
    <x v="300"/>
    <s v="C557"/>
    <x v="295"/>
    <s v="Roadster Or Lose"/>
    <x v="6"/>
    <x v="1"/>
    <n v="2820"/>
    <n v="35"/>
    <n v="1833"/>
    <n v="2"/>
    <s v="-"/>
    <s v="Black"/>
    <n v="4.5"/>
    <n v="103"/>
    <d v="2025-06-17T00:00:00"/>
    <s v="DELIVERED"/>
    <x v="0"/>
    <x v="7"/>
    <s v="Telangana"/>
    <m/>
    <n v="5640"/>
    <n v="3666"/>
    <n v="1974"/>
    <x v="0"/>
  </r>
  <r>
    <x v="301"/>
    <s v="C375"/>
    <x v="296"/>
    <s v="HRX House Might"/>
    <x v="8"/>
    <x v="2"/>
    <n v="2080"/>
    <n v="25"/>
    <n v="1560"/>
    <n v="1"/>
    <s v="S"/>
    <s v="White"/>
    <n v="4"/>
    <n v="181"/>
    <d v="2025-06-29T00:00:00"/>
    <s v="DELIVERED"/>
    <x v="1"/>
    <x v="5"/>
    <s v="Uttar Pradesh"/>
    <m/>
    <n v="2080"/>
    <n v="1560"/>
    <n v="520"/>
    <x v="0"/>
  </r>
  <r>
    <x v="302"/>
    <s v="C206"/>
    <x v="297"/>
    <s v="DressBerry Open Step"/>
    <x v="0"/>
    <x v="0"/>
    <n v="2905"/>
    <n v="35"/>
    <n v="1889"/>
    <n v="1"/>
    <s v="-"/>
    <s v="Blue"/>
    <n v="4.3"/>
    <n v="172"/>
    <d v="2025-07-14T00:00:00"/>
    <s v="RETURNED"/>
    <x v="2"/>
    <x v="3"/>
    <s v="Rajasthan"/>
    <s v="Color Mismatch"/>
    <n v="2905"/>
    <n v="1889"/>
    <n v="1016"/>
    <x v="1"/>
  </r>
  <r>
    <x v="303"/>
    <s v="C585"/>
    <x v="298"/>
    <s v="HRX Beat Little"/>
    <x v="8"/>
    <x v="2"/>
    <n v="3008"/>
    <n v="15"/>
    <n v="2557"/>
    <n v="3"/>
    <s v="L"/>
    <s v="Pink"/>
    <n v="4.9000000000000004"/>
    <n v="177"/>
    <d v="2025-04-24T00:00:00"/>
    <s v="DELIVERED"/>
    <x v="0"/>
    <x v="8"/>
    <s v="Gujarat"/>
    <m/>
    <n v="9024"/>
    <n v="7671"/>
    <n v="1353"/>
    <x v="0"/>
  </r>
  <r>
    <x v="304"/>
    <s v="C226"/>
    <x v="299"/>
    <s v="Anouk Agent Professor"/>
    <x v="7"/>
    <x v="4"/>
    <n v="3869"/>
    <n v="35"/>
    <n v="2515"/>
    <n v="2"/>
    <n v="44"/>
    <s v="Green"/>
    <n v="4.4000000000000004"/>
    <n v="165"/>
    <d v="2025-05-03T00:00:00"/>
    <s v="RETURNED"/>
    <x v="1"/>
    <x v="9"/>
    <s v="Tamil Nadu"/>
    <s v="Late Delivery"/>
    <n v="7738"/>
    <n v="5030"/>
    <n v="2708"/>
    <x v="1"/>
  </r>
  <r>
    <x v="305"/>
    <s v="C211"/>
    <x v="40"/>
    <s v="DressBerry Least Out"/>
    <x v="2"/>
    <x v="0"/>
    <n v="4538"/>
    <n v="40"/>
    <n v="2723"/>
    <n v="2"/>
    <n v="40"/>
    <s v="Pink"/>
    <n v="4.5999999999999996"/>
    <n v="154"/>
    <d v="2025-06-04T00:00:00"/>
    <s v="CANCELLED"/>
    <x v="2"/>
    <x v="8"/>
    <s v="Gujarat"/>
    <m/>
    <n v="9076"/>
    <n v="5446"/>
    <n v="3630"/>
    <x v="2"/>
  </r>
  <r>
    <x v="306"/>
    <s v="C261"/>
    <x v="300"/>
    <s v="Roadster Federal Lay"/>
    <x v="3"/>
    <x v="1"/>
    <n v="3658"/>
    <n v="35"/>
    <n v="2378"/>
    <n v="1"/>
    <s v="XXL"/>
    <s v="Navy"/>
    <n v="3.7"/>
    <n v="238"/>
    <d v="2025-07-03T00:00:00"/>
    <s v="RETURNED"/>
    <x v="2"/>
    <x v="8"/>
    <s v="Gujarat"/>
    <s v="Defective Item"/>
    <n v="3658"/>
    <n v="2378"/>
    <n v="1280"/>
    <x v="1"/>
  </r>
  <r>
    <x v="307"/>
    <s v="C298"/>
    <x v="301"/>
    <s v="DressBerry Level Get"/>
    <x v="0"/>
    <x v="0"/>
    <n v="796"/>
    <n v="30"/>
    <n v="558"/>
    <n v="3"/>
    <s v="XL"/>
    <s v="Navy"/>
    <n v="4.5"/>
    <n v="211"/>
    <d v="2025-05-15T00:00:00"/>
    <s v="DELIVERED"/>
    <x v="1"/>
    <x v="3"/>
    <s v="Rajasthan"/>
    <m/>
    <n v="2388"/>
    <n v="1674"/>
    <n v="714"/>
    <x v="0"/>
  </r>
  <r>
    <x v="308"/>
    <s v="C592"/>
    <x v="302"/>
    <s v="HRX Skill Challenge"/>
    <x v="4"/>
    <x v="2"/>
    <n v="3146"/>
    <n v="20"/>
    <n v="2517"/>
    <n v="2"/>
    <s v="Free Size"/>
    <s v="Grey"/>
    <n v="4.4000000000000004"/>
    <n v="262"/>
    <d v="2025-06-26T00:00:00"/>
    <s v="DELIVERED"/>
    <x v="1"/>
    <x v="8"/>
    <s v="Gujarat"/>
    <m/>
    <n v="6292"/>
    <n v="5034"/>
    <n v="1258"/>
    <x v="0"/>
  </r>
  <r>
    <x v="309"/>
    <s v="C206"/>
    <x v="303"/>
    <s v="Roadster Plant Chair"/>
    <x v="6"/>
    <x v="1"/>
    <n v="3866"/>
    <n v="40"/>
    <n v="2320"/>
    <n v="1"/>
    <s v="Free Size"/>
    <s v="Navy"/>
    <n v="4.5"/>
    <n v="250"/>
    <d v="2025-07-09T00:00:00"/>
    <s v="DELIVERED"/>
    <x v="0"/>
    <x v="0"/>
    <s v="Madhya Pradesh"/>
    <m/>
    <n v="3866"/>
    <n v="2320"/>
    <n v="1546"/>
    <x v="0"/>
  </r>
  <r>
    <x v="310"/>
    <s v="C355"/>
    <x v="304"/>
    <s v="Roadster Arrive As"/>
    <x v="1"/>
    <x v="1"/>
    <n v="3093"/>
    <n v="20"/>
    <n v="2475"/>
    <n v="1"/>
    <n v="44"/>
    <s v="Yellow"/>
    <n v="3.9"/>
    <n v="182"/>
    <d v="2025-07-17T00:00:00"/>
    <s v="CANCELLED"/>
    <x v="2"/>
    <x v="4"/>
    <s v="Delhi"/>
    <m/>
    <n v="3093"/>
    <n v="2475"/>
    <n v="618"/>
    <x v="2"/>
  </r>
  <r>
    <x v="311"/>
    <s v="C372"/>
    <x v="305"/>
    <s v="DressBerry Street Growth"/>
    <x v="2"/>
    <x v="0"/>
    <n v="2872"/>
    <n v="40"/>
    <n v="1724"/>
    <n v="3"/>
    <s v="S"/>
    <s v="Brown"/>
    <n v="4.7"/>
    <n v="216"/>
    <d v="2025-07-09T00:00:00"/>
    <s v="RETURNED"/>
    <x v="1"/>
    <x v="7"/>
    <s v="Telangana"/>
    <s v="Defective Item"/>
    <n v="8616"/>
    <n v="5172"/>
    <n v="3444"/>
    <x v="1"/>
  </r>
  <r>
    <x v="312"/>
    <s v="C380"/>
    <x v="306"/>
    <s v="HRX Recognize That"/>
    <x v="4"/>
    <x v="2"/>
    <n v="4552"/>
    <n v="30"/>
    <n v="3187"/>
    <n v="3"/>
    <s v="XL"/>
    <s v="Green"/>
    <n v="4.3"/>
    <n v="216"/>
    <d v="2025-04-26T00:00:00"/>
    <s v="CANCELLED"/>
    <x v="0"/>
    <x v="0"/>
    <s v="Madhya Pradesh"/>
    <m/>
    <n v="13656"/>
    <n v="9561"/>
    <n v="4095"/>
    <x v="2"/>
  </r>
  <r>
    <x v="313"/>
    <s v="C273"/>
    <x v="307"/>
    <s v="Anouk Main Congress"/>
    <x v="7"/>
    <x v="4"/>
    <n v="1099"/>
    <n v="10"/>
    <n v="990"/>
    <n v="2"/>
    <n v="40"/>
    <s v="Navy"/>
    <n v="3.8"/>
    <n v="254"/>
    <d v="2025-06-22T00:00:00"/>
    <s v="RETURNED"/>
    <x v="2"/>
    <x v="8"/>
    <s v="Gujarat"/>
    <s v="Size Issue"/>
    <n v="2198"/>
    <n v="1980"/>
    <n v="218"/>
    <x v="1"/>
  </r>
  <r>
    <x v="314"/>
    <s v="C532"/>
    <x v="308"/>
    <s v="Roadster Town Lead"/>
    <x v="1"/>
    <x v="1"/>
    <n v="2014"/>
    <n v="30"/>
    <n v="1410"/>
    <n v="1"/>
    <s v="L"/>
    <s v="Green"/>
    <n v="4.0999999999999996"/>
    <n v="243"/>
    <d v="2025-06-29T00:00:00"/>
    <s v="CANCELLED"/>
    <x v="0"/>
    <x v="0"/>
    <s v="Madhya Pradesh"/>
    <m/>
    <n v="2014"/>
    <n v="1410"/>
    <n v="604"/>
    <x v="2"/>
  </r>
  <r>
    <x v="315"/>
    <s v="C525"/>
    <x v="309"/>
    <s v="DressBerry Alone She"/>
    <x v="0"/>
    <x v="0"/>
    <n v="4605"/>
    <n v="15"/>
    <n v="3915"/>
    <n v="2"/>
    <s v="L"/>
    <s v="Brown"/>
    <n v="4.0999999999999996"/>
    <n v="40"/>
    <d v="2025-07-10T00:00:00"/>
    <s v="DELIVERED"/>
    <x v="1"/>
    <x v="7"/>
    <s v="Telangana"/>
    <m/>
    <n v="9210"/>
    <n v="7830"/>
    <n v="1380"/>
    <x v="0"/>
  </r>
  <r>
    <x v="316"/>
    <s v="C628"/>
    <x v="310"/>
    <s v="HRX Network Light"/>
    <x v="8"/>
    <x v="2"/>
    <n v="2449"/>
    <n v="30"/>
    <n v="1715"/>
    <n v="3"/>
    <s v="L"/>
    <s v="Blue"/>
    <n v="3.6"/>
    <n v="255"/>
    <d v="2025-06-26T00:00:00"/>
    <s v="CANCELLED"/>
    <x v="2"/>
    <x v="0"/>
    <s v="Madhya Pradesh"/>
    <m/>
    <n v="7347"/>
    <n v="5145"/>
    <n v="2202"/>
    <x v="2"/>
  </r>
  <r>
    <x v="317"/>
    <s v="C676"/>
    <x v="311"/>
    <s v="Roadster Factor Serve"/>
    <x v="6"/>
    <x v="1"/>
    <n v="3269"/>
    <n v="10"/>
    <n v="2943"/>
    <n v="2"/>
    <s v="XL"/>
    <s v="Navy"/>
    <n v="4"/>
    <n v="143"/>
    <d v="2025-05-30T00:00:00"/>
    <s v="DELIVERED"/>
    <x v="2"/>
    <x v="9"/>
    <s v="Tamil Nadu"/>
    <m/>
    <n v="6538"/>
    <n v="5886"/>
    <n v="652"/>
    <x v="0"/>
  </r>
  <r>
    <x v="318"/>
    <s v="C261"/>
    <x v="312"/>
    <s v="HRX Chance Role"/>
    <x v="4"/>
    <x v="2"/>
    <n v="3039"/>
    <n v="25"/>
    <n v="2280"/>
    <n v="1"/>
    <n v="42"/>
    <s v="Grey"/>
    <n v="4.3"/>
    <n v="194"/>
    <d v="2025-06-08T00:00:00"/>
    <s v="DELIVERED"/>
    <x v="2"/>
    <x v="9"/>
    <s v="Tamil Nadu"/>
    <m/>
    <n v="3039"/>
    <n v="2280"/>
    <n v="759"/>
    <x v="0"/>
  </r>
  <r>
    <x v="319"/>
    <s v="C569"/>
    <x v="313"/>
    <s v="Roadster Start Minute"/>
    <x v="6"/>
    <x v="1"/>
    <n v="1391"/>
    <n v="10"/>
    <n v="1252"/>
    <n v="1"/>
    <n v="42"/>
    <s v="Blue"/>
    <n v="4.3"/>
    <n v="58"/>
    <d v="2025-07-14T00:00:00"/>
    <s v="RETURNED"/>
    <x v="0"/>
    <x v="6"/>
    <s v="West Bengal"/>
    <m/>
    <n v="1391"/>
    <n v="1252"/>
    <n v="139"/>
    <x v="1"/>
  </r>
  <r>
    <x v="320"/>
    <s v="C432"/>
    <x v="314"/>
    <s v="HRX Star Myself"/>
    <x v="8"/>
    <x v="2"/>
    <n v="2541"/>
    <n v="10"/>
    <n v="2287"/>
    <n v="1"/>
    <s v="L"/>
    <s v="White"/>
    <n v="3.6"/>
    <n v="205"/>
    <d v="2025-05-20T00:00:00"/>
    <s v="RETURNED"/>
    <x v="1"/>
    <x v="3"/>
    <s v="Rajasthan"/>
    <s v="Late Delivery"/>
    <n v="2541"/>
    <n v="2287"/>
    <n v="254"/>
    <x v="1"/>
  </r>
  <r>
    <x v="321"/>
    <s v="C335"/>
    <x v="315"/>
    <s v="DressBerry Wonder Action"/>
    <x v="2"/>
    <x v="0"/>
    <n v="4987"/>
    <n v="20"/>
    <n v="3990"/>
    <n v="3"/>
    <s v="M"/>
    <s v="Green"/>
    <n v="4.0999999999999996"/>
    <n v="19"/>
    <d v="2025-07-05T00:00:00"/>
    <s v="DELIVERED"/>
    <x v="1"/>
    <x v="2"/>
    <s v="Maharashtra"/>
    <m/>
    <n v="14961"/>
    <n v="11970"/>
    <n v="2991"/>
    <x v="0"/>
  </r>
  <r>
    <x v="322"/>
    <s v="C205"/>
    <x v="316"/>
    <s v="HRX Garden House"/>
    <x v="4"/>
    <x v="2"/>
    <n v="4266"/>
    <n v="15"/>
    <n v="3627"/>
    <n v="1"/>
    <n v="40"/>
    <s v="Pink"/>
    <n v="4.4000000000000004"/>
    <n v="187"/>
    <d v="2025-07-08T00:00:00"/>
    <s v="RETURNED"/>
    <x v="2"/>
    <x v="5"/>
    <s v="Uttar Pradesh"/>
    <s v="Defective Item"/>
    <n v="4266"/>
    <n v="3627"/>
    <n v="639"/>
    <x v="1"/>
  </r>
  <r>
    <x v="323"/>
    <s v="C306"/>
    <x v="317"/>
    <s v="DressBerry Son Side"/>
    <x v="0"/>
    <x v="0"/>
    <n v="3300"/>
    <n v="40"/>
    <n v="1980"/>
    <n v="3"/>
    <s v="Free Size"/>
    <s v="Black"/>
    <n v="4.3"/>
    <n v="219"/>
    <d v="2025-05-08T00:00:00"/>
    <s v="DELIVERED"/>
    <x v="2"/>
    <x v="4"/>
    <s v="Delhi"/>
    <m/>
    <n v="9900"/>
    <n v="5940"/>
    <n v="3960"/>
    <x v="0"/>
  </r>
  <r>
    <x v="324"/>
    <s v="C207"/>
    <x v="318"/>
    <s v="DressBerry How Purpose"/>
    <x v="0"/>
    <x v="0"/>
    <n v="3283"/>
    <n v="10"/>
    <n v="2955"/>
    <n v="2"/>
    <s v="XL"/>
    <s v="Green"/>
    <n v="3.6"/>
    <n v="255"/>
    <d v="2025-06-29T00:00:00"/>
    <s v="DELIVERED"/>
    <x v="0"/>
    <x v="3"/>
    <s v="Rajasthan"/>
    <m/>
    <n v="6566"/>
    <n v="5910"/>
    <n v="656"/>
    <x v="0"/>
  </r>
  <r>
    <x v="325"/>
    <s v="C420"/>
    <x v="319"/>
    <s v="Anouk Modern Fact"/>
    <x v="7"/>
    <x v="4"/>
    <n v="2978"/>
    <n v="30"/>
    <n v="2085"/>
    <n v="2"/>
    <s v="S"/>
    <s v="White"/>
    <n v="4.8"/>
    <n v="299"/>
    <d v="2025-06-02T00:00:00"/>
    <s v="CANCELLED"/>
    <x v="0"/>
    <x v="1"/>
    <s v="Karnataka"/>
    <m/>
    <n v="5956"/>
    <n v="4170"/>
    <n v="1786"/>
    <x v="2"/>
  </r>
  <r>
    <x v="326"/>
    <s v="C598"/>
    <x v="320"/>
    <s v="Mast &amp; Harbour Computer Second"/>
    <x v="9"/>
    <x v="5"/>
    <n v="3578"/>
    <n v="20"/>
    <n v="2863"/>
    <n v="2"/>
    <s v="Free Size"/>
    <s v="Green"/>
    <n v="4.7"/>
    <n v="158"/>
    <d v="2025-04-25T00:00:00"/>
    <s v="RETURNED"/>
    <x v="1"/>
    <x v="5"/>
    <s v="Uttar Pradesh"/>
    <s v="Defective Item"/>
    <n v="7156"/>
    <n v="5726"/>
    <n v="1430"/>
    <x v="1"/>
  </r>
  <r>
    <x v="327"/>
    <s v="C484"/>
    <x v="321"/>
    <s v="HRX Radio Security"/>
    <x v="8"/>
    <x v="2"/>
    <n v="4285"/>
    <n v="35"/>
    <n v="2786"/>
    <n v="1"/>
    <s v="M"/>
    <s v="Yellow"/>
    <n v="4.5"/>
    <n v="274"/>
    <d v="2025-07-07T00:00:00"/>
    <s v="DELIVERED"/>
    <x v="0"/>
    <x v="1"/>
    <s v="Karnataka"/>
    <m/>
    <n v="4285"/>
    <n v="2786"/>
    <n v="1499"/>
    <x v="0"/>
  </r>
  <r>
    <x v="328"/>
    <s v="C330"/>
    <x v="322"/>
    <s v="DressBerry Thank Court"/>
    <x v="0"/>
    <x v="0"/>
    <n v="3115"/>
    <n v="10"/>
    <n v="2804"/>
    <n v="1"/>
    <s v="S"/>
    <s v="Green"/>
    <n v="3.6"/>
    <n v="288"/>
    <d v="2025-06-20T00:00:00"/>
    <s v="DELIVERED"/>
    <x v="0"/>
    <x v="6"/>
    <s v="West Bengal"/>
    <m/>
    <n v="3115"/>
    <n v="2804"/>
    <n v="311"/>
    <x v="0"/>
  </r>
  <r>
    <x v="329"/>
    <s v="C356"/>
    <x v="323"/>
    <s v="DressBerry Laugh Design"/>
    <x v="2"/>
    <x v="0"/>
    <n v="2076"/>
    <n v="10"/>
    <n v="1869"/>
    <n v="3"/>
    <n v="44"/>
    <s v="Brown"/>
    <n v="4"/>
    <n v="248"/>
    <d v="2025-05-01T00:00:00"/>
    <s v="RETURNED"/>
    <x v="0"/>
    <x v="9"/>
    <s v="Tamil Nadu"/>
    <s v="Defective Item"/>
    <n v="6228"/>
    <n v="5607"/>
    <n v="621"/>
    <x v="1"/>
  </r>
  <r>
    <x v="330"/>
    <s v="C534"/>
    <x v="324"/>
    <s v="DressBerry Always Myself"/>
    <x v="2"/>
    <x v="0"/>
    <n v="4851"/>
    <n v="40"/>
    <n v="2911"/>
    <n v="2"/>
    <s v="Free Size"/>
    <s v="Pink"/>
    <n v="4.9000000000000004"/>
    <n v="145"/>
    <d v="2025-05-02T00:00:00"/>
    <s v="DELIVERED"/>
    <x v="1"/>
    <x v="2"/>
    <s v="Maharashtra"/>
    <m/>
    <n v="9702"/>
    <n v="5822"/>
    <n v="3880"/>
    <x v="0"/>
  </r>
  <r>
    <x v="331"/>
    <s v="C321"/>
    <x v="325"/>
    <s v="DressBerry View Sit"/>
    <x v="2"/>
    <x v="0"/>
    <n v="3223"/>
    <n v="20"/>
    <n v="2579"/>
    <n v="1"/>
    <s v="XL"/>
    <s v="Grey"/>
    <n v="4.5999999999999996"/>
    <n v="284"/>
    <d v="2025-04-23T00:00:00"/>
    <s v="CANCELLED"/>
    <x v="2"/>
    <x v="2"/>
    <s v="Maharashtra"/>
    <m/>
    <n v="3223"/>
    <n v="2579"/>
    <n v="644"/>
    <x v="2"/>
  </r>
  <r>
    <x v="332"/>
    <s v="C262"/>
    <x v="326"/>
    <s v="Roadster View Environment"/>
    <x v="3"/>
    <x v="1"/>
    <n v="3210"/>
    <n v="25"/>
    <n v="2408"/>
    <n v="2"/>
    <n v="44"/>
    <s v="Green"/>
    <n v="4.0999999999999996"/>
    <n v="192"/>
    <d v="2025-05-20T00:00:00"/>
    <s v="DELIVERED"/>
    <x v="0"/>
    <x v="6"/>
    <s v="West Bengal"/>
    <m/>
    <n v="6420"/>
    <n v="4816"/>
    <n v="1604"/>
    <x v="0"/>
  </r>
  <r>
    <x v="333"/>
    <s v="C452"/>
    <x v="327"/>
    <s v="HRX Democratic Item"/>
    <x v="8"/>
    <x v="2"/>
    <n v="4572"/>
    <n v="15"/>
    <n v="3887"/>
    <n v="3"/>
    <s v="M"/>
    <s v="Navy"/>
    <n v="4.2"/>
    <n v="11"/>
    <d v="2025-05-21T00:00:00"/>
    <s v="DELIVERED"/>
    <x v="0"/>
    <x v="5"/>
    <s v="Uttar Pradesh"/>
    <m/>
    <n v="13716"/>
    <n v="11661"/>
    <n v="2055"/>
    <x v="0"/>
  </r>
  <r>
    <x v="334"/>
    <s v="C348"/>
    <x v="328"/>
    <s v="Roadster Issue Early"/>
    <x v="6"/>
    <x v="1"/>
    <n v="3145"/>
    <n v="20"/>
    <n v="2516"/>
    <n v="3"/>
    <s v="S"/>
    <s v="Blue"/>
    <n v="3.6"/>
    <n v="132"/>
    <d v="2025-07-05T00:00:00"/>
    <s v="CANCELLED"/>
    <x v="1"/>
    <x v="5"/>
    <s v="Uttar Pradesh"/>
    <m/>
    <n v="9435"/>
    <n v="7548"/>
    <n v="1887"/>
    <x v="2"/>
  </r>
  <r>
    <x v="335"/>
    <s v="C209"/>
    <x v="329"/>
    <s v="Roadster Major Where"/>
    <x v="1"/>
    <x v="1"/>
    <n v="4846"/>
    <n v="30"/>
    <n v="3393"/>
    <n v="2"/>
    <s v="-"/>
    <s v="Black"/>
    <n v="4.3"/>
    <n v="261"/>
    <d v="2025-05-27T00:00:00"/>
    <s v="DELIVERED"/>
    <x v="0"/>
    <x v="6"/>
    <s v="West Bengal"/>
    <m/>
    <n v="9692"/>
    <n v="6786"/>
    <n v="2906"/>
    <x v="0"/>
  </r>
  <r>
    <x v="336"/>
    <s v="C409"/>
    <x v="330"/>
    <s v="WROGN Image Another"/>
    <x v="5"/>
    <x v="3"/>
    <n v="4938"/>
    <n v="25"/>
    <n v="3704"/>
    <n v="1"/>
    <s v="-"/>
    <s v="White"/>
    <n v="4.3"/>
    <n v="10"/>
    <d v="2025-07-06T00:00:00"/>
    <s v="DELIVERED"/>
    <x v="2"/>
    <x v="4"/>
    <s v="Delhi"/>
    <m/>
    <n v="4938"/>
    <n v="3704"/>
    <n v="1234"/>
    <x v="0"/>
  </r>
  <r>
    <x v="337"/>
    <s v="C675"/>
    <x v="331"/>
    <s v="DressBerry Person Action"/>
    <x v="0"/>
    <x v="0"/>
    <n v="4175"/>
    <n v="25"/>
    <n v="3132"/>
    <n v="1"/>
    <s v="L"/>
    <s v="Brown"/>
    <n v="3.6"/>
    <n v="184"/>
    <d v="2025-07-01T00:00:00"/>
    <s v="DELIVERED"/>
    <x v="2"/>
    <x v="8"/>
    <s v="Gujarat"/>
    <m/>
    <n v="4175"/>
    <n v="3132"/>
    <n v="1043"/>
    <x v="0"/>
  </r>
  <r>
    <x v="338"/>
    <s v="C306"/>
    <x v="332"/>
    <s v="Mast &amp; Harbour Government Stock"/>
    <x v="9"/>
    <x v="5"/>
    <n v="3082"/>
    <n v="25"/>
    <n v="2312"/>
    <n v="1"/>
    <s v="XXL"/>
    <s v="Yellow"/>
    <n v="4.7"/>
    <n v="93"/>
    <d v="2025-06-18T00:00:00"/>
    <s v="DELIVERED"/>
    <x v="1"/>
    <x v="5"/>
    <s v="Uttar Pradesh"/>
    <m/>
    <n v="3082"/>
    <n v="2312"/>
    <n v="770"/>
    <x v="0"/>
  </r>
  <r>
    <x v="339"/>
    <s v="C333"/>
    <x v="333"/>
    <s v="HRX School Wind"/>
    <x v="8"/>
    <x v="2"/>
    <n v="1376"/>
    <n v="20"/>
    <n v="1101"/>
    <n v="2"/>
    <s v="XXL"/>
    <s v="Grey"/>
    <n v="3.7"/>
    <n v="16"/>
    <d v="2025-06-22T00:00:00"/>
    <s v="CANCELLED"/>
    <x v="1"/>
    <x v="4"/>
    <s v="Delhi"/>
    <m/>
    <n v="2752"/>
    <n v="2202"/>
    <n v="550"/>
    <x v="2"/>
  </r>
  <r>
    <x v="340"/>
    <s v="C255"/>
    <x v="334"/>
    <s v="Anouk Week Agency"/>
    <x v="7"/>
    <x v="4"/>
    <n v="954"/>
    <n v="15"/>
    <n v="811"/>
    <n v="3"/>
    <s v="L"/>
    <s v="Navy"/>
    <n v="4.2"/>
    <n v="198"/>
    <d v="2025-06-13T00:00:00"/>
    <s v="RETURNED"/>
    <x v="1"/>
    <x v="7"/>
    <s v="Telangana"/>
    <m/>
    <n v="2862"/>
    <n v="2433"/>
    <n v="429"/>
    <x v="1"/>
  </r>
  <r>
    <x v="341"/>
    <s v="C574"/>
    <x v="335"/>
    <s v="WROGN Fine Pressure"/>
    <x v="5"/>
    <x v="3"/>
    <n v="2580"/>
    <n v="10"/>
    <n v="2322"/>
    <n v="2"/>
    <s v="L"/>
    <s v="Pink"/>
    <n v="3.8"/>
    <n v="207"/>
    <d v="2025-07-03T00:00:00"/>
    <s v="RETURNED"/>
    <x v="2"/>
    <x v="5"/>
    <s v="Uttar Pradesh"/>
    <m/>
    <n v="5160"/>
    <n v="4644"/>
    <n v="516"/>
    <x v="1"/>
  </r>
  <r>
    <x v="342"/>
    <s v="C212"/>
    <x v="336"/>
    <s v="HRX Try Remember"/>
    <x v="8"/>
    <x v="2"/>
    <n v="3283"/>
    <n v="10"/>
    <n v="2955"/>
    <n v="3"/>
    <n v="44"/>
    <s v="White"/>
    <n v="4.9000000000000004"/>
    <n v="128"/>
    <d v="2025-06-02T00:00:00"/>
    <s v="RETURNED"/>
    <x v="0"/>
    <x v="9"/>
    <s v="Tamil Nadu"/>
    <m/>
    <n v="9849"/>
    <n v="8865"/>
    <n v="984"/>
    <x v="1"/>
  </r>
  <r>
    <x v="343"/>
    <s v="C340"/>
    <x v="337"/>
    <s v="HRX Health Street"/>
    <x v="4"/>
    <x v="2"/>
    <n v="2832"/>
    <n v="35"/>
    <n v="1841"/>
    <n v="1"/>
    <s v="S"/>
    <s v="Green"/>
    <n v="3.8"/>
    <n v="129"/>
    <d v="2025-05-07T00:00:00"/>
    <s v="CANCELLED"/>
    <x v="2"/>
    <x v="8"/>
    <s v="Gujarat"/>
    <m/>
    <n v="2832"/>
    <n v="1841"/>
    <n v="991"/>
    <x v="2"/>
  </r>
  <r>
    <x v="344"/>
    <s v="C674"/>
    <x v="338"/>
    <s v="WROGN Million Discover"/>
    <x v="5"/>
    <x v="3"/>
    <n v="4167"/>
    <n v="30"/>
    <n v="2917"/>
    <n v="3"/>
    <n v="44"/>
    <s v="Grey"/>
    <n v="4.0999999999999996"/>
    <n v="41"/>
    <d v="2025-06-16T00:00:00"/>
    <s v="RETURNED"/>
    <x v="1"/>
    <x v="8"/>
    <s v="Gujarat"/>
    <s v="Size Issue"/>
    <n v="12501"/>
    <n v="8751"/>
    <n v="3750"/>
    <x v="1"/>
  </r>
  <r>
    <x v="345"/>
    <s v="C552"/>
    <x v="339"/>
    <s v="Mast &amp; Harbour Success National"/>
    <x v="9"/>
    <x v="5"/>
    <n v="4271"/>
    <n v="10"/>
    <n v="3844"/>
    <n v="2"/>
    <s v="M"/>
    <s v="Red"/>
    <n v="4.5999999999999996"/>
    <n v="41"/>
    <d v="2025-05-26T00:00:00"/>
    <s v="RETURNED"/>
    <x v="2"/>
    <x v="8"/>
    <s v="Gujarat"/>
    <s v="Color Mismatch"/>
    <n v="8542"/>
    <n v="7688"/>
    <n v="854"/>
    <x v="1"/>
  </r>
  <r>
    <x v="346"/>
    <s v="C359"/>
    <x v="340"/>
    <s v="DressBerry Economy Us"/>
    <x v="2"/>
    <x v="0"/>
    <n v="1963"/>
    <n v="20"/>
    <n v="1571"/>
    <n v="1"/>
    <n v="40"/>
    <s v="Red"/>
    <n v="4.0999999999999996"/>
    <n v="176"/>
    <d v="2025-05-23T00:00:00"/>
    <s v="CANCELLED"/>
    <x v="1"/>
    <x v="0"/>
    <s v="Madhya Pradesh"/>
    <m/>
    <n v="1963"/>
    <n v="1571"/>
    <n v="392"/>
    <x v="2"/>
  </r>
  <r>
    <x v="347"/>
    <s v="C577"/>
    <x v="341"/>
    <s v="Roadster Final Crime"/>
    <x v="1"/>
    <x v="1"/>
    <n v="4941"/>
    <n v="30"/>
    <n v="3459"/>
    <n v="1"/>
    <s v="XL"/>
    <s v="Navy"/>
    <n v="4.0999999999999996"/>
    <n v="89"/>
    <d v="2025-07-07T00:00:00"/>
    <s v="RETURNED"/>
    <x v="2"/>
    <x v="1"/>
    <s v="Karnataka"/>
    <s v="Size Issue"/>
    <n v="4941"/>
    <n v="3459"/>
    <n v="1482"/>
    <x v="1"/>
  </r>
  <r>
    <x v="348"/>
    <s v="C531"/>
    <x v="342"/>
    <s v="Mast &amp; Harbour Half Although"/>
    <x v="9"/>
    <x v="5"/>
    <n v="1055"/>
    <n v="20"/>
    <n v="844"/>
    <n v="2"/>
    <s v="XL"/>
    <s v="Yellow"/>
    <n v="4.4000000000000004"/>
    <n v="74"/>
    <d v="2025-07-20T00:00:00"/>
    <s v="CANCELLED"/>
    <x v="0"/>
    <x v="8"/>
    <s v="Gujarat"/>
    <m/>
    <n v="2110"/>
    <n v="1688"/>
    <n v="422"/>
    <x v="2"/>
  </r>
  <r>
    <x v="349"/>
    <s v="C292"/>
    <x v="343"/>
    <s v="Roadster Do Soldier"/>
    <x v="6"/>
    <x v="1"/>
    <n v="2105"/>
    <n v="35"/>
    <n v="1369"/>
    <n v="1"/>
    <n v="40"/>
    <s v="Grey"/>
    <n v="4.9000000000000004"/>
    <n v="22"/>
    <d v="2025-06-25T00:00:00"/>
    <s v="CANCELLED"/>
    <x v="1"/>
    <x v="0"/>
    <s v="Madhya Pradesh"/>
    <m/>
    <n v="2105"/>
    <n v="1369"/>
    <n v="736"/>
    <x v="2"/>
  </r>
  <r>
    <x v="350"/>
    <s v="C514"/>
    <x v="344"/>
    <s v="HRX Identify Million"/>
    <x v="4"/>
    <x v="2"/>
    <n v="2487"/>
    <n v="30"/>
    <n v="1741"/>
    <n v="1"/>
    <s v="XXL"/>
    <s v="Green"/>
    <n v="4.3"/>
    <n v="198"/>
    <d v="2025-06-27T00:00:00"/>
    <s v="CANCELLED"/>
    <x v="2"/>
    <x v="0"/>
    <s v="Madhya Pradesh"/>
    <m/>
    <n v="2487"/>
    <n v="1741"/>
    <n v="746"/>
    <x v="2"/>
  </r>
  <r>
    <x v="351"/>
    <s v="C599"/>
    <x v="345"/>
    <s v="Mast &amp; Harbour Home Decide"/>
    <x v="9"/>
    <x v="5"/>
    <n v="3435"/>
    <n v="35"/>
    <n v="2233"/>
    <n v="2"/>
    <n v="42"/>
    <s v="Navy"/>
    <n v="3.5"/>
    <n v="123"/>
    <d v="2025-06-19T00:00:00"/>
    <s v="CANCELLED"/>
    <x v="1"/>
    <x v="0"/>
    <s v="Madhya Pradesh"/>
    <m/>
    <n v="6870"/>
    <n v="4466"/>
    <n v="2404"/>
    <x v="2"/>
  </r>
  <r>
    <x v="352"/>
    <s v="C644"/>
    <x v="346"/>
    <s v="DressBerry Sure Exactly"/>
    <x v="0"/>
    <x v="0"/>
    <n v="671"/>
    <n v="15"/>
    <n v="571"/>
    <n v="1"/>
    <s v="XXL"/>
    <s v="Red"/>
    <n v="3.6"/>
    <n v="78"/>
    <d v="2025-07-18T00:00:00"/>
    <s v="CANCELLED"/>
    <x v="1"/>
    <x v="8"/>
    <s v="Gujarat"/>
    <m/>
    <n v="671"/>
    <n v="571"/>
    <n v="100"/>
    <x v="2"/>
  </r>
  <r>
    <x v="353"/>
    <s v="C231"/>
    <x v="347"/>
    <s v="Anouk Because Dinner"/>
    <x v="7"/>
    <x v="4"/>
    <n v="4216"/>
    <n v="15"/>
    <n v="3584"/>
    <n v="1"/>
    <s v="M"/>
    <s v="Pink"/>
    <n v="4.3"/>
    <n v="43"/>
    <d v="2025-05-15T00:00:00"/>
    <s v="RETURNED"/>
    <x v="1"/>
    <x v="3"/>
    <s v="Rajasthan"/>
    <s v="Color Mismatch"/>
    <n v="4216"/>
    <n v="3584"/>
    <n v="632"/>
    <x v="1"/>
  </r>
  <r>
    <x v="354"/>
    <s v="C636"/>
    <x v="348"/>
    <s v="HRX Personal Effort"/>
    <x v="4"/>
    <x v="2"/>
    <n v="1776"/>
    <n v="10"/>
    <n v="1599"/>
    <n v="1"/>
    <s v="Free Size"/>
    <s v="Pink"/>
    <n v="3.9"/>
    <n v="271"/>
    <d v="2025-05-07T00:00:00"/>
    <s v="CANCELLED"/>
    <x v="0"/>
    <x v="1"/>
    <s v="Karnataka"/>
    <m/>
    <n v="1776"/>
    <n v="1599"/>
    <n v="177"/>
    <x v="2"/>
  </r>
  <r>
    <x v="355"/>
    <s v="C328"/>
    <x v="123"/>
    <s v="Anouk Every Goal"/>
    <x v="7"/>
    <x v="4"/>
    <n v="2213"/>
    <n v="40"/>
    <n v="1328"/>
    <n v="1"/>
    <n v="40"/>
    <s v="White"/>
    <n v="3.8"/>
    <n v="234"/>
    <d v="2025-07-01T00:00:00"/>
    <s v="RETURNED"/>
    <x v="2"/>
    <x v="7"/>
    <s v="Telangana"/>
    <s v="Size Issue"/>
    <n v="2213"/>
    <n v="1328"/>
    <n v="885"/>
    <x v="1"/>
  </r>
  <r>
    <x v="356"/>
    <s v="C316"/>
    <x v="349"/>
    <s v="WROGN Partner Should"/>
    <x v="5"/>
    <x v="3"/>
    <n v="3573"/>
    <n v="10"/>
    <n v="3216"/>
    <n v="1"/>
    <n v="42"/>
    <s v="Black"/>
    <n v="4.4000000000000004"/>
    <n v="182"/>
    <d v="2025-06-28T00:00:00"/>
    <s v="RETURNED"/>
    <x v="2"/>
    <x v="1"/>
    <s v="Karnataka"/>
    <s v="Size Issue"/>
    <n v="3573"/>
    <n v="3216"/>
    <n v="357"/>
    <x v="1"/>
  </r>
  <r>
    <x v="357"/>
    <s v="C409"/>
    <x v="350"/>
    <s v="Mast &amp; Harbour Beyond Me"/>
    <x v="9"/>
    <x v="5"/>
    <n v="3798"/>
    <n v="30"/>
    <n v="2659"/>
    <n v="2"/>
    <s v="S"/>
    <s v="Brown"/>
    <n v="4.3"/>
    <n v="199"/>
    <d v="2025-07-02T00:00:00"/>
    <s v="CANCELLED"/>
    <x v="1"/>
    <x v="4"/>
    <s v="Delhi"/>
    <m/>
    <n v="7596"/>
    <n v="5318"/>
    <n v="2278"/>
    <x v="2"/>
  </r>
  <r>
    <x v="358"/>
    <s v="C610"/>
    <x v="351"/>
    <s v="WROGN Middle Project"/>
    <x v="5"/>
    <x v="3"/>
    <n v="4281"/>
    <n v="35"/>
    <n v="2783"/>
    <n v="3"/>
    <s v="XXL"/>
    <s v="Black"/>
    <n v="3.6"/>
    <n v="11"/>
    <d v="2025-06-30T00:00:00"/>
    <s v="RETURNED"/>
    <x v="0"/>
    <x v="5"/>
    <s v="Uttar Pradesh"/>
    <s v="Color Mismatch"/>
    <n v="12843"/>
    <n v="8349"/>
    <n v="4494"/>
    <x v="1"/>
  </r>
  <r>
    <x v="359"/>
    <s v="C534"/>
    <x v="352"/>
    <s v="Roadster List Environment"/>
    <x v="1"/>
    <x v="1"/>
    <n v="3265"/>
    <n v="15"/>
    <n v="2776"/>
    <n v="1"/>
    <s v="XXL"/>
    <s v="Pink"/>
    <n v="4.5999999999999996"/>
    <n v="37"/>
    <d v="2025-07-14T00:00:00"/>
    <s v="RETURNED"/>
    <x v="0"/>
    <x v="1"/>
    <s v="Karnataka"/>
    <s v="Size Issue"/>
    <n v="3265"/>
    <n v="2776"/>
    <n v="489"/>
    <x v="1"/>
  </r>
  <r>
    <x v="360"/>
    <s v="C296"/>
    <x v="353"/>
    <s v="Mast &amp; Harbour Want Work"/>
    <x v="9"/>
    <x v="5"/>
    <n v="1118"/>
    <n v="30"/>
    <n v="783"/>
    <n v="3"/>
    <n v="44"/>
    <s v="Grey"/>
    <n v="4.9000000000000004"/>
    <n v="53"/>
    <d v="2025-07-20T00:00:00"/>
    <s v="DELIVERED"/>
    <x v="0"/>
    <x v="6"/>
    <s v="West Bengal"/>
    <m/>
    <n v="3354"/>
    <n v="2349"/>
    <n v="1005"/>
    <x v="0"/>
  </r>
  <r>
    <x v="361"/>
    <s v="C531"/>
    <x v="354"/>
    <s v="DressBerry Himself Within"/>
    <x v="2"/>
    <x v="0"/>
    <n v="4659"/>
    <n v="25"/>
    <n v="3495"/>
    <n v="1"/>
    <n v="44"/>
    <s v="Brown"/>
    <n v="4.2"/>
    <n v="13"/>
    <d v="2025-05-06T00:00:00"/>
    <s v="CANCELLED"/>
    <x v="0"/>
    <x v="2"/>
    <s v="Maharashtra"/>
    <m/>
    <n v="4659"/>
    <n v="3495"/>
    <n v="1164"/>
    <x v="2"/>
  </r>
  <r>
    <x v="362"/>
    <s v="C654"/>
    <x v="355"/>
    <s v="Roadster Effort Whole"/>
    <x v="1"/>
    <x v="1"/>
    <n v="866"/>
    <n v="40"/>
    <n v="520"/>
    <n v="2"/>
    <s v="Free Size"/>
    <s v="Black"/>
    <n v="4.2"/>
    <n v="294"/>
    <d v="2025-06-21T00:00:00"/>
    <s v="RETURNED"/>
    <x v="0"/>
    <x v="3"/>
    <s v="Rajasthan"/>
    <s v="Defective Item"/>
    <n v="1732"/>
    <n v="1040"/>
    <n v="692"/>
    <x v="1"/>
  </r>
  <r>
    <x v="363"/>
    <s v="C279"/>
    <x v="356"/>
    <s v="DressBerry Paper Similar"/>
    <x v="0"/>
    <x v="0"/>
    <n v="777"/>
    <n v="15"/>
    <n v="661"/>
    <n v="1"/>
    <s v="Free Size"/>
    <s v="White"/>
    <n v="3.7"/>
    <n v="198"/>
    <d v="2025-05-15T00:00:00"/>
    <s v="RETURNED"/>
    <x v="2"/>
    <x v="5"/>
    <s v="Uttar Pradesh"/>
    <s v="Defective Item"/>
    <n v="777"/>
    <n v="661"/>
    <n v="116"/>
    <x v="1"/>
  </r>
  <r>
    <x v="364"/>
    <s v="C621"/>
    <x v="357"/>
    <s v="Mast &amp; Harbour List Hear"/>
    <x v="9"/>
    <x v="5"/>
    <n v="1091"/>
    <n v="30"/>
    <n v="764"/>
    <n v="3"/>
    <s v="XXL"/>
    <s v="Blue"/>
    <n v="3.6"/>
    <n v="274"/>
    <d v="2025-06-05T00:00:00"/>
    <s v="CANCELLED"/>
    <x v="1"/>
    <x v="5"/>
    <s v="Uttar Pradesh"/>
    <m/>
    <n v="3273"/>
    <n v="2292"/>
    <n v="981"/>
    <x v="2"/>
  </r>
  <r>
    <x v="365"/>
    <s v="C695"/>
    <x v="358"/>
    <s v="Roadster Environmental Open"/>
    <x v="1"/>
    <x v="1"/>
    <n v="2783"/>
    <n v="30"/>
    <n v="1949"/>
    <n v="1"/>
    <s v="XXL"/>
    <s v="Brown"/>
    <n v="5"/>
    <n v="236"/>
    <d v="2025-05-22T00:00:00"/>
    <s v="CANCELLED"/>
    <x v="0"/>
    <x v="9"/>
    <s v="Tamil Nadu"/>
    <m/>
    <n v="2783"/>
    <n v="1949"/>
    <n v="834"/>
    <x v="2"/>
  </r>
  <r>
    <x v="366"/>
    <s v="C594"/>
    <x v="53"/>
    <s v="DressBerry Quality Dark"/>
    <x v="0"/>
    <x v="0"/>
    <n v="700"/>
    <n v="25"/>
    <n v="525"/>
    <n v="3"/>
    <s v="XL"/>
    <s v="Pink"/>
    <n v="3.8"/>
    <n v="286"/>
    <d v="2025-06-18T00:00:00"/>
    <s v="CANCELLED"/>
    <x v="1"/>
    <x v="9"/>
    <s v="Tamil Nadu"/>
    <m/>
    <n v="2100"/>
    <n v="1575"/>
    <n v="525"/>
    <x v="2"/>
  </r>
  <r>
    <x v="367"/>
    <s v="C359"/>
    <x v="359"/>
    <s v="Roadster Type Notice"/>
    <x v="1"/>
    <x v="1"/>
    <n v="1092"/>
    <n v="30"/>
    <n v="765"/>
    <n v="2"/>
    <s v="XL"/>
    <s v="Grey"/>
    <n v="4.3"/>
    <n v="74"/>
    <d v="2025-05-29T00:00:00"/>
    <s v="RETURNED"/>
    <x v="1"/>
    <x v="0"/>
    <s v="Madhya Pradesh"/>
    <s v="Defective Item"/>
    <n v="2184"/>
    <n v="1530"/>
    <n v="654"/>
    <x v="1"/>
  </r>
  <r>
    <x v="368"/>
    <s v="C326"/>
    <x v="360"/>
    <s v="Roadster City Much"/>
    <x v="6"/>
    <x v="1"/>
    <n v="1608"/>
    <n v="40"/>
    <n v="965"/>
    <n v="1"/>
    <s v="S"/>
    <s v="White"/>
    <n v="3.7"/>
    <n v="172"/>
    <d v="2025-05-16T00:00:00"/>
    <s v="RETURNED"/>
    <x v="0"/>
    <x v="2"/>
    <s v="Maharashtra"/>
    <s v="Defective Item"/>
    <n v="1608"/>
    <n v="965"/>
    <n v="643"/>
    <x v="1"/>
  </r>
  <r>
    <x v="369"/>
    <s v="C343"/>
    <x v="361"/>
    <s v="DressBerry Form Meeting"/>
    <x v="2"/>
    <x v="0"/>
    <n v="1317"/>
    <n v="10"/>
    <n v="1186"/>
    <n v="1"/>
    <n v="44"/>
    <s v="Black"/>
    <n v="4.9000000000000004"/>
    <n v="139"/>
    <d v="2025-07-05T00:00:00"/>
    <s v="DELIVERED"/>
    <x v="1"/>
    <x v="4"/>
    <s v="Delhi"/>
    <m/>
    <n v="1317"/>
    <n v="1186"/>
    <n v="131"/>
    <x v="0"/>
  </r>
  <r>
    <x v="370"/>
    <s v="C492"/>
    <x v="362"/>
    <s v="HRX Save Use"/>
    <x v="4"/>
    <x v="2"/>
    <n v="868"/>
    <n v="40"/>
    <n v="521"/>
    <n v="3"/>
    <s v="L"/>
    <s v="Navy"/>
    <n v="4.2"/>
    <n v="112"/>
    <d v="2025-07-12T00:00:00"/>
    <s v="RETURNED"/>
    <x v="1"/>
    <x v="0"/>
    <s v="Madhya Pradesh"/>
    <s v="Defective Item"/>
    <n v="2604"/>
    <n v="1563"/>
    <n v="1041"/>
    <x v="1"/>
  </r>
  <r>
    <x v="371"/>
    <s v="C657"/>
    <x v="235"/>
    <s v="Roadster Out National"/>
    <x v="3"/>
    <x v="1"/>
    <n v="2872"/>
    <n v="35"/>
    <n v="1867"/>
    <n v="1"/>
    <s v="XXL"/>
    <s v="Green"/>
    <n v="4.9000000000000004"/>
    <n v="215"/>
    <d v="2025-04-24T00:00:00"/>
    <s v="RETURNED"/>
    <x v="2"/>
    <x v="9"/>
    <s v="Tamil Nadu"/>
    <m/>
    <n v="2872"/>
    <n v="1867"/>
    <n v="1005"/>
    <x v="1"/>
  </r>
  <r>
    <x v="372"/>
    <s v="C614"/>
    <x v="363"/>
    <s v="Roadster Street Anyone"/>
    <x v="1"/>
    <x v="1"/>
    <n v="4146"/>
    <n v="15"/>
    <n v="3525"/>
    <n v="2"/>
    <n v="44"/>
    <s v="Pink"/>
    <n v="4.7"/>
    <n v="50"/>
    <d v="2025-07-07T00:00:00"/>
    <s v="CANCELLED"/>
    <x v="0"/>
    <x v="5"/>
    <s v="Uttar Pradesh"/>
    <m/>
    <n v="8292"/>
    <n v="7050"/>
    <n v="1242"/>
    <x v="2"/>
  </r>
  <r>
    <x v="373"/>
    <s v="C356"/>
    <x v="364"/>
    <s v="DressBerry Mean Onto"/>
    <x v="2"/>
    <x v="0"/>
    <n v="3789"/>
    <n v="25"/>
    <n v="2842"/>
    <n v="3"/>
    <s v="S"/>
    <s v="Yellow"/>
    <n v="3.7"/>
    <n v="101"/>
    <d v="2025-05-14T00:00:00"/>
    <s v="DELIVERED"/>
    <x v="0"/>
    <x v="2"/>
    <s v="Maharashtra"/>
    <m/>
    <n v="11367"/>
    <n v="8526"/>
    <n v="2841"/>
    <x v="0"/>
  </r>
  <r>
    <x v="374"/>
    <s v="C553"/>
    <x v="365"/>
    <s v="Anouk During For"/>
    <x v="7"/>
    <x v="4"/>
    <n v="3401"/>
    <n v="30"/>
    <n v="2381"/>
    <n v="1"/>
    <s v="Free Size"/>
    <s v="Black"/>
    <n v="4.0999999999999996"/>
    <n v="282"/>
    <d v="2025-05-30T00:00:00"/>
    <s v="RETURNED"/>
    <x v="2"/>
    <x v="6"/>
    <s v="West Bengal"/>
    <s v="Defective Item"/>
    <n v="3401"/>
    <n v="2381"/>
    <n v="1020"/>
    <x v="1"/>
  </r>
  <r>
    <x v="375"/>
    <s v="C513"/>
    <x v="366"/>
    <s v="HRX Various Four"/>
    <x v="4"/>
    <x v="2"/>
    <n v="4567"/>
    <n v="20"/>
    <n v="3654"/>
    <n v="3"/>
    <n v="42"/>
    <s v="Green"/>
    <n v="4.7"/>
    <n v="152"/>
    <d v="2025-06-02T00:00:00"/>
    <s v="DELIVERED"/>
    <x v="0"/>
    <x v="6"/>
    <s v="West Bengal"/>
    <m/>
    <n v="13701"/>
    <n v="10962"/>
    <n v="2739"/>
    <x v="0"/>
  </r>
  <r>
    <x v="376"/>
    <s v="C252"/>
    <x v="367"/>
    <s v="Roadster Charge East"/>
    <x v="1"/>
    <x v="1"/>
    <n v="3310"/>
    <n v="10"/>
    <n v="2979"/>
    <n v="3"/>
    <s v="-"/>
    <s v="Black"/>
    <n v="3.6"/>
    <n v="112"/>
    <d v="2025-07-16T00:00:00"/>
    <s v="RETURNED"/>
    <x v="1"/>
    <x v="8"/>
    <s v="Gujarat"/>
    <s v="Color Mismatch"/>
    <n v="9930"/>
    <n v="8937"/>
    <n v="993"/>
    <x v="1"/>
  </r>
  <r>
    <x v="377"/>
    <s v="C332"/>
    <x v="368"/>
    <s v="DressBerry Guess Before"/>
    <x v="0"/>
    <x v="0"/>
    <n v="2750"/>
    <n v="10"/>
    <n v="2475"/>
    <n v="3"/>
    <s v="XXL"/>
    <s v="Brown"/>
    <n v="3.8"/>
    <n v="127"/>
    <d v="2025-06-26T00:00:00"/>
    <s v="CANCELLED"/>
    <x v="2"/>
    <x v="5"/>
    <s v="Uttar Pradesh"/>
    <m/>
    <n v="8250"/>
    <n v="7425"/>
    <n v="825"/>
    <x v="2"/>
  </r>
  <r>
    <x v="378"/>
    <s v="C539"/>
    <x v="369"/>
    <s v="DressBerry Imagine Interview"/>
    <x v="0"/>
    <x v="0"/>
    <n v="2927"/>
    <n v="15"/>
    <n v="2488"/>
    <n v="1"/>
    <n v="44"/>
    <s v="White"/>
    <n v="4.3"/>
    <n v="230"/>
    <d v="2025-04-27T00:00:00"/>
    <s v="DELIVERED"/>
    <x v="0"/>
    <x v="0"/>
    <s v="Madhya Pradesh"/>
    <m/>
    <n v="2927"/>
    <n v="2488"/>
    <n v="439"/>
    <x v="0"/>
  </r>
  <r>
    <x v="379"/>
    <s v="C475"/>
    <x v="370"/>
    <s v="Roadster Least Also"/>
    <x v="6"/>
    <x v="1"/>
    <n v="2233"/>
    <n v="10"/>
    <n v="2010"/>
    <n v="1"/>
    <s v="XXL"/>
    <s v="Black"/>
    <n v="4"/>
    <n v="233"/>
    <d v="2025-05-10T00:00:00"/>
    <s v="DELIVERED"/>
    <x v="2"/>
    <x v="8"/>
    <s v="Gujarat"/>
    <m/>
    <n v="2233"/>
    <n v="2010"/>
    <n v="223"/>
    <x v="0"/>
  </r>
  <r>
    <x v="380"/>
    <s v="C511"/>
    <x v="371"/>
    <s v="Roadster Wear Make"/>
    <x v="6"/>
    <x v="1"/>
    <n v="3734"/>
    <n v="10"/>
    <n v="3361"/>
    <n v="1"/>
    <n v="44"/>
    <s v="Grey"/>
    <n v="4.4000000000000004"/>
    <n v="215"/>
    <d v="2025-05-06T00:00:00"/>
    <s v="RETURNED"/>
    <x v="1"/>
    <x v="2"/>
    <s v="Maharashtra"/>
    <s v="Size Issue"/>
    <n v="3734"/>
    <n v="3361"/>
    <n v="373"/>
    <x v="1"/>
  </r>
  <r>
    <x v="381"/>
    <s v="C421"/>
    <x v="372"/>
    <s v="Roadster Police Help"/>
    <x v="1"/>
    <x v="1"/>
    <n v="3222"/>
    <n v="40"/>
    <n v="1934"/>
    <n v="1"/>
    <n v="44"/>
    <s v="Blue"/>
    <n v="5"/>
    <n v="26"/>
    <d v="2025-07-03T00:00:00"/>
    <s v="RETURNED"/>
    <x v="2"/>
    <x v="0"/>
    <s v="Madhya Pradesh"/>
    <s v="Late Delivery"/>
    <n v="3222"/>
    <n v="1934"/>
    <n v="1288"/>
    <x v="1"/>
  </r>
  <r>
    <x v="382"/>
    <s v="C315"/>
    <x v="373"/>
    <s v="Mast &amp; Harbour Star Store"/>
    <x v="9"/>
    <x v="5"/>
    <n v="1794"/>
    <n v="40"/>
    <n v="1077"/>
    <n v="2"/>
    <s v="M"/>
    <s v="Brown"/>
    <n v="4.3"/>
    <n v="71"/>
    <d v="2025-05-21T00:00:00"/>
    <s v="CANCELLED"/>
    <x v="0"/>
    <x v="1"/>
    <s v="Karnataka"/>
    <m/>
    <n v="3588"/>
    <n v="2154"/>
    <n v="1434"/>
    <x v="2"/>
  </r>
  <r>
    <x v="383"/>
    <s v="C617"/>
    <x v="374"/>
    <s v="Roadster Position Great"/>
    <x v="3"/>
    <x v="1"/>
    <n v="1336"/>
    <n v="35"/>
    <n v="869"/>
    <n v="3"/>
    <s v="XL"/>
    <s v="Pink"/>
    <n v="4.2"/>
    <n v="74"/>
    <d v="2025-06-17T00:00:00"/>
    <s v="RETURNED"/>
    <x v="0"/>
    <x v="5"/>
    <s v="Uttar Pradesh"/>
    <s v="Color Mismatch"/>
    <n v="4008"/>
    <n v="2607"/>
    <n v="1401"/>
    <x v="1"/>
  </r>
  <r>
    <x v="384"/>
    <s v="C336"/>
    <x v="375"/>
    <s v="DressBerry Develop Capital"/>
    <x v="0"/>
    <x v="0"/>
    <n v="1272"/>
    <n v="15"/>
    <n v="1082"/>
    <n v="3"/>
    <n v="44"/>
    <s v="Pink"/>
    <n v="4"/>
    <n v="281"/>
    <d v="2025-05-04T00:00:00"/>
    <s v="DELIVERED"/>
    <x v="0"/>
    <x v="2"/>
    <s v="Maharashtra"/>
    <m/>
    <n v="3816"/>
    <n v="3246"/>
    <n v="570"/>
    <x v="0"/>
  </r>
  <r>
    <x v="385"/>
    <s v="C635"/>
    <x v="376"/>
    <s v="Roadster Occur Interview"/>
    <x v="3"/>
    <x v="1"/>
    <n v="2984"/>
    <n v="15"/>
    <n v="2537"/>
    <n v="1"/>
    <n v="40"/>
    <s v="Red"/>
    <n v="4.0999999999999996"/>
    <n v="104"/>
    <d v="2025-05-07T00:00:00"/>
    <s v="CANCELLED"/>
    <x v="1"/>
    <x v="7"/>
    <s v="Telangana"/>
    <m/>
    <n v="2984"/>
    <n v="2537"/>
    <n v="447"/>
    <x v="2"/>
  </r>
  <r>
    <x v="386"/>
    <s v="C268"/>
    <x v="377"/>
    <s v="DressBerry Behavior Relate"/>
    <x v="2"/>
    <x v="0"/>
    <n v="3062"/>
    <n v="40"/>
    <n v="1838"/>
    <n v="1"/>
    <s v="XXL"/>
    <s v="Grey"/>
    <n v="3.6"/>
    <n v="76"/>
    <d v="2025-05-22T00:00:00"/>
    <s v="RETURNED"/>
    <x v="1"/>
    <x v="6"/>
    <s v="West Bengal"/>
    <m/>
    <n v="3062"/>
    <n v="1838"/>
    <n v="1224"/>
    <x v="1"/>
  </r>
  <r>
    <x v="387"/>
    <s v="C454"/>
    <x v="154"/>
    <s v="Roadster Threat It"/>
    <x v="3"/>
    <x v="1"/>
    <n v="724"/>
    <n v="35"/>
    <n v="471"/>
    <n v="1"/>
    <n v="44"/>
    <s v="Red"/>
    <n v="4.7"/>
    <n v="130"/>
    <d v="2025-07-11T00:00:00"/>
    <s v="RETURNED"/>
    <x v="2"/>
    <x v="7"/>
    <s v="Telangana"/>
    <s v="Size Issue"/>
    <n v="724"/>
    <n v="471"/>
    <n v="253"/>
    <x v="1"/>
  </r>
  <r>
    <x v="388"/>
    <s v="C559"/>
    <x v="378"/>
    <s v="Anouk Under Such"/>
    <x v="7"/>
    <x v="4"/>
    <n v="3817"/>
    <n v="40"/>
    <n v="2291"/>
    <n v="2"/>
    <s v="L"/>
    <s v="Black"/>
    <n v="4.8"/>
    <n v="82"/>
    <d v="2025-04-28T00:00:00"/>
    <s v="CANCELLED"/>
    <x v="1"/>
    <x v="5"/>
    <s v="Uttar Pradesh"/>
    <m/>
    <n v="7634"/>
    <n v="4582"/>
    <n v="3052"/>
    <x v="2"/>
  </r>
  <r>
    <x v="389"/>
    <s v="C374"/>
    <x v="379"/>
    <s v="DressBerry Subject Him"/>
    <x v="2"/>
    <x v="0"/>
    <n v="1104"/>
    <n v="10"/>
    <n v="994"/>
    <n v="3"/>
    <s v="L"/>
    <s v="Navy"/>
    <n v="3.8"/>
    <n v="146"/>
    <d v="2025-05-25T00:00:00"/>
    <s v="CANCELLED"/>
    <x v="2"/>
    <x v="9"/>
    <s v="Tamil Nadu"/>
    <m/>
    <n v="3312"/>
    <n v="2982"/>
    <n v="330"/>
    <x v="2"/>
  </r>
  <r>
    <x v="390"/>
    <s v="C510"/>
    <x v="61"/>
    <s v="Anouk Imagine Day"/>
    <x v="7"/>
    <x v="4"/>
    <n v="1669"/>
    <n v="40"/>
    <n v="1002"/>
    <n v="1"/>
    <s v="-"/>
    <s v="Navy"/>
    <n v="4.9000000000000004"/>
    <n v="52"/>
    <d v="2025-05-03T00:00:00"/>
    <s v="DELIVERED"/>
    <x v="0"/>
    <x v="3"/>
    <s v="Rajasthan"/>
    <m/>
    <n v="1669"/>
    <n v="1002"/>
    <n v="667"/>
    <x v="0"/>
  </r>
  <r>
    <x v="391"/>
    <s v="C457"/>
    <x v="380"/>
    <s v="Anouk Will International"/>
    <x v="7"/>
    <x v="4"/>
    <n v="3651"/>
    <n v="40"/>
    <n v="2191"/>
    <n v="3"/>
    <n v="42"/>
    <s v="Yellow"/>
    <n v="4.7"/>
    <n v="231"/>
    <d v="2025-07-01T00:00:00"/>
    <s v="CANCELLED"/>
    <x v="0"/>
    <x v="1"/>
    <s v="Karnataka"/>
    <m/>
    <n v="10953"/>
    <n v="6573"/>
    <n v="4380"/>
    <x v="2"/>
  </r>
  <r>
    <x v="392"/>
    <s v="C493"/>
    <x v="143"/>
    <s v="DressBerry Realize Phone"/>
    <x v="2"/>
    <x v="0"/>
    <n v="2068"/>
    <n v="40"/>
    <n v="1241"/>
    <n v="2"/>
    <s v="M"/>
    <s v="Green"/>
    <n v="3.5"/>
    <n v="112"/>
    <d v="2025-05-23T00:00:00"/>
    <s v="DELIVERED"/>
    <x v="1"/>
    <x v="1"/>
    <s v="Karnataka"/>
    <m/>
    <n v="4136"/>
    <n v="2482"/>
    <n v="1654"/>
    <x v="0"/>
  </r>
  <r>
    <x v="393"/>
    <s v="C528"/>
    <x v="381"/>
    <s v="DressBerry Treatment Mean"/>
    <x v="2"/>
    <x v="0"/>
    <n v="2298"/>
    <n v="35"/>
    <n v="1494"/>
    <n v="3"/>
    <s v="M"/>
    <s v="Green"/>
    <n v="3.8"/>
    <n v="28"/>
    <d v="2025-04-30T00:00:00"/>
    <s v="DELIVERED"/>
    <x v="1"/>
    <x v="2"/>
    <s v="Maharashtra"/>
    <m/>
    <n v="6894"/>
    <n v="4482"/>
    <n v="2412"/>
    <x v="0"/>
  </r>
  <r>
    <x v="394"/>
    <s v="C220"/>
    <x v="382"/>
    <s v="Roadster Difference He"/>
    <x v="6"/>
    <x v="1"/>
    <n v="4656"/>
    <n v="20"/>
    <n v="3725"/>
    <n v="2"/>
    <n v="42"/>
    <s v="Brown"/>
    <n v="4.5999999999999996"/>
    <n v="115"/>
    <d v="2025-05-09T00:00:00"/>
    <s v="RETURNED"/>
    <x v="2"/>
    <x v="8"/>
    <s v="Gujarat"/>
    <s v="Defective Item"/>
    <n v="9312"/>
    <n v="7450"/>
    <n v="1862"/>
    <x v="1"/>
  </r>
  <r>
    <x v="395"/>
    <s v="C693"/>
    <x v="383"/>
    <s v="HRX Operation Tv"/>
    <x v="8"/>
    <x v="2"/>
    <n v="4279"/>
    <n v="40"/>
    <n v="2568"/>
    <n v="1"/>
    <s v="XXL"/>
    <s v="White"/>
    <n v="3.6"/>
    <n v="122"/>
    <d v="2025-06-16T00:00:00"/>
    <s v="RETURNED"/>
    <x v="2"/>
    <x v="9"/>
    <s v="Tamil Nadu"/>
    <s v="Defective Item"/>
    <n v="4279"/>
    <n v="2568"/>
    <n v="1711"/>
    <x v="1"/>
  </r>
  <r>
    <x v="396"/>
    <s v="C228"/>
    <x v="384"/>
    <s v="Mast &amp; Harbour Deep Choice"/>
    <x v="9"/>
    <x v="5"/>
    <n v="1119"/>
    <n v="15"/>
    <n v="952"/>
    <n v="3"/>
    <s v="Free Size"/>
    <s v="Brown"/>
    <n v="4.8"/>
    <n v="132"/>
    <d v="2025-05-04T00:00:00"/>
    <s v="DELIVERED"/>
    <x v="0"/>
    <x v="0"/>
    <s v="Madhya Pradesh"/>
    <m/>
    <n v="3357"/>
    <n v="2856"/>
    <n v="501"/>
    <x v="0"/>
  </r>
  <r>
    <x v="397"/>
    <s v="C240"/>
    <x v="385"/>
    <s v="HRX Law Truth"/>
    <x v="8"/>
    <x v="2"/>
    <n v="3450"/>
    <n v="10"/>
    <n v="3105"/>
    <n v="3"/>
    <s v="XL"/>
    <s v="White"/>
    <n v="5"/>
    <n v="29"/>
    <d v="2025-07-19T00:00:00"/>
    <s v="DELIVERED"/>
    <x v="2"/>
    <x v="6"/>
    <s v="West Bengal"/>
    <m/>
    <n v="10350"/>
    <n v="9315"/>
    <n v="1035"/>
    <x v="0"/>
  </r>
  <r>
    <x v="398"/>
    <s v="C259"/>
    <x v="386"/>
    <s v="WROGN Worry War"/>
    <x v="5"/>
    <x v="3"/>
    <n v="4054"/>
    <n v="10"/>
    <n v="3649"/>
    <n v="3"/>
    <s v="L"/>
    <s v="Navy"/>
    <n v="4.9000000000000004"/>
    <n v="92"/>
    <d v="2025-06-27T00:00:00"/>
    <s v="RETURNED"/>
    <x v="0"/>
    <x v="6"/>
    <s v="West Bengal"/>
    <s v="Size Issue"/>
    <n v="12162"/>
    <n v="10947"/>
    <n v="1215"/>
    <x v="1"/>
  </r>
  <r>
    <x v="399"/>
    <s v="C537"/>
    <x v="387"/>
    <s v="Mast &amp; Harbour Yourself End"/>
    <x v="9"/>
    <x v="5"/>
    <n v="4586"/>
    <n v="10"/>
    <n v="4128"/>
    <n v="2"/>
    <n v="42"/>
    <s v="Blue"/>
    <n v="4.5"/>
    <n v="239"/>
    <d v="2025-07-10T00:00:00"/>
    <s v="DELIVERED"/>
    <x v="0"/>
    <x v="0"/>
    <s v="Madhya Pradesh"/>
    <m/>
    <n v="9172"/>
    <n v="8256"/>
    <n v="916"/>
    <x v="0"/>
  </r>
  <r>
    <x v="400"/>
    <s v="C637"/>
    <x v="388"/>
    <s v="HRX Sure Wear"/>
    <x v="4"/>
    <x v="2"/>
    <n v="1578"/>
    <n v="10"/>
    <n v="1421"/>
    <n v="2"/>
    <n v="44"/>
    <s v="Red"/>
    <n v="3.7"/>
    <n v="38"/>
    <d v="2025-04-26T00:00:00"/>
    <s v="CANCELLED"/>
    <x v="0"/>
    <x v="3"/>
    <s v="Rajasthan"/>
    <m/>
    <n v="3156"/>
    <n v="2842"/>
    <n v="314"/>
    <x v="2"/>
  </r>
  <r>
    <x v="401"/>
    <s v="C305"/>
    <x v="389"/>
    <s v="DressBerry Color Spring"/>
    <x v="2"/>
    <x v="0"/>
    <n v="3118"/>
    <n v="20"/>
    <n v="2495"/>
    <n v="2"/>
    <s v="XXL"/>
    <s v="White"/>
    <n v="4.2"/>
    <n v="186"/>
    <d v="2025-07-02T00:00:00"/>
    <s v="CANCELLED"/>
    <x v="2"/>
    <x v="9"/>
    <s v="Tamil Nadu"/>
    <m/>
    <n v="6236"/>
    <n v="4990"/>
    <n v="1246"/>
    <x v="2"/>
  </r>
  <r>
    <x v="402"/>
    <s v="C444"/>
    <x v="390"/>
    <s v="Roadster Involve Hot"/>
    <x v="3"/>
    <x v="1"/>
    <n v="3792"/>
    <n v="30"/>
    <n v="2655"/>
    <n v="3"/>
    <s v="L"/>
    <s v="Pink"/>
    <n v="4.7"/>
    <n v="133"/>
    <d v="2025-05-05T00:00:00"/>
    <s v="DELIVERED"/>
    <x v="1"/>
    <x v="0"/>
    <s v="Madhya Pradesh"/>
    <m/>
    <n v="11376"/>
    <n v="7965"/>
    <n v="3411"/>
    <x v="0"/>
  </r>
  <r>
    <x v="403"/>
    <s v="C470"/>
    <x v="391"/>
    <s v="Roadster Allow Stuff"/>
    <x v="3"/>
    <x v="1"/>
    <n v="4550"/>
    <n v="40"/>
    <n v="2730"/>
    <n v="3"/>
    <s v="-"/>
    <s v="Black"/>
    <n v="3.5"/>
    <n v="252"/>
    <d v="2025-05-09T00:00:00"/>
    <s v="RETURNED"/>
    <x v="2"/>
    <x v="9"/>
    <s v="Tamil Nadu"/>
    <m/>
    <n v="13650"/>
    <n v="8190"/>
    <n v="5460"/>
    <x v="1"/>
  </r>
  <r>
    <x v="404"/>
    <s v="C338"/>
    <x v="392"/>
    <s v="WROGN Sort Discover"/>
    <x v="5"/>
    <x v="3"/>
    <n v="1729"/>
    <n v="20"/>
    <n v="1384"/>
    <n v="2"/>
    <n v="44"/>
    <s v="White"/>
    <n v="4.0999999999999996"/>
    <n v="37"/>
    <d v="2025-06-10T00:00:00"/>
    <s v="DELIVERED"/>
    <x v="1"/>
    <x v="3"/>
    <s v="Rajasthan"/>
    <m/>
    <n v="3458"/>
    <n v="2768"/>
    <n v="690"/>
    <x v="0"/>
  </r>
  <r>
    <x v="405"/>
    <s v="C248"/>
    <x v="393"/>
    <s v="Roadster Example Model"/>
    <x v="6"/>
    <x v="1"/>
    <n v="1792"/>
    <n v="25"/>
    <n v="1344"/>
    <n v="2"/>
    <s v="-"/>
    <s v="Blue"/>
    <n v="4.5"/>
    <n v="141"/>
    <d v="2025-05-22T00:00:00"/>
    <s v="RETURNED"/>
    <x v="1"/>
    <x v="9"/>
    <s v="Tamil Nadu"/>
    <s v="Defective Item"/>
    <n v="3584"/>
    <n v="2688"/>
    <n v="896"/>
    <x v="1"/>
  </r>
  <r>
    <x v="406"/>
    <s v="C364"/>
    <x v="394"/>
    <s v="DressBerry Hundred Energy"/>
    <x v="2"/>
    <x v="0"/>
    <n v="2430"/>
    <n v="35"/>
    <n v="1580"/>
    <n v="1"/>
    <s v="L"/>
    <s v="Grey"/>
    <n v="3.7"/>
    <n v="221"/>
    <d v="2025-05-18T00:00:00"/>
    <s v="RETURNED"/>
    <x v="1"/>
    <x v="1"/>
    <s v="Karnataka"/>
    <s v="Size Issue"/>
    <n v="2430"/>
    <n v="1580"/>
    <n v="850"/>
    <x v="1"/>
  </r>
  <r>
    <x v="407"/>
    <s v="C285"/>
    <x v="395"/>
    <s v="Roadster Firm Line"/>
    <x v="1"/>
    <x v="1"/>
    <n v="4647"/>
    <n v="40"/>
    <n v="2789"/>
    <n v="2"/>
    <n v="44"/>
    <s v="Yellow"/>
    <n v="4.2"/>
    <n v="267"/>
    <d v="2025-06-17T00:00:00"/>
    <s v="DELIVERED"/>
    <x v="0"/>
    <x v="4"/>
    <s v="Delhi"/>
    <m/>
    <n v="9294"/>
    <n v="5578"/>
    <n v="3716"/>
    <x v="0"/>
  </r>
  <r>
    <x v="408"/>
    <s v="C698"/>
    <x v="396"/>
    <s v="HRX National Whose"/>
    <x v="4"/>
    <x v="2"/>
    <n v="4486"/>
    <n v="20"/>
    <n v="3589"/>
    <n v="1"/>
    <n v="44"/>
    <s v="Black"/>
    <n v="4.9000000000000004"/>
    <n v="63"/>
    <d v="2025-06-15T00:00:00"/>
    <s v="DELIVERED"/>
    <x v="1"/>
    <x v="8"/>
    <s v="Gujarat"/>
    <m/>
    <n v="4486"/>
    <n v="3589"/>
    <n v="897"/>
    <x v="0"/>
  </r>
  <r>
    <x v="409"/>
    <s v="C447"/>
    <x v="397"/>
    <s v="Roadster Bank Admit"/>
    <x v="6"/>
    <x v="1"/>
    <n v="3126"/>
    <n v="10"/>
    <n v="2814"/>
    <n v="3"/>
    <s v="XXL"/>
    <s v="White"/>
    <n v="3.7"/>
    <n v="15"/>
    <d v="2025-06-29T00:00:00"/>
    <s v="DELIVERED"/>
    <x v="0"/>
    <x v="6"/>
    <s v="West Bengal"/>
    <m/>
    <n v="9378"/>
    <n v="8442"/>
    <n v="936"/>
    <x v="0"/>
  </r>
  <r>
    <x v="410"/>
    <s v="C561"/>
    <x v="398"/>
    <s v="Roadster Early Professor"/>
    <x v="1"/>
    <x v="1"/>
    <n v="1404"/>
    <n v="10"/>
    <n v="1264"/>
    <n v="1"/>
    <n v="44"/>
    <s v="Green"/>
    <n v="3.7"/>
    <n v="239"/>
    <d v="2025-05-14T00:00:00"/>
    <s v="RETURNED"/>
    <x v="0"/>
    <x v="3"/>
    <s v="Rajasthan"/>
    <s v="Size Issue"/>
    <n v="1404"/>
    <n v="1264"/>
    <n v="140"/>
    <x v="1"/>
  </r>
  <r>
    <x v="411"/>
    <s v="C201"/>
    <x v="399"/>
    <s v="Roadster Arm Check"/>
    <x v="3"/>
    <x v="1"/>
    <n v="4075"/>
    <n v="10"/>
    <n v="3668"/>
    <n v="3"/>
    <s v="S"/>
    <s v="Red"/>
    <n v="4.2"/>
    <n v="170"/>
    <d v="2025-05-25T00:00:00"/>
    <s v="DELIVERED"/>
    <x v="1"/>
    <x v="5"/>
    <s v="Uttar Pradesh"/>
    <m/>
    <n v="12225"/>
    <n v="11004"/>
    <n v="1221"/>
    <x v="0"/>
  </r>
  <r>
    <x v="412"/>
    <s v="C509"/>
    <x v="400"/>
    <s v="DressBerry Task Common"/>
    <x v="2"/>
    <x v="0"/>
    <n v="1014"/>
    <n v="20"/>
    <n v="812"/>
    <n v="2"/>
    <s v="L"/>
    <s v="White"/>
    <n v="3.7"/>
    <n v="12"/>
    <d v="2025-06-19T00:00:00"/>
    <s v="CANCELLED"/>
    <x v="1"/>
    <x v="2"/>
    <s v="Maharashtra"/>
    <m/>
    <n v="2028"/>
    <n v="1624"/>
    <n v="404"/>
    <x v="2"/>
  </r>
  <r>
    <x v="413"/>
    <s v="C561"/>
    <x v="401"/>
    <s v="WROGN Represent Return"/>
    <x v="5"/>
    <x v="3"/>
    <n v="2286"/>
    <n v="10"/>
    <n v="2058"/>
    <n v="3"/>
    <s v="XXL"/>
    <s v="Blue"/>
    <n v="4.8"/>
    <n v="269"/>
    <d v="2025-06-30T00:00:00"/>
    <s v="CANCELLED"/>
    <x v="0"/>
    <x v="1"/>
    <s v="Karnataka"/>
    <m/>
    <n v="6858"/>
    <n v="6174"/>
    <n v="684"/>
    <x v="2"/>
  </r>
  <r>
    <x v="414"/>
    <s v="C240"/>
    <x v="402"/>
    <s v="Roadster Forget Issue"/>
    <x v="6"/>
    <x v="1"/>
    <n v="1508"/>
    <n v="35"/>
    <n v="981"/>
    <n v="2"/>
    <s v="S"/>
    <s v="Blue"/>
    <n v="4.8"/>
    <n v="142"/>
    <d v="2025-05-22T00:00:00"/>
    <s v="DELIVERED"/>
    <x v="2"/>
    <x v="8"/>
    <s v="Gujarat"/>
    <m/>
    <n v="3016"/>
    <n v="1962"/>
    <n v="1054"/>
    <x v="0"/>
  </r>
  <r>
    <x v="415"/>
    <s v="C515"/>
    <x v="403"/>
    <s v="HRX Find Worry"/>
    <x v="4"/>
    <x v="2"/>
    <n v="1716"/>
    <n v="35"/>
    <n v="1116"/>
    <n v="1"/>
    <s v="M"/>
    <s v="Yellow"/>
    <n v="4.9000000000000004"/>
    <n v="272"/>
    <d v="2025-05-14T00:00:00"/>
    <s v="CANCELLED"/>
    <x v="2"/>
    <x v="7"/>
    <s v="Telangana"/>
    <m/>
    <n v="1716"/>
    <n v="1116"/>
    <n v="600"/>
    <x v="2"/>
  </r>
  <r>
    <x v="416"/>
    <s v="C273"/>
    <x v="404"/>
    <s v="DressBerry Word I"/>
    <x v="0"/>
    <x v="0"/>
    <n v="789"/>
    <n v="20"/>
    <n v="632"/>
    <n v="3"/>
    <s v="S"/>
    <s v="Yellow"/>
    <n v="4.8"/>
    <n v="35"/>
    <d v="2025-05-26T00:00:00"/>
    <s v="DELIVERED"/>
    <x v="2"/>
    <x v="1"/>
    <s v="Karnataka"/>
    <m/>
    <n v="2367"/>
    <n v="1896"/>
    <n v="471"/>
    <x v="0"/>
  </r>
  <r>
    <x v="417"/>
    <s v="C435"/>
    <x v="405"/>
    <s v="Anouk From Decade"/>
    <x v="7"/>
    <x v="4"/>
    <n v="1627"/>
    <n v="10"/>
    <n v="1465"/>
    <n v="3"/>
    <s v="M"/>
    <s v="Blue"/>
    <n v="3.6"/>
    <n v="216"/>
    <d v="2025-07-14T00:00:00"/>
    <s v="RETURNED"/>
    <x v="2"/>
    <x v="6"/>
    <s v="West Bengal"/>
    <m/>
    <n v="4881"/>
    <n v="4395"/>
    <n v="486"/>
    <x v="1"/>
  </r>
  <r>
    <x v="418"/>
    <s v="C457"/>
    <x v="406"/>
    <s v="DressBerry Like Provide"/>
    <x v="0"/>
    <x v="0"/>
    <n v="3925"/>
    <n v="40"/>
    <n v="2355"/>
    <n v="1"/>
    <s v="S"/>
    <s v="Blue"/>
    <n v="4"/>
    <n v="257"/>
    <d v="2025-06-16T00:00:00"/>
    <s v="CANCELLED"/>
    <x v="2"/>
    <x v="6"/>
    <s v="West Bengal"/>
    <m/>
    <n v="3925"/>
    <n v="2355"/>
    <n v="1570"/>
    <x v="2"/>
  </r>
  <r>
    <x v="419"/>
    <s v="C405"/>
    <x v="407"/>
    <s v="Roadster Across Fund"/>
    <x v="1"/>
    <x v="1"/>
    <n v="1736"/>
    <n v="15"/>
    <n v="1476"/>
    <n v="2"/>
    <s v="-"/>
    <s v="Brown"/>
    <n v="4.7"/>
    <n v="33"/>
    <d v="2025-06-17T00:00:00"/>
    <s v="CANCELLED"/>
    <x v="2"/>
    <x v="2"/>
    <s v="Maharashtra"/>
    <m/>
    <n v="3472"/>
    <n v="2952"/>
    <n v="520"/>
    <x v="2"/>
  </r>
  <r>
    <x v="420"/>
    <s v="C282"/>
    <x v="408"/>
    <s v="HRX Again Foot"/>
    <x v="8"/>
    <x v="2"/>
    <n v="3837"/>
    <n v="25"/>
    <n v="2878"/>
    <n v="1"/>
    <n v="44"/>
    <s v="Blue"/>
    <n v="3.8"/>
    <n v="25"/>
    <d v="2025-06-11T00:00:00"/>
    <s v="RETURNED"/>
    <x v="1"/>
    <x v="6"/>
    <s v="West Bengal"/>
    <s v="Size Issue"/>
    <n v="3837"/>
    <n v="2878"/>
    <n v="959"/>
    <x v="1"/>
  </r>
  <r>
    <x v="421"/>
    <s v="C341"/>
    <x v="409"/>
    <s v="HRX Case Road"/>
    <x v="8"/>
    <x v="2"/>
    <n v="4027"/>
    <n v="35"/>
    <n v="2618"/>
    <n v="2"/>
    <n v="42"/>
    <s v="Navy"/>
    <n v="4.0999999999999996"/>
    <n v="260"/>
    <d v="2025-07-07T00:00:00"/>
    <s v="CANCELLED"/>
    <x v="2"/>
    <x v="8"/>
    <s v="Gujarat"/>
    <m/>
    <n v="8054"/>
    <n v="5236"/>
    <n v="2818"/>
    <x v="2"/>
  </r>
  <r>
    <x v="422"/>
    <s v="C635"/>
    <x v="410"/>
    <s v="HRX Team Quite"/>
    <x v="4"/>
    <x v="2"/>
    <n v="3991"/>
    <n v="35"/>
    <n v="2595"/>
    <n v="2"/>
    <s v="XL"/>
    <s v="Pink"/>
    <n v="3.6"/>
    <n v="178"/>
    <d v="2025-07-15T00:00:00"/>
    <s v="CANCELLED"/>
    <x v="2"/>
    <x v="8"/>
    <s v="Gujarat"/>
    <m/>
    <n v="7982"/>
    <n v="5190"/>
    <n v="2792"/>
    <x v="2"/>
  </r>
  <r>
    <x v="423"/>
    <s v="C446"/>
    <x v="411"/>
    <s v="HRX Rule Entire"/>
    <x v="8"/>
    <x v="2"/>
    <n v="2956"/>
    <n v="40"/>
    <n v="1774"/>
    <n v="2"/>
    <s v="-"/>
    <s v="Grey"/>
    <n v="3.8"/>
    <n v="65"/>
    <d v="2025-05-16T00:00:00"/>
    <s v="CANCELLED"/>
    <x v="2"/>
    <x v="5"/>
    <s v="Uttar Pradesh"/>
    <m/>
    <n v="5912"/>
    <n v="3548"/>
    <n v="2364"/>
    <x v="2"/>
  </r>
  <r>
    <x v="424"/>
    <s v="C321"/>
    <x v="412"/>
    <s v="WROGN Among Dinner"/>
    <x v="5"/>
    <x v="3"/>
    <n v="1835"/>
    <n v="25"/>
    <n v="1377"/>
    <n v="2"/>
    <s v="XL"/>
    <s v="Yellow"/>
    <n v="5"/>
    <n v="191"/>
    <d v="2025-07-01T00:00:00"/>
    <s v="RETURNED"/>
    <x v="2"/>
    <x v="6"/>
    <s v="West Bengal"/>
    <s v="Color Mismatch"/>
    <n v="3670"/>
    <n v="2754"/>
    <n v="916"/>
    <x v="1"/>
  </r>
  <r>
    <x v="425"/>
    <s v="C617"/>
    <x v="413"/>
    <s v="Roadster Indicate Voice"/>
    <x v="3"/>
    <x v="1"/>
    <n v="4106"/>
    <n v="20"/>
    <n v="3285"/>
    <n v="1"/>
    <s v="XL"/>
    <s v="Blue"/>
    <n v="4.5999999999999996"/>
    <n v="248"/>
    <d v="2025-07-13T00:00:00"/>
    <s v="DELIVERED"/>
    <x v="2"/>
    <x v="6"/>
    <s v="West Bengal"/>
    <m/>
    <n v="4106"/>
    <n v="3285"/>
    <n v="821"/>
    <x v="0"/>
  </r>
  <r>
    <x v="426"/>
    <s v="C474"/>
    <x v="414"/>
    <s v="Anouk Later Collection"/>
    <x v="7"/>
    <x v="4"/>
    <n v="3411"/>
    <n v="30"/>
    <n v="2388"/>
    <n v="1"/>
    <s v="-"/>
    <s v="Blue"/>
    <n v="3.9"/>
    <n v="208"/>
    <d v="2025-05-26T00:00:00"/>
    <s v="DELIVERED"/>
    <x v="0"/>
    <x v="7"/>
    <s v="Telangana"/>
    <m/>
    <n v="3411"/>
    <n v="2388"/>
    <n v="1023"/>
    <x v="0"/>
  </r>
  <r>
    <x v="427"/>
    <s v="C263"/>
    <x v="415"/>
    <s v="DressBerry Ever Usually"/>
    <x v="0"/>
    <x v="0"/>
    <n v="1561"/>
    <n v="30"/>
    <n v="1093"/>
    <n v="1"/>
    <n v="42"/>
    <s v="Grey"/>
    <n v="5"/>
    <n v="220"/>
    <d v="2025-04-26T00:00:00"/>
    <s v="RETURNED"/>
    <x v="1"/>
    <x v="4"/>
    <s v="Delhi"/>
    <s v="Color Mismatch"/>
    <n v="1561"/>
    <n v="1093"/>
    <n v="468"/>
    <x v="1"/>
  </r>
  <r>
    <x v="428"/>
    <s v="C268"/>
    <x v="416"/>
    <s v="WROGN Weight Financial"/>
    <x v="5"/>
    <x v="3"/>
    <n v="1926"/>
    <n v="10"/>
    <n v="1734"/>
    <n v="2"/>
    <s v="S"/>
    <s v="Grey"/>
    <n v="3.7"/>
    <n v="242"/>
    <d v="2025-05-06T00:00:00"/>
    <s v="CANCELLED"/>
    <x v="0"/>
    <x v="8"/>
    <s v="Gujarat"/>
    <m/>
    <n v="3852"/>
    <n v="3468"/>
    <n v="384"/>
    <x v="2"/>
  </r>
  <r>
    <x v="429"/>
    <s v="C300"/>
    <x v="417"/>
    <s v="Roadster Young Raise"/>
    <x v="3"/>
    <x v="1"/>
    <n v="1371"/>
    <n v="40"/>
    <n v="823"/>
    <n v="2"/>
    <s v="XL"/>
    <s v="Grey"/>
    <n v="4.9000000000000004"/>
    <n v="97"/>
    <d v="2025-05-31T00:00:00"/>
    <s v="DELIVERED"/>
    <x v="2"/>
    <x v="5"/>
    <s v="Uttar Pradesh"/>
    <m/>
    <n v="2742"/>
    <n v="1646"/>
    <n v="1096"/>
    <x v="0"/>
  </r>
  <r>
    <x v="430"/>
    <s v="C686"/>
    <x v="418"/>
    <s v="Roadster Growth World"/>
    <x v="1"/>
    <x v="1"/>
    <n v="1892"/>
    <n v="25"/>
    <n v="1419"/>
    <n v="2"/>
    <s v="L"/>
    <s v="Blue"/>
    <n v="3.9"/>
    <n v="131"/>
    <d v="2025-06-15T00:00:00"/>
    <s v="CANCELLED"/>
    <x v="0"/>
    <x v="2"/>
    <s v="Maharashtra"/>
    <m/>
    <n v="3784"/>
    <n v="2838"/>
    <n v="946"/>
    <x v="2"/>
  </r>
  <r>
    <x v="431"/>
    <s v="C440"/>
    <x v="419"/>
    <s v="DressBerry Us Up"/>
    <x v="0"/>
    <x v="0"/>
    <n v="4316"/>
    <n v="40"/>
    <n v="2590"/>
    <n v="1"/>
    <s v="M"/>
    <s v="White"/>
    <n v="3.5"/>
    <n v="240"/>
    <d v="2025-07-06T00:00:00"/>
    <s v="RETURNED"/>
    <x v="2"/>
    <x v="5"/>
    <s v="Uttar Pradesh"/>
    <s v="Size Issue"/>
    <n v="4316"/>
    <n v="2590"/>
    <n v="1726"/>
    <x v="1"/>
  </r>
  <r>
    <x v="432"/>
    <s v="C658"/>
    <x v="420"/>
    <s v="DressBerry Inside Sea"/>
    <x v="0"/>
    <x v="0"/>
    <n v="2914"/>
    <n v="25"/>
    <n v="2186"/>
    <n v="2"/>
    <s v="Free Size"/>
    <s v="Brown"/>
    <n v="4.5"/>
    <n v="107"/>
    <d v="2025-05-15T00:00:00"/>
    <s v="DELIVERED"/>
    <x v="0"/>
    <x v="0"/>
    <s v="Madhya Pradesh"/>
    <m/>
    <n v="5828"/>
    <n v="4372"/>
    <n v="1456"/>
    <x v="0"/>
  </r>
  <r>
    <x v="433"/>
    <s v="C665"/>
    <x v="421"/>
    <s v="HRX Society Mother"/>
    <x v="8"/>
    <x v="2"/>
    <n v="2434"/>
    <n v="30"/>
    <n v="1704"/>
    <n v="1"/>
    <s v="XL"/>
    <s v="Yellow"/>
    <n v="4.3"/>
    <n v="204"/>
    <d v="2025-05-04T00:00:00"/>
    <s v="DELIVERED"/>
    <x v="0"/>
    <x v="5"/>
    <s v="Uttar Pradesh"/>
    <m/>
    <n v="2434"/>
    <n v="1704"/>
    <n v="730"/>
    <x v="0"/>
  </r>
  <r>
    <x v="434"/>
    <s v="C492"/>
    <x v="422"/>
    <s v="HRX Feel Million"/>
    <x v="4"/>
    <x v="2"/>
    <n v="1180"/>
    <n v="20"/>
    <n v="944"/>
    <n v="1"/>
    <s v="L"/>
    <s v="Red"/>
    <n v="4.3"/>
    <n v="231"/>
    <d v="2025-06-30T00:00:00"/>
    <s v="CANCELLED"/>
    <x v="1"/>
    <x v="3"/>
    <s v="Rajasthan"/>
    <m/>
    <n v="1180"/>
    <n v="944"/>
    <n v="236"/>
    <x v="2"/>
  </r>
  <r>
    <x v="435"/>
    <s v="C476"/>
    <x v="423"/>
    <s v="Roadster Single Time"/>
    <x v="1"/>
    <x v="1"/>
    <n v="3465"/>
    <n v="10"/>
    <n v="3119"/>
    <n v="3"/>
    <s v="Free Size"/>
    <s v="Pink"/>
    <n v="3.9"/>
    <n v="257"/>
    <d v="2025-07-05T00:00:00"/>
    <s v="DELIVERED"/>
    <x v="0"/>
    <x v="2"/>
    <s v="Maharashtra"/>
    <m/>
    <n v="10395"/>
    <n v="9357"/>
    <n v="1038"/>
    <x v="0"/>
  </r>
  <r>
    <x v="436"/>
    <s v="C344"/>
    <x v="424"/>
    <s v="Mast &amp; Harbour Interview Into"/>
    <x v="9"/>
    <x v="5"/>
    <n v="1947"/>
    <n v="40"/>
    <n v="1169"/>
    <n v="2"/>
    <n v="44"/>
    <s v="Brown"/>
    <n v="3.8"/>
    <n v="45"/>
    <d v="2025-06-10T00:00:00"/>
    <s v="DELIVERED"/>
    <x v="0"/>
    <x v="6"/>
    <s v="West Bengal"/>
    <m/>
    <n v="3894"/>
    <n v="2338"/>
    <n v="1556"/>
    <x v="0"/>
  </r>
  <r>
    <x v="437"/>
    <s v="C275"/>
    <x v="425"/>
    <s v="HRX Gun Fight"/>
    <x v="4"/>
    <x v="2"/>
    <n v="3975"/>
    <n v="35"/>
    <n v="2584"/>
    <n v="3"/>
    <s v="XL"/>
    <s v="Pink"/>
    <n v="4"/>
    <n v="112"/>
    <d v="2025-07-02T00:00:00"/>
    <s v="RETURNED"/>
    <x v="1"/>
    <x v="0"/>
    <s v="Madhya Pradesh"/>
    <s v="Color Mismatch"/>
    <n v="11925"/>
    <n v="7752"/>
    <n v="4173"/>
    <x v="1"/>
  </r>
  <r>
    <x v="438"/>
    <s v="C693"/>
    <x v="426"/>
    <s v="Roadster Manager Bit"/>
    <x v="1"/>
    <x v="1"/>
    <n v="1355"/>
    <n v="15"/>
    <n v="1152"/>
    <n v="2"/>
    <n v="40"/>
    <s v="Green"/>
    <n v="4.9000000000000004"/>
    <n v="114"/>
    <d v="2025-05-27T00:00:00"/>
    <s v="CANCELLED"/>
    <x v="2"/>
    <x v="5"/>
    <s v="Uttar Pradesh"/>
    <m/>
    <n v="2710"/>
    <n v="2304"/>
    <n v="406"/>
    <x v="2"/>
  </r>
  <r>
    <x v="439"/>
    <s v="C475"/>
    <x v="427"/>
    <s v="Anouk Several Oil"/>
    <x v="7"/>
    <x v="4"/>
    <n v="3420"/>
    <n v="40"/>
    <n v="2052"/>
    <n v="1"/>
    <s v="M"/>
    <s v="Green"/>
    <n v="5"/>
    <n v="132"/>
    <d v="2025-05-02T00:00:00"/>
    <s v="DELIVERED"/>
    <x v="1"/>
    <x v="5"/>
    <s v="Uttar Pradesh"/>
    <m/>
    <n v="3420"/>
    <n v="2052"/>
    <n v="1368"/>
    <x v="0"/>
  </r>
  <r>
    <x v="440"/>
    <s v="C495"/>
    <x v="428"/>
    <s v="Mast &amp; Harbour Perhaps Society"/>
    <x v="9"/>
    <x v="5"/>
    <n v="1600"/>
    <n v="15"/>
    <n v="1360"/>
    <n v="2"/>
    <n v="42"/>
    <s v="Yellow"/>
    <n v="5"/>
    <n v="83"/>
    <d v="2025-07-15T00:00:00"/>
    <s v="DELIVERED"/>
    <x v="1"/>
    <x v="2"/>
    <s v="Maharashtra"/>
    <m/>
    <n v="3200"/>
    <n v="2720"/>
    <n v="480"/>
    <x v="0"/>
  </r>
  <r>
    <x v="441"/>
    <s v="C280"/>
    <x v="429"/>
    <s v="HRX Upon Offer"/>
    <x v="4"/>
    <x v="2"/>
    <n v="811"/>
    <n v="35"/>
    <n v="528"/>
    <n v="2"/>
    <n v="40"/>
    <s v="Grey"/>
    <n v="4.3"/>
    <n v="108"/>
    <d v="2025-05-07T00:00:00"/>
    <s v="DELIVERED"/>
    <x v="1"/>
    <x v="5"/>
    <s v="Uttar Pradesh"/>
    <m/>
    <n v="1622"/>
    <n v="1056"/>
    <n v="566"/>
    <x v="0"/>
  </r>
  <r>
    <x v="442"/>
    <s v="C555"/>
    <x v="430"/>
    <s v="HRX System Affect"/>
    <x v="4"/>
    <x v="2"/>
    <n v="2718"/>
    <n v="25"/>
    <n v="2039"/>
    <n v="1"/>
    <s v="XL"/>
    <s v="Pink"/>
    <n v="3.8"/>
    <n v="163"/>
    <d v="2025-05-25T00:00:00"/>
    <s v="DELIVERED"/>
    <x v="0"/>
    <x v="1"/>
    <s v="Karnataka"/>
    <m/>
    <n v="2718"/>
    <n v="2039"/>
    <n v="679"/>
    <x v="0"/>
  </r>
  <r>
    <x v="443"/>
    <s v="C520"/>
    <x v="431"/>
    <s v="Roadster Already Few"/>
    <x v="3"/>
    <x v="1"/>
    <n v="3604"/>
    <n v="20"/>
    <n v="2884"/>
    <n v="1"/>
    <s v="S"/>
    <s v="Green"/>
    <n v="4"/>
    <n v="258"/>
    <d v="2025-06-03T00:00:00"/>
    <s v="RETURNED"/>
    <x v="2"/>
    <x v="4"/>
    <s v="Delhi"/>
    <s v="Size Issue"/>
    <n v="3604"/>
    <n v="2884"/>
    <n v="720"/>
    <x v="1"/>
  </r>
  <r>
    <x v="444"/>
    <s v="C437"/>
    <x v="432"/>
    <s v="DressBerry Send Character"/>
    <x v="2"/>
    <x v="0"/>
    <n v="753"/>
    <n v="20"/>
    <n v="603"/>
    <n v="1"/>
    <n v="40"/>
    <s v="Green"/>
    <n v="4.7"/>
    <n v="294"/>
    <d v="2025-06-02T00:00:00"/>
    <s v="DELIVERED"/>
    <x v="0"/>
    <x v="7"/>
    <s v="Telangana"/>
    <m/>
    <n v="753"/>
    <n v="603"/>
    <n v="150"/>
    <x v="0"/>
  </r>
  <r>
    <x v="445"/>
    <s v="C376"/>
    <x v="433"/>
    <s v="HRX Environment Education"/>
    <x v="4"/>
    <x v="2"/>
    <n v="4862"/>
    <n v="35"/>
    <n v="3161"/>
    <n v="2"/>
    <s v="XL"/>
    <s v="Pink"/>
    <n v="4.2"/>
    <n v="262"/>
    <d v="2025-05-11T00:00:00"/>
    <s v="DELIVERED"/>
    <x v="2"/>
    <x v="4"/>
    <s v="Delhi"/>
    <m/>
    <n v="9724"/>
    <n v="6322"/>
    <n v="3402"/>
    <x v="0"/>
  </r>
  <r>
    <x v="446"/>
    <s v="C586"/>
    <x v="434"/>
    <s v="DressBerry Maintain Major"/>
    <x v="2"/>
    <x v="0"/>
    <n v="2128"/>
    <n v="40"/>
    <n v="1277"/>
    <n v="2"/>
    <s v="Free Size"/>
    <s v="White"/>
    <n v="4.8"/>
    <n v="236"/>
    <d v="2025-04-24T00:00:00"/>
    <s v="RETURNED"/>
    <x v="0"/>
    <x v="3"/>
    <s v="Rajasthan"/>
    <m/>
    <n v="4256"/>
    <n v="2554"/>
    <n v="1702"/>
    <x v="1"/>
  </r>
  <r>
    <x v="447"/>
    <s v="C558"/>
    <x v="435"/>
    <s v="WROGN Democratic Claim"/>
    <x v="5"/>
    <x v="3"/>
    <n v="2985"/>
    <n v="35"/>
    <n v="1941"/>
    <n v="2"/>
    <s v="Free Size"/>
    <s v="Pink"/>
    <n v="3.5"/>
    <n v="262"/>
    <d v="2025-04-28T00:00:00"/>
    <s v="DELIVERED"/>
    <x v="1"/>
    <x v="0"/>
    <s v="Madhya Pradesh"/>
    <m/>
    <n v="5970"/>
    <n v="3882"/>
    <n v="2088"/>
    <x v="0"/>
  </r>
  <r>
    <x v="448"/>
    <s v="C597"/>
    <x v="436"/>
    <s v="Mast &amp; Harbour Then Arrive"/>
    <x v="9"/>
    <x v="5"/>
    <n v="3049"/>
    <n v="30"/>
    <n v="2135"/>
    <n v="3"/>
    <s v="XXL"/>
    <s v="Red"/>
    <n v="3.7"/>
    <n v="194"/>
    <d v="2025-06-29T00:00:00"/>
    <s v="RETURNED"/>
    <x v="1"/>
    <x v="2"/>
    <s v="Maharashtra"/>
    <s v="Size Issue"/>
    <n v="9147"/>
    <n v="6405"/>
    <n v="2742"/>
    <x v="1"/>
  </r>
  <r>
    <x v="449"/>
    <s v="C359"/>
    <x v="437"/>
    <s v="DressBerry Such Foreign"/>
    <x v="0"/>
    <x v="0"/>
    <n v="875"/>
    <n v="35"/>
    <n v="569"/>
    <n v="1"/>
    <s v="M"/>
    <s v="Yellow"/>
    <n v="4.8"/>
    <n v="114"/>
    <d v="2025-05-24T00:00:00"/>
    <s v="DELIVERED"/>
    <x v="2"/>
    <x v="6"/>
    <s v="West Bengal"/>
    <m/>
    <n v="875"/>
    <n v="569"/>
    <n v="306"/>
    <x v="0"/>
  </r>
  <r>
    <x v="450"/>
    <s v="C278"/>
    <x v="438"/>
    <s v="HRX Sound Expect"/>
    <x v="8"/>
    <x v="2"/>
    <n v="1794"/>
    <n v="15"/>
    <n v="1525"/>
    <n v="1"/>
    <s v="M"/>
    <s v="Brown"/>
    <n v="4.7"/>
    <n v="201"/>
    <d v="2025-06-08T00:00:00"/>
    <s v="CANCELLED"/>
    <x v="1"/>
    <x v="2"/>
    <s v="Maharashtra"/>
    <m/>
    <n v="1794"/>
    <n v="1525"/>
    <n v="269"/>
    <x v="2"/>
  </r>
  <r>
    <x v="451"/>
    <s v="C642"/>
    <x v="439"/>
    <s v="DressBerry Most Plan"/>
    <x v="0"/>
    <x v="0"/>
    <n v="1244"/>
    <n v="20"/>
    <n v="996"/>
    <n v="1"/>
    <s v="M"/>
    <s v="Navy"/>
    <n v="3.8"/>
    <n v="59"/>
    <d v="2025-04-27T00:00:00"/>
    <s v="CANCELLED"/>
    <x v="2"/>
    <x v="1"/>
    <s v="Karnataka"/>
    <m/>
    <n v="1244"/>
    <n v="996"/>
    <n v="248"/>
    <x v="2"/>
  </r>
  <r>
    <x v="452"/>
    <s v="C670"/>
    <x v="440"/>
    <s v="WROGN Note Light"/>
    <x v="5"/>
    <x v="3"/>
    <n v="853"/>
    <n v="25"/>
    <n v="640"/>
    <n v="1"/>
    <s v="-"/>
    <s v="White"/>
    <n v="3.5"/>
    <n v="191"/>
    <d v="2025-05-07T00:00:00"/>
    <s v="CANCELLED"/>
    <x v="1"/>
    <x v="0"/>
    <s v="Madhya Pradesh"/>
    <m/>
    <n v="853"/>
    <n v="640"/>
    <n v="213"/>
    <x v="2"/>
  </r>
  <r>
    <x v="453"/>
    <s v="C665"/>
    <x v="441"/>
    <s v="WROGN Health Probably"/>
    <x v="5"/>
    <x v="3"/>
    <n v="4529"/>
    <n v="25"/>
    <n v="3397"/>
    <n v="3"/>
    <s v="L"/>
    <s v="Yellow"/>
    <n v="4.3"/>
    <n v="275"/>
    <d v="2025-04-24T00:00:00"/>
    <s v="RETURNED"/>
    <x v="1"/>
    <x v="6"/>
    <s v="West Bengal"/>
    <s v="Size Issue"/>
    <n v="13587"/>
    <n v="10191"/>
    <n v="3396"/>
    <x v="1"/>
  </r>
  <r>
    <x v="454"/>
    <s v="C218"/>
    <x v="442"/>
    <s v="Mast &amp; Harbour Coach In"/>
    <x v="9"/>
    <x v="5"/>
    <n v="3627"/>
    <n v="40"/>
    <n v="2177"/>
    <n v="2"/>
    <n v="40"/>
    <s v="Grey"/>
    <n v="4.4000000000000004"/>
    <n v="273"/>
    <d v="2025-06-16T00:00:00"/>
    <s v="CANCELLED"/>
    <x v="1"/>
    <x v="3"/>
    <s v="Rajasthan"/>
    <m/>
    <n v="7254"/>
    <n v="4354"/>
    <n v="2900"/>
    <x v="2"/>
  </r>
  <r>
    <x v="455"/>
    <s v="C422"/>
    <x v="443"/>
    <s v="DressBerry Young Blue"/>
    <x v="2"/>
    <x v="0"/>
    <n v="4367"/>
    <n v="10"/>
    <n v="3931"/>
    <n v="3"/>
    <n v="42"/>
    <s v="Yellow"/>
    <n v="3.9"/>
    <n v="227"/>
    <d v="2025-06-15T00:00:00"/>
    <s v="DELIVERED"/>
    <x v="2"/>
    <x v="3"/>
    <s v="Rajasthan"/>
    <m/>
    <n v="13101"/>
    <n v="11793"/>
    <n v="1308"/>
    <x v="0"/>
  </r>
  <r>
    <x v="456"/>
    <s v="C416"/>
    <x v="444"/>
    <s v="DressBerry Bring If"/>
    <x v="2"/>
    <x v="0"/>
    <n v="878"/>
    <n v="40"/>
    <n v="527"/>
    <n v="2"/>
    <s v="Free Size"/>
    <s v="Red"/>
    <n v="4.9000000000000004"/>
    <n v="115"/>
    <d v="2025-07-07T00:00:00"/>
    <s v="CANCELLED"/>
    <x v="2"/>
    <x v="3"/>
    <s v="Rajasthan"/>
    <m/>
    <n v="1756"/>
    <n v="1054"/>
    <n v="702"/>
    <x v="2"/>
  </r>
  <r>
    <x v="457"/>
    <s v="C243"/>
    <x v="445"/>
    <s v="WROGN Own Member"/>
    <x v="5"/>
    <x v="3"/>
    <n v="2091"/>
    <n v="10"/>
    <n v="1882"/>
    <n v="1"/>
    <s v="XL"/>
    <s v="Navy"/>
    <n v="4.0999999999999996"/>
    <n v="91"/>
    <d v="2025-07-16T00:00:00"/>
    <s v="CANCELLED"/>
    <x v="1"/>
    <x v="6"/>
    <s v="West Bengal"/>
    <m/>
    <n v="2091"/>
    <n v="1882"/>
    <n v="209"/>
    <x v="2"/>
  </r>
  <r>
    <x v="458"/>
    <s v="C513"/>
    <x v="446"/>
    <s v="Roadster Thank Dark"/>
    <x v="6"/>
    <x v="1"/>
    <n v="926"/>
    <n v="40"/>
    <n v="556"/>
    <n v="2"/>
    <s v="M"/>
    <s v="White"/>
    <n v="4.5"/>
    <n v="152"/>
    <d v="2025-04-23T00:00:00"/>
    <s v="RETURNED"/>
    <x v="0"/>
    <x v="9"/>
    <s v="Tamil Nadu"/>
    <m/>
    <n v="1852"/>
    <n v="1112"/>
    <n v="740"/>
    <x v="1"/>
  </r>
  <r>
    <x v="459"/>
    <s v="C254"/>
    <x v="447"/>
    <s v="DressBerry Share Everybody"/>
    <x v="0"/>
    <x v="0"/>
    <n v="2441"/>
    <n v="15"/>
    <n v="2075"/>
    <n v="1"/>
    <s v="M"/>
    <s v="Brown"/>
    <n v="3.7"/>
    <n v="166"/>
    <d v="2025-07-14T00:00:00"/>
    <s v="DELIVERED"/>
    <x v="2"/>
    <x v="0"/>
    <s v="Madhya Pradesh"/>
    <m/>
    <n v="2441"/>
    <n v="2075"/>
    <n v="366"/>
    <x v="0"/>
  </r>
  <r>
    <x v="460"/>
    <s v="C388"/>
    <x v="448"/>
    <s v="Roadster Explain Next"/>
    <x v="3"/>
    <x v="1"/>
    <n v="1919"/>
    <n v="30"/>
    <n v="1344"/>
    <n v="3"/>
    <s v="L"/>
    <s v="Grey"/>
    <n v="4.5999999999999996"/>
    <n v="245"/>
    <d v="2025-05-03T00:00:00"/>
    <s v="CANCELLED"/>
    <x v="0"/>
    <x v="3"/>
    <s v="Rajasthan"/>
    <m/>
    <n v="5757"/>
    <n v="4032"/>
    <n v="1725"/>
    <x v="2"/>
  </r>
  <r>
    <x v="461"/>
    <s v="C417"/>
    <x v="449"/>
    <s v="DressBerry Set Of"/>
    <x v="0"/>
    <x v="0"/>
    <n v="4500"/>
    <n v="10"/>
    <n v="4050"/>
    <n v="3"/>
    <s v="-"/>
    <s v="Grey"/>
    <n v="3.6"/>
    <n v="28"/>
    <d v="2025-04-22T00:00:00"/>
    <s v="DELIVERED"/>
    <x v="1"/>
    <x v="1"/>
    <s v="Karnataka"/>
    <m/>
    <n v="13500"/>
    <n v="12150"/>
    <n v="1350"/>
    <x v="0"/>
  </r>
  <r>
    <x v="462"/>
    <s v="C427"/>
    <x v="450"/>
    <s v="DressBerry Direction Politics"/>
    <x v="2"/>
    <x v="0"/>
    <n v="4719"/>
    <n v="40"/>
    <n v="2832"/>
    <n v="1"/>
    <s v="S"/>
    <s v="Navy"/>
    <n v="4.7"/>
    <n v="269"/>
    <d v="2025-07-20T00:00:00"/>
    <s v="DELIVERED"/>
    <x v="0"/>
    <x v="3"/>
    <s v="Rajasthan"/>
    <m/>
    <n v="4719"/>
    <n v="2832"/>
    <n v="1887"/>
    <x v="0"/>
  </r>
  <r>
    <x v="463"/>
    <s v="C441"/>
    <x v="451"/>
    <s v="HRX Degree Pay"/>
    <x v="8"/>
    <x v="2"/>
    <n v="3201"/>
    <n v="10"/>
    <n v="2881"/>
    <n v="1"/>
    <n v="40"/>
    <s v="Black"/>
    <n v="3.8"/>
    <n v="107"/>
    <d v="2025-07-09T00:00:00"/>
    <s v="RETURNED"/>
    <x v="2"/>
    <x v="4"/>
    <s v="Delhi"/>
    <s v="Size Issue"/>
    <n v="3201"/>
    <n v="2881"/>
    <n v="320"/>
    <x v="1"/>
  </r>
  <r>
    <x v="464"/>
    <s v="C354"/>
    <x v="452"/>
    <s v="DressBerry Region Word"/>
    <x v="0"/>
    <x v="0"/>
    <n v="4964"/>
    <n v="20"/>
    <n v="3972"/>
    <n v="1"/>
    <s v="S"/>
    <s v="Red"/>
    <n v="3.6"/>
    <n v="102"/>
    <d v="2025-05-04T00:00:00"/>
    <s v="DELIVERED"/>
    <x v="1"/>
    <x v="0"/>
    <s v="Madhya Pradesh"/>
    <m/>
    <n v="4964"/>
    <n v="3972"/>
    <n v="992"/>
    <x v="0"/>
  </r>
  <r>
    <x v="465"/>
    <s v="C231"/>
    <x v="453"/>
    <s v="DressBerry Bar Watch"/>
    <x v="2"/>
    <x v="0"/>
    <n v="1494"/>
    <n v="10"/>
    <n v="1345"/>
    <n v="1"/>
    <n v="40"/>
    <s v="Yellow"/>
    <n v="4.5"/>
    <n v="196"/>
    <d v="2025-04-30T00:00:00"/>
    <s v="CANCELLED"/>
    <x v="0"/>
    <x v="8"/>
    <s v="Gujarat"/>
    <m/>
    <n v="1494"/>
    <n v="1345"/>
    <n v="149"/>
    <x v="2"/>
  </r>
  <r>
    <x v="466"/>
    <s v="C607"/>
    <x v="38"/>
    <s v="Roadster High Apply"/>
    <x v="3"/>
    <x v="1"/>
    <n v="3538"/>
    <n v="35"/>
    <n v="2300"/>
    <n v="2"/>
    <s v="-"/>
    <s v="Red"/>
    <n v="4.0999999999999996"/>
    <n v="300"/>
    <d v="2025-05-09T00:00:00"/>
    <s v="RETURNED"/>
    <x v="0"/>
    <x v="3"/>
    <s v="Rajasthan"/>
    <s v="Size Issue"/>
    <n v="7076"/>
    <n v="4600"/>
    <n v="2476"/>
    <x v="1"/>
  </r>
  <r>
    <x v="467"/>
    <s v="C233"/>
    <x v="454"/>
    <s v="Anouk Authority Second"/>
    <x v="7"/>
    <x v="4"/>
    <n v="2586"/>
    <n v="30"/>
    <n v="1811"/>
    <n v="3"/>
    <s v="M"/>
    <s v="Brown"/>
    <n v="4.4000000000000004"/>
    <n v="130"/>
    <d v="2025-05-09T00:00:00"/>
    <s v="RETURNED"/>
    <x v="1"/>
    <x v="8"/>
    <s v="Gujarat"/>
    <s v="Color Mismatch"/>
    <n v="7758"/>
    <n v="5433"/>
    <n v="2325"/>
    <x v="1"/>
  </r>
  <r>
    <x v="468"/>
    <s v="C656"/>
    <x v="455"/>
    <s v="DressBerry Street Project"/>
    <x v="2"/>
    <x v="0"/>
    <n v="4243"/>
    <n v="25"/>
    <n v="3183"/>
    <n v="3"/>
    <s v="L"/>
    <s v="Pink"/>
    <n v="4"/>
    <n v="281"/>
    <d v="2025-05-02T00:00:00"/>
    <s v="CANCELLED"/>
    <x v="2"/>
    <x v="4"/>
    <s v="Delhi"/>
    <m/>
    <n v="12729"/>
    <n v="9549"/>
    <n v="3180"/>
    <x v="2"/>
  </r>
  <r>
    <x v="469"/>
    <s v="C387"/>
    <x v="456"/>
    <s v="Roadster Day Special"/>
    <x v="6"/>
    <x v="1"/>
    <n v="4228"/>
    <n v="15"/>
    <n v="3594"/>
    <n v="1"/>
    <s v="M"/>
    <s v="White"/>
    <n v="3.7"/>
    <n v="199"/>
    <d v="2025-05-15T00:00:00"/>
    <s v="DELIVERED"/>
    <x v="2"/>
    <x v="8"/>
    <s v="Gujarat"/>
    <m/>
    <n v="4228"/>
    <n v="3594"/>
    <n v="634"/>
    <x v="0"/>
  </r>
  <r>
    <x v="470"/>
    <s v="C256"/>
    <x v="457"/>
    <s v="HRX Single Moment"/>
    <x v="4"/>
    <x v="2"/>
    <n v="4853"/>
    <n v="10"/>
    <n v="4368"/>
    <n v="3"/>
    <s v="XL"/>
    <s v="White"/>
    <n v="3.8"/>
    <n v="270"/>
    <d v="2025-07-02T00:00:00"/>
    <s v="DELIVERED"/>
    <x v="2"/>
    <x v="8"/>
    <s v="Gujarat"/>
    <m/>
    <n v="14559"/>
    <n v="13104"/>
    <n v="1455"/>
    <x v="0"/>
  </r>
  <r>
    <x v="471"/>
    <s v="C426"/>
    <x v="458"/>
    <s v="DressBerry Decision Lawyer"/>
    <x v="2"/>
    <x v="0"/>
    <n v="1648"/>
    <n v="40"/>
    <n v="989"/>
    <n v="3"/>
    <s v="M"/>
    <s v="White"/>
    <n v="3.9"/>
    <n v="239"/>
    <d v="2025-06-20T00:00:00"/>
    <s v="RETURNED"/>
    <x v="2"/>
    <x v="4"/>
    <s v="Delhi"/>
    <s v="Defective Item"/>
    <n v="4944"/>
    <n v="2967"/>
    <n v="1977"/>
    <x v="1"/>
  </r>
  <r>
    <x v="472"/>
    <s v="C307"/>
    <x v="459"/>
    <s v="Roadster Partner Visit"/>
    <x v="3"/>
    <x v="1"/>
    <n v="4465"/>
    <n v="40"/>
    <n v="2679"/>
    <n v="1"/>
    <s v="XXL"/>
    <s v="Yellow"/>
    <n v="4.8"/>
    <n v="279"/>
    <d v="2025-06-22T00:00:00"/>
    <s v="RETURNED"/>
    <x v="2"/>
    <x v="6"/>
    <s v="West Bengal"/>
    <s v="Size Issue"/>
    <n v="4465"/>
    <n v="2679"/>
    <n v="1786"/>
    <x v="1"/>
  </r>
  <r>
    <x v="473"/>
    <s v="C464"/>
    <x v="460"/>
    <s v="Roadster He Single"/>
    <x v="1"/>
    <x v="1"/>
    <n v="3716"/>
    <n v="20"/>
    <n v="2973"/>
    <n v="3"/>
    <n v="40"/>
    <s v="Yellow"/>
    <n v="3.9"/>
    <n v="91"/>
    <d v="2025-05-22T00:00:00"/>
    <s v="DELIVERED"/>
    <x v="1"/>
    <x v="5"/>
    <s v="Uttar Pradesh"/>
    <m/>
    <n v="11148"/>
    <n v="8919"/>
    <n v="2229"/>
    <x v="0"/>
  </r>
  <r>
    <x v="474"/>
    <s v="C547"/>
    <x v="461"/>
    <s v="Anouk Great Movement"/>
    <x v="7"/>
    <x v="4"/>
    <n v="1846"/>
    <n v="30"/>
    <n v="1293"/>
    <n v="3"/>
    <s v="Free Size"/>
    <s v="Yellow"/>
    <n v="4.4000000000000004"/>
    <n v="39"/>
    <d v="2025-04-22T00:00:00"/>
    <s v="DELIVERED"/>
    <x v="0"/>
    <x v="5"/>
    <s v="Uttar Pradesh"/>
    <m/>
    <n v="5538"/>
    <n v="3879"/>
    <n v="1659"/>
    <x v="0"/>
  </r>
  <r>
    <x v="475"/>
    <s v="C683"/>
    <x v="462"/>
    <s v="DressBerry Strategy Trial"/>
    <x v="0"/>
    <x v="0"/>
    <n v="2053"/>
    <n v="20"/>
    <n v="1643"/>
    <n v="3"/>
    <s v="Free Size"/>
    <s v="Navy"/>
    <n v="4.4000000000000004"/>
    <n v="24"/>
    <d v="2025-04-25T00:00:00"/>
    <s v="RETURNED"/>
    <x v="2"/>
    <x v="1"/>
    <s v="Karnataka"/>
    <s v="Defective Item"/>
    <n v="6159"/>
    <n v="4929"/>
    <n v="1230"/>
    <x v="1"/>
  </r>
  <r>
    <x v="476"/>
    <s v="C416"/>
    <x v="463"/>
    <s v="DressBerry Nature Nation"/>
    <x v="0"/>
    <x v="0"/>
    <n v="1354"/>
    <n v="15"/>
    <n v="1151"/>
    <n v="2"/>
    <s v="-"/>
    <s v="Brown"/>
    <n v="4.3"/>
    <n v="294"/>
    <d v="2025-07-19T00:00:00"/>
    <s v="RETURNED"/>
    <x v="1"/>
    <x v="6"/>
    <s v="West Bengal"/>
    <s v="Defective Item"/>
    <n v="2708"/>
    <n v="2302"/>
    <n v="406"/>
    <x v="1"/>
  </r>
  <r>
    <x v="477"/>
    <s v="C513"/>
    <x v="464"/>
    <s v="HRX Put Behind"/>
    <x v="8"/>
    <x v="2"/>
    <n v="2171"/>
    <n v="30"/>
    <n v="1520"/>
    <n v="3"/>
    <n v="44"/>
    <s v="Green"/>
    <n v="3.9"/>
    <n v="110"/>
    <d v="2025-05-25T00:00:00"/>
    <s v="CANCELLED"/>
    <x v="2"/>
    <x v="5"/>
    <s v="Uttar Pradesh"/>
    <m/>
    <n v="6513"/>
    <n v="4560"/>
    <n v="1953"/>
    <x v="2"/>
  </r>
  <r>
    <x v="478"/>
    <s v="C405"/>
    <x v="465"/>
    <s v="DressBerry Agreement Move"/>
    <x v="0"/>
    <x v="0"/>
    <n v="3819"/>
    <n v="30"/>
    <n v="2674"/>
    <n v="3"/>
    <s v="M"/>
    <s v="Black"/>
    <n v="4"/>
    <n v="176"/>
    <d v="2025-04-27T00:00:00"/>
    <s v="DELIVERED"/>
    <x v="0"/>
    <x v="8"/>
    <s v="Gujarat"/>
    <m/>
    <n v="11457"/>
    <n v="8022"/>
    <n v="3435"/>
    <x v="0"/>
  </r>
  <r>
    <x v="479"/>
    <s v="C457"/>
    <x v="466"/>
    <s v="Roadster Consumer Spend"/>
    <x v="3"/>
    <x v="1"/>
    <n v="4217"/>
    <n v="15"/>
    <n v="3585"/>
    <n v="1"/>
    <n v="42"/>
    <s v="Red"/>
    <n v="3.7"/>
    <n v="30"/>
    <d v="2025-06-14T00:00:00"/>
    <s v="DELIVERED"/>
    <x v="0"/>
    <x v="6"/>
    <s v="West Bengal"/>
    <m/>
    <n v="4217"/>
    <n v="3585"/>
    <n v="632"/>
    <x v="0"/>
  </r>
  <r>
    <x v="480"/>
    <s v="C249"/>
    <x v="467"/>
    <s v="Anouk Cold End"/>
    <x v="7"/>
    <x v="4"/>
    <n v="624"/>
    <n v="20"/>
    <n v="500"/>
    <n v="3"/>
    <n v="44"/>
    <s v="Red"/>
    <n v="4.9000000000000004"/>
    <n v="50"/>
    <d v="2025-04-27T00:00:00"/>
    <s v="RETURNED"/>
    <x v="1"/>
    <x v="4"/>
    <s v="Delhi"/>
    <s v="Defective Item"/>
    <n v="1872"/>
    <n v="1500"/>
    <n v="372"/>
    <x v="1"/>
  </r>
  <r>
    <x v="481"/>
    <s v="C217"/>
    <x v="468"/>
    <s v="Anouk Include Join"/>
    <x v="7"/>
    <x v="4"/>
    <n v="1628"/>
    <n v="40"/>
    <n v="977"/>
    <n v="1"/>
    <n v="42"/>
    <s v="Blue"/>
    <n v="4.8"/>
    <n v="233"/>
    <d v="2025-05-23T00:00:00"/>
    <s v="RETURNED"/>
    <x v="2"/>
    <x v="1"/>
    <s v="Karnataka"/>
    <m/>
    <n v="1628"/>
    <n v="977"/>
    <n v="651"/>
    <x v="1"/>
  </r>
  <r>
    <x v="482"/>
    <s v="C459"/>
    <x v="469"/>
    <s v="Mast &amp; Harbour Break Stay"/>
    <x v="9"/>
    <x v="5"/>
    <n v="4177"/>
    <n v="25"/>
    <n v="3133"/>
    <n v="3"/>
    <s v="S"/>
    <s v="Red"/>
    <n v="4.3"/>
    <n v="248"/>
    <d v="2025-05-27T00:00:00"/>
    <s v="DELIVERED"/>
    <x v="2"/>
    <x v="9"/>
    <s v="Tamil Nadu"/>
    <m/>
    <n v="12531"/>
    <n v="9399"/>
    <n v="3132"/>
    <x v="0"/>
  </r>
  <r>
    <x v="483"/>
    <s v="C413"/>
    <x v="470"/>
    <s v="Roadster Toward Suddenly"/>
    <x v="6"/>
    <x v="1"/>
    <n v="1198"/>
    <n v="10"/>
    <n v="1079"/>
    <n v="3"/>
    <n v="42"/>
    <s v="Navy"/>
    <n v="4.0999999999999996"/>
    <n v="188"/>
    <d v="2025-06-11T00:00:00"/>
    <s v="DELIVERED"/>
    <x v="1"/>
    <x v="8"/>
    <s v="Gujarat"/>
    <m/>
    <n v="3594"/>
    <n v="3237"/>
    <n v="357"/>
    <x v="0"/>
  </r>
  <r>
    <x v="484"/>
    <s v="C582"/>
    <x v="471"/>
    <s v="HRX Should Even"/>
    <x v="8"/>
    <x v="2"/>
    <n v="707"/>
    <n v="35"/>
    <n v="460"/>
    <n v="3"/>
    <n v="40"/>
    <s v="White"/>
    <n v="3.8"/>
    <n v="269"/>
    <d v="2025-06-03T00:00:00"/>
    <s v="DELIVERED"/>
    <x v="0"/>
    <x v="4"/>
    <s v="Delhi"/>
    <m/>
    <n v="2121"/>
    <n v="1380"/>
    <n v="741"/>
    <x v="0"/>
  </r>
  <r>
    <x v="485"/>
    <s v="C370"/>
    <x v="472"/>
    <s v="Roadster Record Thousand"/>
    <x v="3"/>
    <x v="1"/>
    <n v="4186"/>
    <n v="30"/>
    <n v="2931"/>
    <n v="2"/>
    <s v="XL"/>
    <s v="Pink"/>
    <n v="3.8"/>
    <n v="104"/>
    <d v="2025-05-26T00:00:00"/>
    <s v="DELIVERED"/>
    <x v="1"/>
    <x v="0"/>
    <s v="Madhya Pradesh"/>
    <m/>
    <n v="8372"/>
    <n v="5862"/>
    <n v="2510"/>
    <x v="0"/>
  </r>
  <r>
    <x v="486"/>
    <s v="C289"/>
    <x v="473"/>
    <s v="Roadster Weight Couple"/>
    <x v="6"/>
    <x v="1"/>
    <n v="988"/>
    <n v="25"/>
    <n v="741"/>
    <n v="3"/>
    <s v="S"/>
    <s v="Brown"/>
    <n v="4.5999999999999996"/>
    <n v="193"/>
    <d v="2025-06-25T00:00:00"/>
    <s v="CANCELLED"/>
    <x v="2"/>
    <x v="8"/>
    <s v="Gujarat"/>
    <m/>
    <n v="2964"/>
    <n v="2223"/>
    <n v="741"/>
    <x v="2"/>
  </r>
  <r>
    <x v="487"/>
    <s v="C333"/>
    <x v="474"/>
    <s v="WROGN Which Down"/>
    <x v="5"/>
    <x v="3"/>
    <n v="1290"/>
    <n v="10"/>
    <n v="1161"/>
    <n v="2"/>
    <n v="42"/>
    <s v="Black"/>
    <n v="3.7"/>
    <n v="133"/>
    <d v="2025-07-02T00:00:00"/>
    <s v="CANCELLED"/>
    <x v="1"/>
    <x v="8"/>
    <s v="Gujarat"/>
    <m/>
    <n v="2580"/>
    <n v="2322"/>
    <n v="258"/>
    <x v="2"/>
  </r>
  <r>
    <x v="488"/>
    <s v="C286"/>
    <x v="475"/>
    <s v="Roadster Interview Quality"/>
    <x v="1"/>
    <x v="1"/>
    <n v="4996"/>
    <n v="35"/>
    <n v="3248"/>
    <n v="3"/>
    <s v="M"/>
    <s v="Grey"/>
    <n v="4.5"/>
    <n v="215"/>
    <d v="2025-04-26T00:00:00"/>
    <s v="RETURNED"/>
    <x v="2"/>
    <x v="8"/>
    <s v="Gujarat"/>
    <s v="Defective Item"/>
    <n v="14988"/>
    <n v="9744"/>
    <n v="5244"/>
    <x v="1"/>
  </r>
  <r>
    <x v="489"/>
    <s v="C324"/>
    <x v="476"/>
    <s v="Roadster Site Adult"/>
    <x v="6"/>
    <x v="1"/>
    <n v="3564"/>
    <n v="20"/>
    <n v="2852"/>
    <n v="3"/>
    <n v="40"/>
    <s v="White"/>
    <n v="3.7"/>
    <n v="113"/>
    <d v="2025-07-12T00:00:00"/>
    <s v="DELIVERED"/>
    <x v="1"/>
    <x v="7"/>
    <s v="Telangana"/>
    <m/>
    <n v="10692"/>
    <n v="8556"/>
    <n v="2136"/>
    <x v="0"/>
  </r>
  <r>
    <x v="490"/>
    <s v="C584"/>
    <x v="477"/>
    <s v="Anouk Draw Service"/>
    <x v="7"/>
    <x v="4"/>
    <n v="1246"/>
    <n v="20"/>
    <n v="997"/>
    <n v="1"/>
    <s v="L"/>
    <s v="Yellow"/>
    <n v="5"/>
    <n v="165"/>
    <d v="2025-04-23T00:00:00"/>
    <s v="RETURNED"/>
    <x v="0"/>
    <x v="6"/>
    <s v="West Bengal"/>
    <s v="Size Issue"/>
    <n v="1246"/>
    <n v="997"/>
    <n v="249"/>
    <x v="1"/>
  </r>
  <r>
    <x v="491"/>
    <s v="C542"/>
    <x v="478"/>
    <s v="DressBerry Hair Political"/>
    <x v="2"/>
    <x v="0"/>
    <n v="3175"/>
    <n v="15"/>
    <n v="2699"/>
    <n v="3"/>
    <n v="40"/>
    <s v="Grey"/>
    <n v="4.5999999999999996"/>
    <n v="210"/>
    <d v="2025-07-14T00:00:00"/>
    <s v="CANCELLED"/>
    <x v="2"/>
    <x v="9"/>
    <s v="Tamil Nadu"/>
    <m/>
    <n v="9525"/>
    <n v="8097"/>
    <n v="1428"/>
    <x v="2"/>
  </r>
  <r>
    <x v="492"/>
    <s v="C403"/>
    <x v="479"/>
    <s v="Roadster Environment Choose"/>
    <x v="6"/>
    <x v="1"/>
    <n v="3143"/>
    <n v="10"/>
    <n v="2829"/>
    <n v="1"/>
    <s v="M"/>
    <s v="White"/>
    <n v="4"/>
    <n v="222"/>
    <d v="2025-07-07T00:00:00"/>
    <s v="DELIVERED"/>
    <x v="2"/>
    <x v="3"/>
    <s v="Rajasthan"/>
    <m/>
    <n v="3143"/>
    <n v="2829"/>
    <n v="314"/>
    <x v="0"/>
  </r>
  <r>
    <x v="493"/>
    <s v="C473"/>
    <x v="480"/>
    <s v="Roadster Executive Recent"/>
    <x v="6"/>
    <x v="1"/>
    <n v="1616"/>
    <n v="25"/>
    <n v="1212"/>
    <n v="2"/>
    <s v="M"/>
    <s v="Green"/>
    <n v="3.9"/>
    <n v="152"/>
    <d v="2025-05-17T00:00:00"/>
    <s v="RETURNED"/>
    <x v="0"/>
    <x v="6"/>
    <s v="West Bengal"/>
    <s v="Color Mismatch"/>
    <n v="3232"/>
    <n v="2424"/>
    <n v="808"/>
    <x v="1"/>
  </r>
  <r>
    <x v="494"/>
    <s v="C403"/>
    <x v="481"/>
    <s v="WROGN Suggest Detail"/>
    <x v="5"/>
    <x v="3"/>
    <n v="3572"/>
    <n v="25"/>
    <n v="2679"/>
    <n v="3"/>
    <s v="XXL"/>
    <s v="Navy"/>
    <n v="3.9"/>
    <n v="215"/>
    <d v="2025-06-06T00:00:00"/>
    <s v="CANCELLED"/>
    <x v="2"/>
    <x v="0"/>
    <s v="Madhya Pradesh"/>
    <m/>
    <n v="10716"/>
    <n v="8037"/>
    <n v="2679"/>
    <x v="2"/>
  </r>
  <r>
    <x v="495"/>
    <s v="C274"/>
    <x v="482"/>
    <s v="Roadster Five Beyond"/>
    <x v="3"/>
    <x v="1"/>
    <n v="2899"/>
    <n v="10"/>
    <n v="2610"/>
    <n v="2"/>
    <s v="Free Size"/>
    <s v="Blue"/>
    <n v="3.7"/>
    <n v="288"/>
    <d v="2025-04-28T00:00:00"/>
    <s v="RETURNED"/>
    <x v="1"/>
    <x v="5"/>
    <s v="Uttar Pradesh"/>
    <m/>
    <n v="5798"/>
    <n v="5220"/>
    <n v="578"/>
    <x v="1"/>
  </r>
  <r>
    <x v="496"/>
    <s v="C305"/>
    <x v="483"/>
    <s v="DressBerry Still Bar"/>
    <x v="2"/>
    <x v="0"/>
    <n v="2590"/>
    <n v="40"/>
    <n v="1554"/>
    <n v="3"/>
    <s v="XXL"/>
    <s v="Blue"/>
    <n v="4.9000000000000004"/>
    <n v="230"/>
    <d v="2025-05-23T00:00:00"/>
    <s v="CANCELLED"/>
    <x v="1"/>
    <x v="2"/>
    <s v="Maharashtra"/>
    <m/>
    <n v="7770"/>
    <n v="4662"/>
    <n v="3108"/>
    <x v="2"/>
  </r>
  <r>
    <x v="497"/>
    <s v="C364"/>
    <x v="484"/>
    <s v="HRX Another Training"/>
    <x v="8"/>
    <x v="2"/>
    <n v="955"/>
    <n v="30"/>
    <n v="669"/>
    <n v="1"/>
    <s v="XXL"/>
    <s v="Yellow"/>
    <n v="3.8"/>
    <n v="237"/>
    <d v="2025-07-18T00:00:00"/>
    <s v="CANCELLED"/>
    <x v="2"/>
    <x v="2"/>
    <s v="Maharashtra"/>
    <m/>
    <n v="955"/>
    <n v="669"/>
    <n v="286"/>
    <x v="2"/>
  </r>
  <r>
    <x v="498"/>
    <s v="C475"/>
    <x v="485"/>
    <s v="WROGN Decide Central"/>
    <x v="5"/>
    <x v="3"/>
    <n v="4871"/>
    <n v="15"/>
    <n v="4141"/>
    <n v="2"/>
    <n v="40"/>
    <s v="Black"/>
    <n v="4.2"/>
    <n v="117"/>
    <d v="2025-06-28T00:00:00"/>
    <s v="RETURNED"/>
    <x v="0"/>
    <x v="0"/>
    <s v="Madhya Pradesh"/>
    <s v="Defective Item"/>
    <n v="9742"/>
    <n v="8282"/>
    <n v="1460"/>
    <x v="1"/>
  </r>
  <r>
    <x v="499"/>
    <s v="C454"/>
    <x v="486"/>
    <s v="Roadster Itself Produce"/>
    <x v="3"/>
    <x v="1"/>
    <n v="3488"/>
    <n v="40"/>
    <n v="2093"/>
    <n v="1"/>
    <s v="Free Size"/>
    <s v="Grey"/>
    <n v="4.8"/>
    <n v="156"/>
    <d v="2025-04-30T00:00:00"/>
    <s v="DELIVERED"/>
    <x v="1"/>
    <x v="8"/>
    <s v="Gujarat"/>
    <m/>
    <n v="3488"/>
    <n v="2093"/>
    <n v="1395"/>
    <x v="0"/>
  </r>
  <r>
    <x v="500"/>
    <s v="C604"/>
    <x v="487"/>
    <s v="DressBerry Something Person"/>
    <x v="0"/>
    <x v="0"/>
    <n v="2350"/>
    <n v="40"/>
    <n v="1410"/>
    <n v="1"/>
    <s v="M"/>
    <s v="Brown"/>
    <n v="4.2"/>
    <n v="85"/>
    <d v="2025-06-08T00:00:00"/>
    <s v="DELIVERED"/>
    <x v="1"/>
    <x v="9"/>
    <s v="Tamil Nadu"/>
    <m/>
    <n v="2350"/>
    <n v="1410"/>
    <n v="940"/>
    <x v="0"/>
  </r>
  <r>
    <x v="501"/>
    <s v="C411"/>
    <x v="488"/>
    <s v="Roadster Collection Site"/>
    <x v="1"/>
    <x v="1"/>
    <n v="1726"/>
    <n v="40"/>
    <n v="1036"/>
    <n v="1"/>
    <s v="XXL"/>
    <s v="Brown"/>
    <n v="4.0999999999999996"/>
    <n v="209"/>
    <d v="2025-05-26T00:00:00"/>
    <s v="RETURNED"/>
    <x v="1"/>
    <x v="8"/>
    <s v="Gujarat"/>
    <m/>
    <n v="1726"/>
    <n v="1036"/>
    <n v="690"/>
    <x v="1"/>
  </r>
  <r>
    <x v="502"/>
    <s v="C606"/>
    <x v="489"/>
    <s v="WROGN Letter Effect"/>
    <x v="5"/>
    <x v="3"/>
    <n v="1734"/>
    <n v="30"/>
    <n v="1214"/>
    <n v="1"/>
    <s v="M"/>
    <s v="Black"/>
    <n v="4.5"/>
    <n v="284"/>
    <d v="2025-06-16T00:00:00"/>
    <s v="RETURNED"/>
    <x v="1"/>
    <x v="1"/>
    <s v="Karnataka"/>
    <s v="Defective Item"/>
    <n v="1734"/>
    <n v="1214"/>
    <n v="520"/>
    <x v="1"/>
  </r>
  <r>
    <x v="503"/>
    <s v="C593"/>
    <x v="490"/>
    <s v="WROGN Job Send"/>
    <x v="5"/>
    <x v="3"/>
    <n v="4410"/>
    <n v="30"/>
    <n v="3087"/>
    <n v="2"/>
    <s v="-"/>
    <s v="Navy"/>
    <n v="4.5"/>
    <n v="57"/>
    <d v="2025-07-13T00:00:00"/>
    <s v="RETURNED"/>
    <x v="1"/>
    <x v="7"/>
    <s v="Telangana"/>
    <m/>
    <n v="8820"/>
    <n v="6174"/>
    <n v="2646"/>
    <x v="1"/>
  </r>
  <r>
    <x v="504"/>
    <s v="C521"/>
    <x v="491"/>
    <s v="HRX Today Certain"/>
    <x v="4"/>
    <x v="2"/>
    <n v="3750"/>
    <n v="35"/>
    <n v="2438"/>
    <n v="2"/>
    <s v="XL"/>
    <s v="White"/>
    <n v="4.8"/>
    <n v="245"/>
    <d v="2025-06-28T00:00:00"/>
    <s v="DELIVERED"/>
    <x v="0"/>
    <x v="8"/>
    <s v="Gujarat"/>
    <m/>
    <n v="7500"/>
    <n v="4876"/>
    <n v="2624"/>
    <x v="0"/>
  </r>
  <r>
    <x v="505"/>
    <s v="C360"/>
    <x v="492"/>
    <s v="HRX Hear Both"/>
    <x v="4"/>
    <x v="2"/>
    <n v="4799"/>
    <n v="25"/>
    <n v="3600"/>
    <n v="1"/>
    <n v="44"/>
    <s v="Green"/>
    <n v="3.9"/>
    <n v="166"/>
    <d v="2025-07-10T00:00:00"/>
    <s v="RETURNED"/>
    <x v="1"/>
    <x v="7"/>
    <s v="Telangana"/>
    <s v="Defective Item"/>
    <n v="4799"/>
    <n v="3600"/>
    <n v="1199"/>
    <x v="1"/>
  </r>
  <r>
    <x v="506"/>
    <s v="C544"/>
    <x v="493"/>
    <s v="Anouk Side Music"/>
    <x v="7"/>
    <x v="4"/>
    <n v="1649"/>
    <n v="10"/>
    <n v="1485"/>
    <n v="1"/>
    <n v="40"/>
    <s v="Navy"/>
    <n v="4"/>
    <n v="36"/>
    <d v="2025-06-08T00:00:00"/>
    <s v="DELIVERED"/>
    <x v="2"/>
    <x v="2"/>
    <s v="Maharashtra"/>
    <m/>
    <n v="1649"/>
    <n v="1485"/>
    <n v="164"/>
    <x v="0"/>
  </r>
  <r>
    <x v="507"/>
    <s v="C366"/>
    <x v="494"/>
    <s v="HRX Far Leg"/>
    <x v="8"/>
    <x v="2"/>
    <n v="1993"/>
    <n v="35"/>
    <n v="1296"/>
    <n v="3"/>
    <s v="M"/>
    <s v="Green"/>
    <n v="4.3"/>
    <n v="237"/>
    <d v="2025-06-21T00:00:00"/>
    <s v="CANCELLED"/>
    <x v="2"/>
    <x v="9"/>
    <s v="Tamil Nadu"/>
    <m/>
    <n v="5979"/>
    <n v="3888"/>
    <n v="2091"/>
    <x v="2"/>
  </r>
  <r>
    <x v="508"/>
    <s v="C607"/>
    <x v="495"/>
    <s v="HRX Case School"/>
    <x v="4"/>
    <x v="2"/>
    <n v="4597"/>
    <n v="25"/>
    <n v="3448"/>
    <n v="3"/>
    <n v="44"/>
    <s v="Grey"/>
    <n v="4.3"/>
    <n v="144"/>
    <d v="2025-06-04T00:00:00"/>
    <s v="RETURNED"/>
    <x v="0"/>
    <x v="8"/>
    <s v="Gujarat"/>
    <s v="Color Mismatch"/>
    <n v="13791"/>
    <n v="10344"/>
    <n v="3447"/>
    <x v="1"/>
  </r>
  <r>
    <x v="509"/>
    <s v="C469"/>
    <x v="496"/>
    <s v="WROGN Determine Enough"/>
    <x v="5"/>
    <x v="3"/>
    <n v="2535"/>
    <n v="40"/>
    <n v="1521"/>
    <n v="2"/>
    <s v="-"/>
    <s v="Blue"/>
    <n v="4.2"/>
    <n v="89"/>
    <d v="2025-06-07T00:00:00"/>
    <s v="RETURNED"/>
    <x v="2"/>
    <x v="3"/>
    <s v="Rajasthan"/>
    <m/>
    <n v="5070"/>
    <n v="3042"/>
    <n v="2028"/>
    <x v="1"/>
  </r>
  <r>
    <x v="510"/>
    <s v="C601"/>
    <x v="497"/>
    <s v="Roadster Mother Start"/>
    <x v="6"/>
    <x v="1"/>
    <n v="3719"/>
    <n v="30"/>
    <n v="2604"/>
    <n v="3"/>
    <s v="S"/>
    <s v="Grey"/>
    <n v="4.5"/>
    <n v="193"/>
    <d v="2025-05-31T00:00:00"/>
    <s v="DELIVERED"/>
    <x v="0"/>
    <x v="0"/>
    <s v="Madhya Pradesh"/>
    <m/>
    <n v="11157"/>
    <n v="7812"/>
    <n v="3345"/>
    <x v="0"/>
  </r>
  <r>
    <x v="511"/>
    <s v="C494"/>
    <x v="498"/>
    <s v="Mast &amp; Harbour Increase Include"/>
    <x v="9"/>
    <x v="5"/>
    <n v="4401"/>
    <n v="40"/>
    <n v="2641"/>
    <n v="1"/>
    <s v="S"/>
    <s v="Yellow"/>
    <n v="4.5"/>
    <n v="281"/>
    <d v="2025-07-06T00:00:00"/>
    <s v="RETURNED"/>
    <x v="2"/>
    <x v="4"/>
    <s v="Delhi"/>
    <s v="Size Issue"/>
    <n v="4401"/>
    <n v="2641"/>
    <n v="1760"/>
    <x v="1"/>
  </r>
  <r>
    <x v="512"/>
    <s v="C531"/>
    <x v="499"/>
    <s v="HRX Will Appear"/>
    <x v="4"/>
    <x v="2"/>
    <n v="3940"/>
    <n v="15"/>
    <n v="3349"/>
    <n v="1"/>
    <s v="L"/>
    <s v="Navy"/>
    <n v="4.9000000000000004"/>
    <n v="181"/>
    <d v="2025-04-28T00:00:00"/>
    <s v="CANCELLED"/>
    <x v="0"/>
    <x v="5"/>
    <s v="Uttar Pradesh"/>
    <m/>
    <n v="3940"/>
    <n v="3349"/>
    <n v="591"/>
    <x v="2"/>
  </r>
  <r>
    <x v="513"/>
    <s v="C696"/>
    <x v="500"/>
    <s v="WROGN Card Character"/>
    <x v="5"/>
    <x v="3"/>
    <n v="3286"/>
    <n v="30"/>
    <n v="2301"/>
    <n v="1"/>
    <n v="40"/>
    <s v="White"/>
    <n v="3.5"/>
    <n v="209"/>
    <d v="2025-06-13T00:00:00"/>
    <s v="DELIVERED"/>
    <x v="2"/>
    <x v="0"/>
    <s v="Madhya Pradesh"/>
    <m/>
    <n v="3286"/>
    <n v="2301"/>
    <n v="985"/>
    <x v="0"/>
  </r>
  <r>
    <x v="514"/>
    <s v="C379"/>
    <x v="501"/>
    <s v="WROGN Care Voice"/>
    <x v="5"/>
    <x v="3"/>
    <n v="2412"/>
    <n v="35"/>
    <n v="1568"/>
    <n v="1"/>
    <s v="S"/>
    <s v="White"/>
    <n v="4.8"/>
    <n v="233"/>
    <d v="2025-07-19T00:00:00"/>
    <s v="RETURNED"/>
    <x v="2"/>
    <x v="1"/>
    <s v="Karnataka"/>
    <s v="Late Delivery"/>
    <n v="2412"/>
    <n v="1568"/>
    <n v="844"/>
    <x v="1"/>
  </r>
  <r>
    <x v="515"/>
    <s v="C550"/>
    <x v="502"/>
    <s v="Anouk Because The"/>
    <x v="7"/>
    <x v="4"/>
    <n v="4389"/>
    <n v="40"/>
    <n v="2634"/>
    <n v="1"/>
    <n v="42"/>
    <s v="Red"/>
    <n v="4.8"/>
    <n v="78"/>
    <d v="2025-06-17T00:00:00"/>
    <s v="CANCELLED"/>
    <x v="1"/>
    <x v="4"/>
    <s v="Delhi"/>
    <m/>
    <n v="4389"/>
    <n v="2634"/>
    <n v="1755"/>
    <x v="2"/>
  </r>
  <r>
    <x v="516"/>
    <s v="C275"/>
    <x v="503"/>
    <s v="Roadster Source Member"/>
    <x v="1"/>
    <x v="1"/>
    <n v="2848"/>
    <n v="10"/>
    <n v="2564"/>
    <n v="3"/>
    <n v="40"/>
    <s v="Pink"/>
    <n v="4.4000000000000004"/>
    <n v="13"/>
    <d v="2025-07-17T00:00:00"/>
    <s v="RETURNED"/>
    <x v="1"/>
    <x v="7"/>
    <s v="Telangana"/>
    <m/>
    <n v="8544"/>
    <n v="7692"/>
    <n v="852"/>
    <x v="1"/>
  </r>
  <r>
    <x v="517"/>
    <s v="C330"/>
    <x v="504"/>
    <s v="DressBerry Hair Speak"/>
    <x v="2"/>
    <x v="0"/>
    <n v="1428"/>
    <n v="10"/>
    <n v="1286"/>
    <n v="2"/>
    <s v="L"/>
    <s v="Brown"/>
    <n v="3.9"/>
    <n v="218"/>
    <d v="2025-07-18T00:00:00"/>
    <s v="RETURNED"/>
    <x v="1"/>
    <x v="6"/>
    <s v="West Bengal"/>
    <s v="Defective Item"/>
    <n v="2856"/>
    <n v="2572"/>
    <n v="284"/>
    <x v="1"/>
  </r>
  <r>
    <x v="518"/>
    <s v="C508"/>
    <x v="505"/>
    <s v="DressBerry News Often"/>
    <x v="0"/>
    <x v="0"/>
    <n v="2023"/>
    <n v="35"/>
    <n v="1315"/>
    <n v="1"/>
    <n v="42"/>
    <s v="Red"/>
    <n v="3.9"/>
    <n v="189"/>
    <d v="2025-05-12T00:00:00"/>
    <s v="RETURNED"/>
    <x v="0"/>
    <x v="4"/>
    <s v="Delhi"/>
    <s v="Late Delivery"/>
    <n v="2023"/>
    <n v="1315"/>
    <n v="708"/>
    <x v="1"/>
  </r>
  <r>
    <x v="519"/>
    <s v="C434"/>
    <x v="506"/>
    <s v="Anouk Big War"/>
    <x v="7"/>
    <x v="4"/>
    <n v="4094"/>
    <n v="15"/>
    <n v="3480"/>
    <n v="2"/>
    <s v="XL"/>
    <s v="Brown"/>
    <n v="4.5999999999999996"/>
    <n v="184"/>
    <d v="2025-05-10T00:00:00"/>
    <s v="CANCELLED"/>
    <x v="0"/>
    <x v="7"/>
    <s v="Telangana"/>
    <m/>
    <n v="8188"/>
    <n v="6960"/>
    <n v="1228"/>
    <x v="2"/>
  </r>
  <r>
    <x v="520"/>
    <s v="C269"/>
    <x v="507"/>
    <s v="Roadster Right Work"/>
    <x v="3"/>
    <x v="1"/>
    <n v="1265"/>
    <n v="25"/>
    <n v="949"/>
    <n v="1"/>
    <s v="XL"/>
    <s v="Pink"/>
    <n v="3.8"/>
    <n v="282"/>
    <d v="2025-05-18T00:00:00"/>
    <s v="DELIVERED"/>
    <x v="0"/>
    <x v="6"/>
    <s v="West Bengal"/>
    <m/>
    <n v="1265"/>
    <n v="949"/>
    <n v="316"/>
    <x v="0"/>
  </r>
  <r>
    <x v="521"/>
    <s v="C422"/>
    <x v="508"/>
    <s v="DressBerry Light Religious"/>
    <x v="2"/>
    <x v="0"/>
    <n v="2107"/>
    <n v="25"/>
    <n v="1581"/>
    <n v="1"/>
    <s v="S"/>
    <s v="Green"/>
    <n v="4"/>
    <n v="158"/>
    <d v="2025-04-23T00:00:00"/>
    <s v="DELIVERED"/>
    <x v="2"/>
    <x v="7"/>
    <s v="Telangana"/>
    <m/>
    <n v="2107"/>
    <n v="1581"/>
    <n v="526"/>
    <x v="0"/>
  </r>
  <r>
    <x v="522"/>
    <s v="C230"/>
    <x v="509"/>
    <s v="HRX Million Less"/>
    <x v="8"/>
    <x v="2"/>
    <n v="1040"/>
    <n v="10"/>
    <n v="936"/>
    <n v="2"/>
    <s v="Free Size"/>
    <s v="Grey"/>
    <n v="4.8"/>
    <n v="71"/>
    <d v="2025-05-23T00:00:00"/>
    <s v="CANCELLED"/>
    <x v="0"/>
    <x v="7"/>
    <s v="Telangana"/>
    <m/>
    <n v="2080"/>
    <n v="1872"/>
    <n v="208"/>
    <x v="2"/>
  </r>
  <r>
    <x v="523"/>
    <s v="C351"/>
    <x v="510"/>
    <s v="HRX Push Fast"/>
    <x v="8"/>
    <x v="2"/>
    <n v="3263"/>
    <n v="15"/>
    <n v="2774"/>
    <n v="3"/>
    <s v="Free Size"/>
    <s v="Brown"/>
    <n v="4.4000000000000004"/>
    <n v="155"/>
    <d v="2025-05-16T00:00:00"/>
    <s v="RETURNED"/>
    <x v="0"/>
    <x v="8"/>
    <s v="Gujarat"/>
    <s v="Late Delivery"/>
    <n v="9789"/>
    <n v="8322"/>
    <n v="1467"/>
    <x v="1"/>
  </r>
  <r>
    <x v="524"/>
    <s v="C414"/>
    <x v="511"/>
    <s v="DressBerry Figure Receive"/>
    <x v="2"/>
    <x v="0"/>
    <n v="4097"/>
    <n v="25"/>
    <n v="3073"/>
    <n v="2"/>
    <s v="M"/>
    <s v="Brown"/>
    <n v="4.5999999999999996"/>
    <n v="264"/>
    <d v="2025-06-18T00:00:00"/>
    <s v="DELIVERED"/>
    <x v="0"/>
    <x v="8"/>
    <s v="Gujarat"/>
    <m/>
    <n v="8194"/>
    <n v="6146"/>
    <n v="2048"/>
    <x v="0"/>
  </r>
  <r>
    <x v="525"/>
    <s v="C669"/>
    <x v="512"/>
    <s v="HRX Shake Sense"/>
    <x v="8"/>
    <x v="2"/>
    <n v="1794"/>
    <n v="20"/>
    <n v="1436"/>
    <n v="3"/>
    <n v="42"/>
    <s v="Navy"/>
    <n v="4.7"/>
    <n v="13"/>
    <d v="2025-05-24T00:00:00"/>
    <s v="RETURNED"/>
    <x v="2"/>
    <x v="6"/>
    <s v="West Bengal"/>
    <s v="Color Mismatch"/>
    <n v="5382"/>
    <n v="4308"/>
    <n v="1074"/>
    <x v="1"/>
  </r>
  <r>
    <x v="526"/>
    <s v="C457"/>
    <x v="513"/>
    <s v="DressBerry Matter So"/>
    <x v="2"/>
    <x v="0"/>
    <n v="754"/>
    <n v="25"/>
    <n v="566"/>
    <n v="2"/>
    <s v="XXL"/>
    <s v="Blue"/>
    <n v="4.0999999999999996"/>
    <n v="97"/>
    <d v="2025-04-25T00:00:00"/>
    <s v="CANCELLED"/>
    <x v="1"/>
    <x v="7"/>
    <s v="Telangana"/>
    <m/>
    <n v="1508"/>
    <n v="1132"/>
    <n v="376"/>
    <x v="2"/>
  </r>
  <r>
    <x v="527"/>
    <s v="C352"/>
    <x v="131"/>
    <s v="WROGN Main Reason"/>
    <x v="5"/>
    <x v="3"/>
    <n v="2758"/>
    <n v="35"/>
    <n v="1793"/>
    <n v="3"/>
    <s v="M"/>
    <s v="Navy"/>
    <n v="4.5999999999999996"/>
    <n v="52"/>
    <d v="2025-06-25T00:00:00"/>
    <s v="RETURNED"/>
    <x v="1"/>
    <x v="6"/>
    <s v="West Bengal"/>
    <s v="Defective Item"/>
    <n v="8274"/>
    <n v="5379"/>
    <n v="2895"/>
    <x v="1"/>
  </r>
  <r>
    <x v="528"/>
    <s v="C203"/>
    <x v="514"/>
    <s v="DressBerry Police Indicate"/>
    <x v="2"/>
    <x v="0"/>
    <n v="2932"/>
    <n v="40"/>
    <n v="1760"/>
    <n v="3"/>
    <s v="S"/>
    <s v="Pink"/>
    <n v="4"/>
    <n v="267"/>
    <d v="2025-07-08T00:00:00"/>
    <s v="CANCELLED"/>
    <x v="1"/>
    <x v="0"/>
    <s v="Madhya Pradesh"/>
    <m/>
    <n v="8796"/>
    <n v="5280"/>
    <n v="3516"/>
    <x v="2"/>
  </r>
  <r>
    <x v="529"/>
    <s v="C660"/>
    <x v="515"/>
    <s v="DressBerry Data Bill"/>
    <x v="2"/>
    <x v="0"/>
    <n v="604"/>
    <n v="10"/>
    <n v="544"/>
    <n v="3"/>
    <s v="M"/>
    <s v="Pink"/>
    <n v="4.7"/>
    <n v="172"/>
    <d v="2025-05-22T00:00:00"/>
    <s v="CANCELLED"/>
    <x v="2"/>
    <x v="5"/>
    <s v="Uttar Pradesh"/>
    <m/>
    <n v="1812"/>
    <n v="1632"/>
    <n v="180"/>
    <x v="2"/>
  </r>
  <r>
    <x v="530"/>
    <s v="C429"/>
    <x v="516"/>
    <s v="Roadster Audience Career"/>
    <x v="1"/>
    <x v="1"/>
    <n v="1317"/>
    <n v="40"/>
    <n v="791"/>
    <n v="3"/>
    <s v="M"/>
    <s v="Green"/>
    <n v="4.7"/>
    <n v="178"/>
    <d v="2025-06-04T00:00:00"/>
    <s v="RETURNED"/>
    <x v="0"/>
    <x v="1"/>
    <s v="Karnataka"/>
    <s v="Defective Item"/>
    <n v="3951"/>
    <n v="2373"/>
    <n v="1578"/>
    <x v="1"/>
  </r>
  <r>
    <x v="531"/>
    <s v="C532"/>
    <x v="517"/>
    <s v="Anouk Store Dream"/>
    <x v="7"/>
    <x v="4"/>
    <n v="1900"/>
    <n v="10"/>
    <n v="1710"/>
    <n v="3"/>
    <s v="M"/>
    <s v="Black"/>
    <n v="4.5"/>
    <n v="202"/>
    <d v="2025-05-01T00:00:00"/>
    <s v="RETURNED"/>
    <x v="1"/>
    <x v="2"/>
    <s v="Maharashtra"/>
    <s v="Defective Item"/>
    <n v="5700"/>
    <n v="5130"/>
    <n v="570"/>
    <x v="1"/>
  </r>
  <r>
    <x v="532"/>
    <s v="C471"/>
    <x v="518"/>
    <s v="HRX Alone In"/>
    <x v="4"/>
    <x v="2"/>
    <n v="2335"/>
    <n v="20"/>
    <n v="1868"/>
    <n v="1"/>
    <s v="Free Size"/>
    <s v="Green"/>
    <n v="4.2"/>
    <n v="87"/>
    <d v="2025-05-21T00:00:00"/>
    <s v="DELIVERED"/>
    <x v="2"/>
    <x v="4"/>
    <s v="Delhi"/>
    <m/>
    <n v="2335"/>
    <n v="1868"/>
    <n v="467"/>
    <x v="0"/>
  </r>
  <r>
    <x v="533"/>
    <s v="C221"/>
    <x v="519"/>
    <s v="Roadster Good Address"/>
    <x v="3"/>
    <x v="1"/>
    <n v="2505"/>
    <n v="20"/>
    <n v="2004"/>
    <n v="3"/>
    <s v="XL"/>
    <s v="Navy"/>
    <n v="3.8"/>
    <n v="80"/>
    <d v="2025-07-15T00:00:00"/>
    <s v="DELIVERED"/>
    <x v="0"/>
    <x v="1"/>
    <s v="Karnataka"/>
    <m/>
    <n v="7515"/>
    <n v="6012"/>
    <n v="1503"/>
    <x v="0"/>
  </r>
  <r>
    <x v="534"/>
    <s v="C316"/>
    <x v="520"/>
    <s v="DressBerry Memory Relate"/>
    <x v="0"/>
    <x v="0"/>
    <n v="2591"/>
    <n v="15"/>
    <n v="2203"/>
    <n v="1"/>
    <s v="-"/>
    <s v="Brown"/>
    <n v="4.5"/>
    <n v="109"/>
    <d v="2025-04-22T00:00:00"/>
    <s v="RETURNED"/>
    <x v="2"/>
    <x v="6"/>
    <s v="West Bengal"/>
    <s v="Size Issue"/>
    <n v="2591"/>
    <n v="2203"/>
    <n v="388"/>
    <x v="1"/>
  </r>
  <r>
    <x v="535"/>
    <s v="C329"/>
    <x v="521"/>
    <s v="DressBerry In Less"/>
    <x v="0"/>
    <x v="0"/>
    <n v="2641"/>
    <n v="10"/>
    <n v="2377"/>
    <n v="3"/>
    <n v="40"/>
    <s v="Red"/>
    <n v="3.9"/>
    <n v="34"/>
    <d v="2025-06-28T00:00:00"/>
    <s v="DELIVERED"/>
    <x v="1"/>
    <x v="8"/>
    <s v="Gujarat"/>
    <m/>
    <n v="7923"/>
    <n v="7131"/>
    <n v="792"/>
    <x v="0"/>
  </r>
  <r>
    <x v="536"/>
    <s v="C547"/>
    <x v="522"/>
    <s v="HRX Window Benefit"/>
    <x v="4"/>
    <x v="2"/>
    <n v="2832"/>
    <n v="20"/>
    <n v="2266"/>
    <n v="3"/>
    <n v="40"/>
    <s v="Navy"/>
    <n v="3.8"/>
    <n v="68"/>
    <d v="2025-07-18T00:00:00"/>
    <s v="CANCELLED"/>
    <x v="2"/>
    <x v="2"/>
    <s v="Maharashtra"/>
    <m/>
    <n v="8496"/>
    <n v="6798"/>
    <n v="1698"/>
    <x v="2"/>
  </r>
  <r>
    <x v="537"/>
    <s v="C629"/>
    <x v="523"/>
    <s v="Anouk Middle Economic"/>
    <x v="7"/>
    <x v="4"/>
    <n v="4272"/>
    <n v="10"/>
    <n v="3845"/>
    <n v="3"/>
    <s v="-"/>
    <s v="Navy"/>
    <n v="4.5"/>
    <n v="188"/>
    <d v="2025-05-10T00:00:00"/>
    <s v="DELIVERED"/>
    <x v="2"/>
    <x v="7"/>
    <s v="Telangana"/>
    <m/>
    <n v="12816"/>
    <n v="11535"/>
    <n v="1281"/>
    <x v="0"/>
  </r>
  <r>
    <x v="538"/>
    <s v="C527"/>
    <x v="524"/>
    <s v="Roadster Lead Finally"/>
    <x v="1"/>
    <x v="1"/>
    <n v="3097"/>
    <n v="40"/>
    <n v="1859"/>
    <n v="1"/>
    <n v="40"/>
    <s v="Green"/>
    <n v="4.8"/>
    <n v="195"/>
    <d v="2025-06-11T00:00:00"/>
    <s v="CANCELLED"/>
    <x v="2"/>
    <x v="0"/>
    <s v="Madhya Pradesh"/>
    <m/>
    <n v="3097"/>
    <n v="1859"/>
    <n v="1238"/>
    <x v="2"/>
  </r>
  <r>
    <x v="539"/>
    <s v="C541"/>
    <x v="525"/>
    <s v="Roadster Generation Sell"/>
    <x v="6"/>
    <x v="1"/>
    <n v="2185"/>
    <n v="15"/>
    <n v="1858"/>
    <n v="2"/>
    <s v="L"/>
    <s v="Yellow"/>
    <n v="4.8"/>
    <n v="215"/>
    <d v="2025-07-02T00:00:00"/>
    <s v="CANCELLED"/>
    <x v="1"/>
    <x v="2"/>
    <s v="Maharashtra"/>
    <m/>
    <n v="4370"/>
    <n v="3716"/>
    <n v="654"/>
    <x v="2"/>
  </r>
  <r>
    <x v="540"/>
    <s v="C477"/>
    <x v="526"/>
    <s v="Mast &amp; Harbour Test Matter"/>
    <x v="9"/>
    <x v="5"/>
    <n v="2573"/>
    <n v="20"/>
    <n v="2059"/>
    <n v="3"/>
    <s v="-"/>
    <s v="Green"/>
    <n v="4.5"/>
    <n v="228"/>
    <d v="2025-05-10T00:00:00"/>
    <s v="CANCELLED"/>
    <x v="1"/>
    <x v="1"/>
    <s v="Karnataka"/>
    <m/>
    <n v="7719"/>
    <n v="6177"/>
    <n v="1542"/>
    <x v="2"/>
  </r>
  <r>
    <x v="541"/>
    <s v="C569"/>
    <x v="527"/>
    <s v="Mast &amp; Harbour Then Beautiful"/>
    <x v="9"/>
    <x v="5"/>
    <n v="2963"/>
    <n v="30"/>
    <n v="2075"/>
    <n v="3"/>
    <n v="44"/>
    <s v="Green"/>
    <n v="4.4000000000000004"/>
    <n v="205"/>
    <d v="2025-05-05T00:00:00"/>
    <s v="RETURNED"/>
    <x v="0"/>
    <x v="8"/>
    <s v="Gujarat"/>
    <m/>
    <n v="8889"/>
    <n v="6225"/>
    <n v="2664"/>
    <x v="1"/>
  </r>
  <r>
    <x v="542"/>
    <s v="C320"/>
    <x v="528"/>
    <s v="DressBerry Join Guy"/>
    <x v="2"/>
    <x v="0"/>
    <n v="1646"/>
    <n v="20"/>
    <n v="1317"/>
    <n v="3"/>
    <n v="40"/>
    <s v="Green"/>
    <n v="4.8"/>
    <n v="191"/>
    <d v="2025-07-02T00:00:00"/>
    <s v="CANCELLED"/>
    <x v="2"/>
    <x v="3"/>
    <s v="Rajasthan"/>
    <m/>
    <n v="4938"/>
    <n v="3951"/>
    <n v="987"/>
    <x v="2"/>
  </r>
  <r>
    <x v="543"/>
    <s v="C265"/>
    <x v="529"/>
    <s v="WROGN While Successful"/>
    <x v="5"/>
    <x v="3"/>
    <n v="3935"/>
    <n v="20"/>
    <n v="3148"/>
    <n v="3"/>
    <s v="XL"/>
    <s v="Brown"/>
    <n v="4.2"/>
    <n v="252"/>
    <d v="2025-05-13T00:00:00"/>
    <s v="DELIVERED"/>
    <x v="0"/>
    <x v="3"/>
    <s v="Rajasthan"/>
    <m/>
    <n v="11805"/>
    <n v="9444"/>
    <n v="2361"/>
    <x v="0"/>
  </r>
  <r>
    <x v="544"/>
    <s v="C260"/>
    <x v="530"/>
    <s v="Anouk Parent On"/>
    <x v="7"/>
    <x v="4"/>
    <n v="4654"/>
    <n v="10"/>
    <n v="4189"/>
    <n v="2"/>
    <s v="S"/>
    <s v="Red"/>
    <n v="3.6"/>
    <n v="125"/>
    <d v="2025-06-24T00:00:00"/>
    <s v="RETURNED"/>
    <x v="2"/>
    <x v="0"/>
    <s v="Madhya Pradesh"/>
    <s v="Late Delivery"/>
    <n v="9308"/>
    <n v="8378"/>
    <n v="930"/>
    <x v="1"/>
  </r>
  <r>
    <x v="545"/>
    <s v="C427"/>
    <x v="531"/>
    <s v="DressBerry Television Parent"/>
    <x v="0"/>
    <x v="0"/>
    <n v="3692"/>
    <n v="20"/>
    <n v="2954"/>
    <n v="1"/>
    <s v="L"/>
    <s v="Green"/>
    <n v="4.8"/>
    <n v="68"/>
    <d v="2025-05-16T00:00:00"/>
    <s v="CANCELLED"/>
    <x v="0"/>
    <x v="4"/>
    <s v="Delhi"/>
    <m/>
    <n v="3692"/>
    <n v="2954"/>
    <n v="738"/>
    <x v="2"/>
  </r>
  <r>
    <x v="546"/>
    <s v="C697"/>
    <x v="532"/>
    <s v="DressBerry Heavy Establish"/>
    <x v="0"/>
    <x v="0"/>
    <n v="4250"/>
    <n v="35"/>
    <n v="2763"/>
    <n v="1"/>
    <s v="XXL"/>
    <s v="Black"/>
    <n v="4.4000000000000004"/>
    <n v="124"/>
    <d v="2025-05-23T00:00:00"/>
    <s v="RETURNED"/>
    <x v="0"/>
    <x v="2"/>
    <s v="Maharashtra"/>
    <s v="Color Mismatch"/>
    <n v="4250"/>
    <n v="2763"/>
    <n v="1487"/>
    <x v="1"/>
  </r>
  <r>
    <x v="547"/>
    <s v="C521"/>
    <x v="533"/>
    <s v="HRX Resource Need"/>
    <x v="4"/>
    <x v="2"/>
    <n v="4728"/>
    <n v="10"/>
    <n v="4256"/>
    <n v="3"/>
    <s v="XL"/>
    <s v="Red"/>
    <n v="4.9000000000000004"/>
    <n v="249"/>
    <d v="2025-06-17T00:00:00"/>
    <s v="RETURNED"/>
    <x v="0"/>
    <x v="2"/>
    <s v="Maharashtra"/>
    <s v="Color Mismatch"/>
    <n v="14184"/>
    <n v="12768"/>
    <n v="1416"/>
    <x v="1"/>
  </r>
  <r>
    <x v="548"/>
    <s v="C283"/>
    <x v="534"/>
    <s v="Mast &amp; Harbour Low Not"/>
    <x v="9"/>
    <x v="5"/>
    <n v="3716"/>
    <n v="20"/>
    <n v="2973"/>
    <n v="1"/>
    <s v="Free Size"/>
    <s v="Red"/>
    <n v="4.5999999999999996"/>
    <n v="105"/>
    <d v="2025-04-26T00:00:00"/>
    <s v="CANCELLED"/>
    <x v="0"/>
    <x v="4"/>
    <s v="Delhi"/>
    <m/>
    <n v="3716"/>
    <n v="2973"/>
    <n v="743"/>
    <x v="2"/>
  </r>
  <r>
    <x v="549"/>
    <s v="C490"/>
    <x v="535"/>
    <s v="DressBerry Major Another"/>
    <x v="2"/>
    <x v="0"/>
    <n v="1765"/>
    <n v="20"/>
    <n v="1412"/>
    <n v="2"/>
    <s v="M"/>
    <s v="Brown"/>
    <n v="4.9000000000000004"/>
    <n v="78"/>
    <d v="2025-05-28T00:00:00"/>
    <s v="CANCELLED"/>
    <x v="2"/>
    <x v="8"/>
    <s v="Gujarat"/>
    <m/>
    <n v="3530"/>
    <n v="2824"/>
    <n v="706"/>
    <x v="2"/>
  </r>
  <r>
    <x v="550"/>
    <s v="C662"/>
    <x v="536"/>
    <s v="Roadster Too Parent"/>
    <x v="6"/>
    <x v="1"/>
    <n v="2373"/>
    <n v="15"/>
    <n v="2018"/>
    <n v="3"/>
    <n v="42"/>
    <s v="Yellow"/>
    <n v="4.2"/>
    <n v="186"/>
    <d v="2025-06-08T00:00:00"/>
    <s v="RETURNED"/>
    <x v="1"/>
    <x v="6"/>
    <s v="West Bengal"/>
    <m/>
    <n v="7119"/>
    <n v="6054"/>
    <n v="1065"/>
    <x v="1"/>
  </r>
  <r>
    <x v="551"/>
    <s v="C567"/>
    <x v="537"/>
    <s v="HRX Foreign Structure"/>
    <x v="4"/>
    <x v="2"/>
    <n v="2708"/>
    <n v="15"/>
    <n v="2302"/>
    <n v="1"/>
    <s v="S"/>
    <s v="Black"/>
    <n v="4.5999999999999996"/>
    <n v="35"/>
    <d v="2025-05-13T00:00:00"/>
    <s v="CANCELLED"/>
    <x v="0"/>
    <x v="2"/>
    <s v="Maharashtra"/>
    <m/>
    <n v="2708"/>
    <n v="2302"/>
    <n v="406"/>
    <x v="2"/>
  </r>
  <r>
    <x v="552"/>
    <s v="C325"/>
    <x v="538"/>
    <s v="Anouk Safe Argue"/>
    <x v="7"/>
    <x v="4"/>
    <n v="683"/>
    <n v="15"/>
    <n v="581"/>
    <n v="1"/>
    <s v="M"/>
    <s v="Black"/>
    <n v="4.0999999999999996"/>
    <n v="52"/>
    <d v="2025-04-24T00:00:00"/>
    <s v="CANCELLED"/>
    <x v="2"/>
    <x v="2"/>
    <s v="Maharashtra"/>
    <m/>
    <n v="683"/>
    <n v="581"/>
    <n v="102"/>
    <x v="2"/>
  </r>
  <r>
    <x v="553"/>
    <s v="C437"/>
    <x v="539"/>
    <s v="WROGN On Range"/>
    <x v="5"/>
    <x v="3"/>
    <n v="4380"/>
    <n v="35"/>
    <n v="2847"/>
    <n v="1"/>
    <s v="XXL"/>
    <s v="Black"/>
    <n v="4.8"/>
    <n v="64"/>
    <d v="2025-07-09T00:00:00"/>
    <s v="RETURNED"/>
    <x v="2"/>
    <x v="4"/>
    <s v="Delhi"/>
    <s v="Color Mismatch"/>
    <n v="4380"/>
    <n v="2847"/>
    <n v="1533"/>
    <x v="1"/>
  </r>
  <r>
    <x v="554"/>
    <s v="C394"/>
    <x v="540"/>
    <s v="Roadster Onto Live"/>
    <x v="6"/>
    <x v="1"/>
    <n v="2605"/>
    <n v="10"/>
    <n v="2345"/>
    <n v="1"/>
    <s v="L"/>
    <s v="Pink"/>
    <n v="4.5"/>
    <n v="41"/>
    <d v="2025-05-09T00:00:00"/>
    <s v="DELIVERED"/>
    <x v="2"/>
    <x v="4"/>
    <s v="Delhi"/>
    <m/>
    <n v="2605"/>
    <n v="2345"/>
    <n v="260"/>
    <x v="0"/>
  </r>
  <r>
    <x v="555"/>
    <s v="C477"/>
    <x v="541"/>
    <s v="Roadster Source Leader"/>
    <x v="1"/>
    <x v="1"/>
    <n v="4198"/>
    <n v="25"/>
    <n v="3149"/>
    <n v="1"/>
    <n v="42"/>
    <s v="Blue"/>
    <n v="4.2"/>
    <n v="141"/>
    <d v="2025-06-15T00:00:00"/>
    <s v="DELIVERED"/>
    <x v="2"/>
    <x v="5"/>
    <s v="Uttar Pradesh"/>
    <m/>
    <n v="4198"/>
    <n v="3149"/>
    <n v="1049"/>
    <x v="0"/>
  </r>
  <r>
    <x v="556"/>
    <s v="C372"/>
    <x v="542"/>
    <s v="HRX Game Loss"/>
    <x v="8"/>
    <x v="2"/>
    <n v="1717"/>
    <n v="10"/>
    <n v="1546"/>
    <n v="2"/>
    <s v="L"/>
    <s v="White"/>
    <n v="3.7"/>
    <n v="148"/>
    <d v="2025-07-12T00:00:00"/>
    <s v="CANCELLED"/>
    <x v="1"/>
    <x v="2"/>
    <s v="Maharashtra"/>
    <m/>
    <n v="3434"/>
    <n v="3092"/>
    <n v="342"/>
    <x v="2"/>
  </r>
  <r>
    <x v="557"/>
    <s v="C630"/>
    <x v="543"/>
    <s v="Mast &amp; Harbour Role Speak"/>
    <x v="9"/>
    <x v="5"/>
    <n v="1142"/>
    <n v="20"/>
    <n v="914"/>
    <n v="3"/>
    <n v="40"/>
    <s v="Pink"/>
    <n v="3.5"/>
    <n v="72"/>
    <d v="2025-05-20T00:00:00"/>
    <s v="CANCELLED"/>
    <x v="2"/>
    <x v="2"/>
    <s v="Maharashtra"/>
    <m/>
    <n v="3426"/>
    <n v="2742"/>
    <n v="684"/>
    <x v="2"/>
  </r>
  <r>
    <x v="558"/>
    <s v="C534"/>
    <x v="544"/>
    <s v="Roadster During Past"/>
    <x v="1"/>
    <x v="1"/>
    <n v="2616"/>
    <n v="25"/>
    <n v="1962"/>
    <n v="3"/>
    <n v="42"/>
    <s v="Green"/>
    <n v="4.7"/>
    <n v="268"/>
    <d v="2025-06-19T00:00:00"/>
    <s v="RETURNED"/>
    <x v="1"/>
    <x v="8"/>
    <s v="Gujarat"/>
    <s v="Defective Item"/>
    <n v="7848"/>
    <n v="5886"/>
    <n v="1962"/>
    <x v="1"/>
  </r>
  <r>
    <x v="559"/>
    <s v="C216"/>
    <x v="545"/>
    <s v="HRX Walk Do"/>
    <x v="8"/>
    <x v="2"/>
    <n v="4753"/>
    <n v="20"/>
    <n v="3803"/>
    <n v="3"/>
    <n v="44"/>
    <s v="Black"/>
    <n v="4.5"/>
    <n v="253"/>
    <d v="2025-06-19T00:00:00"/>
    <s v="RETURNED"/>
    <x v="0"/>
    <x v="6"/>
    <s v="West Bengal"/>
    <s v="Color Mismatch"/>
    <n v="14259"/>
    <n v="11409"/>
    <n v="2850"/>
    <x v="1"/>
  </r>
  <r>
    <x v="560"/>
    <s v="C643"/>
    <x v="546"/>
    <s v="Roadster Get National"/>
    <x v="6"/>
    <x v="1"/>
    <n v="2539"/>
    <n v="10"/>
    <n v="2286"/>
    <n v="3"/>
    <s v="S"/>
    <s v="Red"/>
    <n v="4"/>
    <n v="32"/>
    <d v="2025-04-28T00:00:00"/>
    <s v="RETURNED"/>
    <x v="2"/>
    <x v="1"/>
    <s v="Karnataka"/>
    <m/>
    <n v="7617"/>
    <n v="6858"/>
    <n v="759"/>
    <x v="1"/>
  </r>
  <r>
    <x v="561"/>
    <s v="C574"/>
    <x v="547"/>
    <s v="Roadster Step Small"/>
    <x v="1"/>
    <x v="1"/>
    <n v="1866"/>
    <n v="40"/>
    <n v="1120"/>
    <n v="3"/>
    <n v="42"/>
    <s v="Pink"/>
    <n v="3.6"/>
    <n v="66"/>
    <d v="2025-06-27T00:00:00"/>
    <s v="CANCELLED"/>
    <x v="0"/>
    <x v="0"/>
    <s v="Madhya Pradesh"/>
    <m/>
    <n v="5598"/>
    <n v="3360"/>
    <n v="2238"/>
    <x v="2"/>
  </r>
  <r>
    <x v="562"/>
    <s v="C202"/>
    <x v="548"/>
    <s v="DressBerry Plan Travel"/>
    <x v="2"/>
    <x v="0"/>
    <n v="3701"/>
    <n v="30"/>
    <n v="2591"/>
    <n v="3"/>
    <n v="44"/>
    <s v="Yellow"/>
    <n v="5"/>
    <n v="229"/>
    <d v="2025-06-03T00:00:00"/>
    <s v="CANCELLED"/>
    <x v="0"/>
    <x v="7"/>
    <s v="Telangana"/>
    <m/>
    <n v="11103"/>
    <n v="7773"/>
    <n v="3330"/>
    <x v="2"/>
  </r>
  <r>
    <x v="563"/>
    <s v="C296"/>
    <x v="549"/>
    <s v="WROGN Million Certainly"/>
    <x v="5"/>
    <x v="3"/>
    <n v="4433"/>
    <n v="35"/>
    <n v="2882"/>
    <n v="3"/>
    <s v="M"/>
    <s v="Green"/>
    <n v="4.3"/>
    <n v="227"/>
    <d v="2025-06-09T00:00:00"/>
    <s v="DELIVERED"/>
    <x v="0"/>
    <x v="3"/>
    <s v="Rajasthan"/>
    <m/>
    <n v="13299"/>
    <n v="8646"/>
    <n v="4653"/>
    <x v="0"/>
  </r>
  <r>
    <x v="564"/>
    <s v="C606"/>
    <x v="550"/>
    <s v="HRX And Left"/>
    <x v="4"/>
    <x v="2"/>
    <n v="3761"/>
    <n v="30"/>
    <n v="2633"/>
    <n v="1"/>
    <s v="Free Size"/>
    <s v="Brown"/>
    <n v="4.2"/>
    <n v="200"/>
    <d v="2025-06-18T00:00:00"/>
    <s v="CANCELLED"/>
    <x v="0"/>
    <x v="2"/>
    <s v="Maharashtra"/>
    <m/>
    <n v="3761"/>
    <n v="2633"/>
    <n v="1128"/>
    <x v="2"/>
  </r>
  <r>
    <x v="565"/>
    <s v="C282"/>
    <x v="551"/>
    <s v="WROGN Individual Order"/>
    <x v="5"/>
    <x v="3"/>
    <n v="3694"/>
    <n v="15"/>
    <n v="3140"/>
    <n v="2"/>
    <s v="Free Size"/>
    <s v="Blue"/>
    <n v="3.6"/>
    <n v="85"/>
    <d v="2025-06-13T00:00:00"/>
    <s v="RETURNED"/>
    <x v="2"/>
    <x v="8"/>
    <s v="Gujarat"/>
    <s v="Color Mismatch"/>
    <n v="7388"/>
    <n v="6280"/>
    <n v="1108"/>
    <x v="1"/>
  </r>
  <r>
    <x v="566"/>
    <s v="C202"/>
    <x v="552"/>
    <s v="Roadster Baby Indeed"/>
    <x v="1"/>
    <x v="1"/>
    <n v="4621"/>
    <n v="10"/>
    <n v="4159"/>
    <n v="1"/>
    <s v="M"/>
    <s v="Pink"/>
    <n v="3.9"/>
    <n v="260"/>
    <d v="2025-06-12T00:00:00"/>
    <s v="RETURNED"/>
    <x v="0"/>
    <x v="1"/>
    <s v="Karnataka"/>
    <s v="Defective Item"/>
    <n v="4621"/>
    <n v="4159"/>
    <n v="462"/>
    <x v="1"/>
  </r>
  <r>
    <x v="567"/>
    <s v="C301"/>
    <x v="553"/>
    <s v="DressBerry East Radio"/>
    <x v="0"/>
    <x v="0"/>
    <n v="4720"/>
    <n v="10"/>
    <n v="4248"/>
    <n v="1"/>
    <s v="-"/>
    <s v="White"/>
    <n v="4.5999999999999996"/>
    <n v="290"/>
    <d v="2025-06-26T00:00:00"/>
    <s v="RETURNED"/>
    <x v="0"/>
    <x v="8"/>
    <s v="Gujarat"/>
    <s v="Defective Item"/>
    <n v="4720"/>
    <n v="4248"/>
    <n v="472"/>
    <x v="1"/>
  </r>
  <r>
    <x v="568"/>
    <s v="C576"/>
    <x v="554"/>
    <s v="Roadster Floor Home"/>
    <x v="3"/>
    <x v="1"/>
    <n v="1535"/>
    <n v="40"/>
    <n v="921"/>
    <n v="3"/>
    <n v="42"/>
    <s v="Blue"/>
    <n v="3.9"/>
    <n v="44"/>
    <d v="2025-06-18T00:00:00"/>
    <s v="DELIVERED"/>
    <x v="1"/>
    <x v="3"/>
    <s v="Rajasthan"/>
    <m/>
    <n v="4605"/>
    <n v="2763"/>
    <n v="1842"/>
    <x v="0"/>
  </r>
  <r>
    <x v="569"/>
    <s v="C269"/>
    <x v="555"/>
    <s v="Roadster Way Agree"/>
    <x v="1"/>
    <x v="1"/>
    <n v="4823"/>
    <n v="10"/>
    <n v="4341"/>
    <n v="3"/>
    <s v="S"/>
    <s v="Yellow"/>
    <n v="3.6"/>
    <n v="161"/>
    <d v="2025-04-23T00:00:00"/>
    <s v="RETURNED"/>
    <x v="2"/>
    <x v="7"/>
    <s v="Telangana"/>
    <s v="Defective Item"/>
    <n v="14469"/>
    <n v="13023"/>
    <n v="1446"/>
    <x v="1"/>
  </r>
  <r>
    <x v="570"/>
    <s v="C465"/>
    <x v="556"/>
    <s v="WROGN Themselves Suffer"/>
    <x v="5"/>
    <x v="3"/>
    <n v="3718"/>
    <n v="35"/>
    <n v="2417"/>
    <n v="1"/>
    <s v="XL"/>
    <s v="Red"/>
    <n v="4.2"/>
    <n v="37"/>
    <d v="2025-07-02T00:00:00"/>
    <s v="DELIVERED"/>
    <x v="2"/>
    <x v="5"/>
    <s v="Uttar Pradesh"/>
    <m/>
    <n v="3718"/>
    <n v="2417"/>
    <n v="1301"/>
    <x v="0"/>
  </r>
  <r>
    <x v="571"/>
    <s v="C304"/>
    <x v="520"/>
    <s v="Roadster Teach Official"/>
    <x v="6"/>
    <x v="1"/>
    <n v="1350"/>
    <n v="15"/>
    <n v="1148"/>
    <n v="3"/>
    <n v="42"/>
    <s v="Black"/>
    <n v="3.7"/>
    <n v="248"/>
    <d v="2025-06-29T00:00:00"/>
    <s v="DELIVERED"/>
    <x v="1"/>
    <x v="4"/>
    <s v="Delhi"/>
    <m/>
    <n v="4050"/>
    <n v="3444"/>
    <n v="606"/>
    <x v="0"/>
  </r>
  <r>
    <x v="572"/>
    <s v="C461"/>
    <x v="557"/>
    <s v="DressBerry Foreign Picture"/>
    <x v="0"/>
    <x v="0"/>
    <n v="4562"/>
    <n v="15"/>
    <n v="3878"/>
    <n v="2"/>
    <s v="XXL"/>
    <s v="Pink"/>
    <n v="3.7"/>
    <n v="150"/>
    <d v="2025-07-18T00:00:00"/>
    <s v="DELIVERED"/>
    <x v="0"/>
    <x v="4"/>
    <s v="Delhi"/>
    <m/>
    <n v="9124"/>
    <n v="7756"/>
    <n v="1368"/>
    <x v="0"/>
  </r>
  <r>
    <x v="573"/>
    <s v="C400"/>
    <x v="558"/>
    <s v="HRX Art Trouble"/>
    <x v="8"/>
    <x v="2"/>
    <n v="4638"/>
    <n v="15"/>
    <n v="3943"/>
    <n v="3"/>
    <s v="L"/>
    <s v="Pink"/>
    <n v="5"/>
    <n v="171"/>
    <d v="2025-07-08T00:00:00"/>
    <s v="RETURNED"/>
    <x v="2"/>
    <x v="0"/>
    <s v="Madhya Pradesh"/>
    <m/>
    <n v="13914"/>
    <n v="11829"/>
    <n v="2085"/>
    <x v="1"/>
  </r>
  <r>
    <x v="574"/>
    <s v="C520"/>
    <x v="559"/>
    <s v="Roadster Occur Southern"/>
    <x v="3"/>
    <x v="1"/>
    <n v="4764"/>
    <n v="40"/>
    <n v="2859"/>
    <n v="3"/>
    <s v="L"/>
    <s v="Red"/>
    <n v="4.2"/>
    <n v="207"/>
    <d v="2025-06-06T00:00:00"/>
    <s v="CANCELLED"/>
    <x v="2"/>
    <x v="8"/>
    <s v="Gujarat"/>
    <m/>
    <n v="14292"/>
    <n v="8577"/>
    <n v="5715"/>
    <x v="2"/>
  </r>
  <r>
    <x v="575"/>
    <s v="C344"/>
    <x v="560"/>
    <s v="DressBerry Focus Truth"/>
    <x v="2"/>
    <x v="0"/>
    <n v="4125"/>
    <n v="40"/>
    <n v="2475"/>
    <n v="3"/>
    <n v="44"/>
    <s v="Black"/>
    <n v="4.8"/>
    <n v="136"/>
    <d v="2025-07-11T00:00:00"/>
    <s v="CANCELLED"/>
    <x v="2"/>
    <x v="4"/>
    <s v="Delhi"/>
    <m/>
    <n v="12375"/>
    <n v="7425"/>
    <n v="4950"/>
    <x v="2"/>
  </r>
  <r>
    <x v="576"/>
    <s v="C464"/>
    <x v="561"/>
    <s v="WROGN Accept Service"/>
    <x v="5"/>
    <x v="3"/>
    <n v="4779"/>
    <n v="25"/>
    <n v="3585"/>
    <n v="1"/>
    <n v="40"/>
    <s v="Grey"/>
    <n v="4.9000000000000004"/>
    <n v="186"/>
    <d v="2025-06-13T00:00:00"/>
    <s v="DELIVERED"/>
    <x v="2"/>
    <x v="1"/>
    <s v="Karnataka"/>
    <m/>
    <n v="4779"/>
    <n v="3585"/>
    <n v="1194"/>
    <x v="0"/>
  </r>
  <r>
    <x v="577"/>
    <s v="C255"/>
    <x v="562"/>
    <s v="Mast &amp; Harbour My Among"/>
    <x v="9"/>
    <x v="5"/>
    <n v="1379"/>
    <n v="15"/>
    <n v="1173"/>
    <n v="3"/>
    <s v="S"/>
    <s v="Brown"/>
    <n v="4"/>
    <n v="63"/>
    <d v="2025-06-02T00:00:00"/>
    <s v="RETURNED"/>
    <x v="1"/>
    <x v="4"/>
    <s v="Delhi"/>
    <m/>
    <n v="4137"/>
    <n v="3519"/>
    <n v="618"/>
    <x v="1"/>
  </r>
  <r>
    <x v="578"/>
    <s v="C377"/>
    <x v="563"/>
    <s v="WROGN Opportunity There"/>
    <x v="5"/>
    <x v="3"/>
    <n v="3120"/>
    <n v="25"/>
    <n v="2340"/>
    <n v="1"/>
    <s v="XXL"/>
    <s v="Pink"/>
    <n v="4.8"/>
    <n v="252"/>
    <d v="2025-06-12T00:00:00"/>
    <s v="CANCELLED"/>
    <x v="2"/>
    <x v="6"/>
    <s v="West Bengal"/>
    <m/>
    <n v="3120"/>
    <n v="2340"/>
    <n v="780"/>
    <x v="2"/>
  </r>
  <r>
    <x v="579"/>
    <s v="C270"/>
    <x v="564"/>
    <s v="Roadster Business Floor"/>
    <x v="1"/>
    <x v="1"/>
    <n v="1003"/>
    <n v="35"/>
    <n v="652"/>
    <n v="2"/>
    <s v="S"/>
    <s v="Grey"/>
    <n v="4.8"/>
    <n v="171"/>
    <d v="2025-06-29T00:00:00"/>
    <s v="RETURNED"/>
    <x v="2"/>
    <x v="1"/>
    <s v="Karnataka"/>
    <s v="Late Delivery"/>
    <n v="2006"/>
    <n v="1304"/>
    <n v="702"/>
    <x v="1"/>
  </r>
  <r>
    <x v="580"/>
    <s v="C647"/>
    <x v="565"/>
    <s v="WROGN International Now"/>
    <x v="5"/>
    <x v="3"/>
    <n v="3019"/>
    <n v="15"/>
    <n v="2567"/>
    <n v="2"/>
    <s v="XXL"/>
    <s v="Brown"/>
    <n v="3.9"/>
    <n v="154"/>
    <d v="2025-05-19T00:00:00"/>
    <s v="CANCELLED"/>
    <x v="1"/>
    <x v="8"/>
    <s v="Gujarat"/>
    <m/>
    <n v="6038"/>
    <n v="5134"/>
    <n v="904"/>
    <x v="2"/>
  </r>
  <r>
    <x v="581"/>
    <s v="C523"/>
    <x v="566"/>
    <s v="Roadster Debate Whether"/>
    <x v="1"/>
    <x v="1"/>
    <n v="3113"/>
    <n v="25"/>
    <n v="2335"/>
    <n v="2"/>
    <s v="XL"/>
    <s v="Blue"/>
    <n v="3.8"/>
    <n v="99"/>
    <d v="2025-06-19T00:00:00"/>
    <s v="DELIVERED"/>
    <x v="0"/>
    <x v="4"/>
    <s v="Delhi"/>
    <m/>
    <n v="6226"/>
    <n v="4670"/>
    <n v="1556"/>
    <x v="0"/>
  </r>
  <r>
    <x v="582"/>
    <s v="C360"/>
    <x v="567"/>
    <s v="Roadster Personal Support"/>
    <x v="1"/>
    <x v="1"/>
    <n v="684"/>
    <n v="35"/>
    <n v="445"/>
    <n v="1"/>
    <s v="XXL"/>
    <s v="Blue"/>
    <n v="4.4000000000000004"/>
    <n v="208"/>
    <d v="2025-05-09T00:00:00"/>
    <s v="CANCELLED"/>
    <x v="0"/>
    <x v="4"/>
    <s v="Delhi"/>
    <m/>
    <n v="684"/>
    <n v="445"/>
    <n v="239"/>
    <x v="2"/>
  </r>
  <r>
    <x v="583"/>
    <s v="C476"/>
    <x v="568"/>
    <s v="HRX Step Opportunity"/>
    <x v="8"/>
    <x v="2"/>
    <n v="882"/>
    <n v="10"/>
    <n v="794"/>
    <n v="2"/>
    <n v="42"/>
    <s v="Pink"/>
    <n v="4"/>
    <n v="51"/>
    <d v="2025-06-21T00:00:00"/>
    <s v="CANCELLED"/>
    <x v="2"/>
    <x v="8"/>
    <s v="Gujarat"/>
    <m/>
    <n v="1764"/>
    <n v="1588"/>
    <n v="176"/>
    <x v="2"/>
  </r>
  <r>
    <x v="584"/>
    <s v="C280"/>
    <x v="436"/>
    <s v="Mast &amp; Harbour Something Cause"/>
    <x v="9"/>
    <x v="5"/>
    <n v="2671"/>
    <n v="35"/>
    <n v="1737"/>
    <n v="3"/>
    <n v="42"/>
    <s v="Red"/>
    <n v="3.8"/>
    <n v="145"/>
    <d v="2025-05-26T00:00:00"/>
    <s v="DELIVERED"/>
    <x v="2"/>
    <x v="3"/>
    <s v="Rajasthan"/>
    <m/>
    <n v="8013"/>
    <n v="5211"/>
    <n v="2802"/>
    <x v="0"/>
  </r>
  <r>
    <x v="585"/>
    <s v="C699"/>
    <x v="569"/>
    <s v="WROGN Million Know"/>
    <x v="5"/>
    <x v="3"/>
    <n v="3643"/>
    <n v="40"/>
    <n v="2186"/>
    <n v="2"/>
    <s v="S"/>
    <s v="Grey"/>
    <n v="4.2"/>
    <n v="118"/>
    <d v="2025-06-13T00:00:00"/>
    <s v="DELIVERED"/>
    <x v="2"/>
    <x v="0"/>
    <s v="Madhya Pradesh"/>
    <m/>
    <n v="7286"/>
    <n v="4372"/>
    <n v="2914"/>
    <x v="0"/>
  </r>
  <r>
    <x v="586"/>
    <s v="C355"/>
    <x v="570"/>
    <s v="Roadster Here Born"/>
    <x v="6"/>
    <x v="1"/>
    <n v="2378"/>
    <n v="15"/>
    <n v="2022"/>
    <n v="2"/>
    <s v="-"/>
    <s v="Brown"/>
    <n v="4.5999999999999996"/>
    <n v="17"/>
    <d v="2025-06-13T00:00:00"/>
    <s v="CANCELLED"/>
    <x v="0"/>
    <x v="0"/>
    <s v="Madhya Pradesh"/>
    <m/>
    <n v="4756"/>
    <n v="4044"/>
    <n v="712"/>
    <x v="2"/>
  </r>
  <r>
    <x v="587"/>
    <s v="C531"/>
    <x v="571"/>
    <s v="HRX Accept For"/>
    <x v="8"/>
    <x v="2"/>
    <n v="1802"/>
    <n v="15"/>
    <n v="1532"/>
    <n v="3"/>
    <n v="42"/>
    <s v="Green"/>
    <n v="4.3"/>
    <n v="110"/>
    <d v="2025-07-04T00:00:00"/>
    <s v="DELIVERED"/>
    <x v="0"/>
    <x v="3"/>
    <s v="Rajasthan"/>
    <m/>
    <n v="5406"/>
    <n v="4596"/>
    <n v="810"/>
    <x v="0"/>
  </r>
  <r>
    <x v="588"/>
    <s v="C535"/>
    <x v="572"/>
    <s v="Roadster Public Left"/>
    <x v="6"/>
    <x v="1"/>
    <n v="2904"/>
    <n v="40"/>
    <n v="1743"/>
    <n v="3"/>
    <n v="42"/>
    <s v="White"/>
    <n v="3.9"/>
    <n v="264"/>
    <d v="2025-05-17T00:00:00"/>
    <s v="DELIVERED"/>
    <x v="1"/>
    <x v="5"/>
    <s v="Uttar Pradesh"/>
    <m/>
    <n v="8712"/>
    <n v="5229"/>
    <n v="3483"/>
    <x v="0"/>
  </r>
  <r>
    <x v="589"/>
    <s v="C643"/>
    <x v="573"/>
    <s v="Roadster Member Treatment"/>
    <x v="6"/>
    <x v="1"/>
    <n v="1846"/>
    <n v="25"/>
    <n v="1385"/>
    <n v="2"/>
    <s v="M"/>
    <s v="White"/>
    <n v="4.5999999999999996"/>
    <n v="285"/>
    <d v="2025-05-07T00:00:00"/>
    <s v="DELIVERED"/>
    <x v="2"/>
    <x v="8"/>
    <s v="Gujarat"/>
    <m/>
    <n v="3692"/>
    <n v="2770"/>
    <n v="922"/>
    <x v="0"/>
  </r>
  <r>
    <x v="590"/>
    <s v="C454"/>
    <x v="574"/>
    <s v="HRX First Include"/>
    <x v="4"/>
    <x v="2"/>
    <n v="3956"/>
    <n v="35"/>
    <n v="2572"/>
    <n v="3"/>
    <s v="S"/>
    <s v="Blue"/>
    <n v="3.9"/>
    <n v="152"/>
    <d v="2025-07-13T00:00:00"/>
    <s v="CANCELLED"/>
    <x v="0"/>
    <x v="4"/>
    <s v="Delhi"/>
    <m/>
    <n v="11868"/>
    <n v="7716"/>
    <n v="4152"/>
    <x v="2"/>
  </r>
  <r>
    <x v="591"/>
    <s v="C585"/>
    <x v="575"/>
    <s v="HRX Deep Laugh"/>
    <x v="8"/>
    <x v="2"/>
    <n v="876"/>
    <n v="40"/>
    <n v="526"/>
    <n v="1"/>
    <n v="42"/>
    <s v="Pink"/>
    <n v="3.5"/>
    <n v="237"/>
    <d v="2025-06-03T00:00:00"/>
    <s v="DELIVERED"/>
    <x v="2"/>
    <x v="7"/>
    <s v="Telangana"/>
    <m/>
    <n v="876"/>
    <n v="526"/>
    <n v="350"/>
    <x v="0"/>
  </r>
  <r>
    <x v="592"/>
    <s v="C600"/>
    <x v="576"/>
    <s v="Mast &amp; Harbour Question Front"/>
    <x v="9"/>
    <x v="5"/>
    <n v="4591"/>
    <n v="15"/>
    <n v="3903"/>
    <n v="3"/>
    <n v="40"/>
    <s v="Grey"/>
    <n v="3.9"/>
    <n v="255"/>
    <d v="2025-05-10T00:00:00"/>
    <s v="DELIVERED"/>
    <x v="0"/>
    <x v="2"/>
    <s v="Maharashtra"/>
    <m/>
    <n v="13773"/>
    <n v="11709"/>
    <n v="2064"/>
    <x v="0"/>
  </r>
  <r>
    <x v="593"/>
    <s v="C603"/>
    <x v="577"/>
    <s v="DressBerry Next Last"/>
    <x v="2"/>
    <x v="0"/>
    <n v="3307"/>
    <n v="30"/>
    <n v="2315"/>
    <n v="2"/>
    <s v="Free Size"/>
    <s v="Brown"/>
    <n v="3.9"/>
    <n v="197"/>
    <d v="2025-07-03T00:00:00"/>
    <s v="RETURNED"/>
    <x v="2"/>
    <x v="1"/>
    <s v="Karnataka"/>
    <s v="Late Delivery"/>
    <n v="6614"/>
    <n v="4630"/>
    <n v="1984"/>
    <x v="1"/>
  </r>
  <r>
    <x v="594"/>
    <s v="C226"/>
    <x v="578"/>
    <s v="Anouk Certainly Sit"/>
    <x v="7"/>
    <x v="4"/>
    <n v="2504"/>
    <n v="35"/>
    <n v="1628"/>
    <n v="3"/>
    <s v="M"/>
    <s v="Brown"/>
    <n v="4.4000000000000004"/>
    <n v="159"/>
    <d v="2025-06-01T00:00:00"/>
    <s v="DELIVERED"/>
    <x v="1"/>
    <x v="9"/>
    <s v="Tamil Nadu"/>
    <m/>
    <n v="7512"/>
    <n v="4884"/>
    <n v="2628"/>
    <x v="0"/>
  </r>
  <r>
    <x v="595"/>
    <s v="C660"/>
    <x v="579"/>
    <s v="Roadster Reduce Car"/>
    <x v="1"/>
    <x v="1"/>
    <n v="2409"/>
    <n v="30"/>
    <n v="1687"/>
    <n v="2"/>
    <s v="XXL"/>
    <s v="Red"/>
    <n v="3.8"/>
    <n v="76"/>
    <d v="2025-06-28T00:00:00"/>
    <s v="RETURNED"/>
    <x v="2"/>
    <x v="9"/>
    <s v="Tamil Nadu"/>
    <s v="Late Delivery"/>
    <n v="4818"/>
    <n v="3374"/>
    <n v="1444"/>
    <x v="1"/>
  </r>
  <r>
    <x v="596"/>
    <s v="C636"/>
    <x v="292"/>
    <s v="WROGN Young Marriage"/>
    <x v="5"/>
    <x v="3"/>
    <n v="3307"/>
    <n v="40"/>
    <n v="1985"/>
    <n v="2"/>
    <s v="M"/>
    <s v="Red"/>
    <n v="4.4000000000000004"/>
    <n v="220"/>
    <d v="2025-07-20T00:00:00"/>
    <s v="DELIVERED"/>
    <x v="1"/>
    <x v="2"/>
    <s v="Maharashtra"/>
    <m/>
    <n v="6614"/>
    <n v="3970"/>
    <n v="2644"/>
    <x v="0"/>
  </r>
  <r>
    <x v="597"/>
    <s v="C651"/>
    <x v="418"/>
    <s v="Anouk Machine Grow"/>
    <x v="7"/>
    <x v="4"/>
    <n v="1640"/>
    <n v="20"/>
    <n v="1312"/>
    <n v="1"/>
    <s v="Free Size"/>
    <s v="Yellow"/>
    <n v="3.7"/>
    <n v="242"/>
    <d v="2025-06-01T00:00:00"/>
    <s v="CANCELLED"/>
    <x v="2"/>
    <x v="0"/>
    <s v="Madhya Pradesh"/>
    <m/>
    <n v="1640"/>
    <n v="1312"/>
    <n v="328"/>
    <x v="2"/>
  </r>
  <r>
    <x v="598"/>
    <s v="C208"/>
    <x v="580"/>
    <s v="Anouk Call Operation"/>
    <x v="7"/>
    <x v="4"/>
    <n v="948"/>
    <n v="20"/>
    <n v="759"/>
    <n v="3"/>
    <n v="40"/>
    <s v="Green"/>
    <n v="4.5"/>
    <n v="57"/>
    <d v="2025-05-15T00:00:00"/>
    <s v="DELIVERED"/>
    <x v="0"/>
    <x v="0"/>
    <s v="Madhya Pradesh"/>
    <m/>
    <n v="2844"/>
    <n v="2277"/>
    <n v="567"/>
    <x v="0"/>
  </r>
  <r>
    <x v="599"/>
    <s v="C221"/>
    <x v="581"/>
    <s v="Roadster Conference More"/>
    <x v="3"/>
    <x v="1"/>
    <n v="4541"/>
    <n v="20"/>
    <n v="3633"/>
    <n v="3"/>
    <s v="M"/>
    <s v="Blue"/>
    <n v="3.8"/>
    <n v="225"/>
    <d v="2025-05-28T00:00:00"/>
    <s v="DELIVERED"/>
    <x v="0"/>
    <x v="8"/>
    <s v="Gujarat"/>
    <m/>
    <n v="13623"/>
    <n v="10899"/>
    <n v="2724"/>
    <x v="0"/>
  </r>
  <r>
    <x v="600"/>
    <s v="C500"/>
    <x v="582"/>
    <s v="Mast &amp; Harbour Role Relate"/>
    <x v="9"/>
    <x v="5"/>
    <n v="3056"/>
    <n v="10"/>
    <n v="2751"/>
    <n v="1"/>
    <n v="40"/>
    <s v="Grey"/>
    <n v="5"/>
    <n v="48"/>
    <d v="2025-05-17T00:00:00"/>
    <s v="CANCELLED"/>
    <x v="1"/>
    <x v="2"/>
    <s v="Maharashtra"/>
    <m/>
    <n v="3056"/>
    <n v="2751"/>
    <n v="305"/>
    <x v="2"/>
  </r>
  <r>
    <x v="601"/>
    <s v="C261"/>
    <x v="583"/>
    <s v="Roadster Pick State"/>
    <x v="1"/>
    <x v="1"/>
    <n v="4849"/>
    <n v="15"/>
    <n v="4122"/>
    <n v="1"/>
    <s v="Free Size"/>
    <s v="Brown"/>
    <n v="3.9"/>
    <n v="261"/>
    <d v="2025-04-23T00:00:00"/>
    <s v="RETURNED"/>
    <x v="2"/>
    <x v="8"/>
    <s v="Gujarat"/>
    <s v="Defective Item"/>
    <n v="4849"/>
    <n v="4122"/>
    <n v="727"/>
    <x v="1"/>
  </r>
  <r>
    <x v="602"/>
    <s v="C304"/>
    <x v="584"/>
    <s v="HRX Loss Think"/>
    <x v="4"/>
    <x v="2"/>
    <n v="3543"/>
    <n v="20"/>
    <n v="2835"/>
    <n v="1"/>
    <s v="M"/>
    <s v="Green"/>
    <n v="4.4000000000000004"/>
    <n v="213"/>
    <d v="2025-06-23T00:00:00"/>
    <s v="DELIVERED"/>
    <x v="1"/>
    <x v="5"/>
    <s v="Uttar Pradesh"/>
    <m/>
    <n v="3543"/>
    <n v="2835"/>
    <n v="708"/>
    <x v="0"/>
  </r>
  <r>
    <x v="603"/>
    <s v="C671"/>
    <x v="585"/>
    <s v="DressBerry Source Program"/>
    <x v="2"/>
    <x v="0"/>
    <n v="2546"/>
    <n v="40"/>
    <n v="1528"/>
    <n v="2"/>
    <s v="M"/>
    <s v="Green"/>
    <n v="3.7"/>
    <n v="210"/>
    <d v="2025-07-12T00:00:00"/>
    <s v="DELIVERED"/>
    <x v="1"/>
    <x v="1"/>
    <s v="Karnataka"/>
    <m/>
    <n v="5092"/>
    <n v="3056"/>
    <n v="2036"/>
    <x v="0"/>
  </r>
  <r>
    <x v="604"/>
    <s v="C499"/>
    <x v="586"/>
    <s v="HRX I His"/>
    <x v="8"/>
    <x v="2"/>
    <n v="4118"/>
    <n v="30"/>
    <n v="2883"/>
    <n v="2"/>
    <n v="44"/>
    <s v="Pink"/>
    <n v="4.3"/>
    <n v="214"/>
    <d v="2025-04-25T00:00:00"/>
    <s v="CANCELLED"/>
    <x v="2"/>
    <x v="4"/>
    <s v="Delhi"/>
    <m/>
    <n v="8236"/>
    <n v="5766"/>
    <n v="2470"/>
    <x v="2"/>
  </r>
  <r>
    <x v="605"/>
    <s v="C251"/>
    <x v="587"/>
    <s v="WROGN Occur Go"/>
    <x v="5"/>
    <x v="3"/>
    <n v="2890"/>
    <n v="10"/>
    <n v="2601"/>
    <n v="1"/>
    <s v="Free Size"/>
    <s v="Yellow"/>
    <n v="4.4000000000000004"/>
    <n v="76"/>
    <d v="2025-06-09T00:00:00"/>
    <s v="DELIVERED"/>
    <x v="2"/>
    <x v="4"/>
    <s v="Delhi"/>
    <m/>
    <n v="2890"/>
    <n v="2601"/>
    <n v="289"/>
    <x v="0"/>
  </r>
  <r>
    <x v="606"/>
    <s v="C336"/>
    <x v="588"/>
    <s v="Mast &amp; Harbour Garden Thus"/>
    <x v="9"/>
    <x v="5"/>
    <n v="2741"/>
    <n v="20"/>
    <n v="2193"/>
    <n v="2"/>
    <n v="42"/>
    <s v="White"/>
    <n v="4.0999999999999996"/>
    <n v="61"/>
    <d v="2025-05-26T00:00:00"/>
    <s v="CANCELLED"/>
    <x v="0"/>
    <x v="0"/>
    <s v="Madhya Pradesh"/>
    <m/>
    <n v="5482"/>
    <n v="4386"/>
    <n v="1096"/>
    <x v="2"/>
  </r>
  <r>
    <x v="607"/>
    <s v="C362"/>
    <x v="589"/>
    <s v="DressBerry Soldier Arm"/>
    <x v="0"/>
    <x v="0"/>
    <n v="3452"/>
    <n v="20"/>
    <n v="2762"/>
    <n v="1"/>
    <n v="44"/>
    <s v="Brown"/>
    <n v="4.0999999999999996"/>
    <n v="239"/>
    <d v="2025-06-06T00:00:00"/>
    <s v="CANCELLED"/>
    <x v="1"/>
    <x v="6"/>
    <s v="West Bengal"/>
    <m/>
    <n v="3452"/>
    <n v="2762"/>
    <n v="690"/>
    <x v="2"/>
  </r>
  <r>
    <x v="608"/>
    <s v="C556"/>
    <x v="590"/>
    <s v="DressBerry Strong Improve"/>
    <x v="2"/>
    <x v="0"/>
    <n v="4987"/>
    <n v="35"/>
    <n v="3242"/>
    <n v="2"/>
    <s v="Free Size"/>
    <s v="Brown"/>
    <n v="3.8"/>
    <n v="70"/>
    <d v="2025-06-12T00:00:00"/>
    <s v="RETURNED"/>
    <x v="1"/>
    <x v="5"/>
    <s v="Uttar Pradesh"/>
    <s v="Color Mismatch"/>
    <n v="9974"/>
    <n v="6484"/>
    <n v="3490"/>
    <x v="1"/>
  </r>
  <r>
    <x v="609"/>
    <s v="C681"/>
    <x v="591"/>
    <s v="DressBerry Foot Difference"/>
    <x v="0"/>
    <x v="0"/>
    <n v="2068"/>
    <n v="15"/>
    <n v="1758"/>
    <n v="2"/>
    <s v="Free Size"/>
    <s v="Black"/>
    <n v="4.7"/>
    <n v="76"/>
    <d v="2025-06-27T00:00:00"/>
    <s v="RETURNED"/>
    <x v="1"/>
    <x v="6"/>
    <s v="West Bengal"/>
    <s v="Size Issue"/>
    <n v="4136"/>
    <n v="3516"/>
    <n v="620"/>
    <x v="1"/>
  </r>
  <r>
    <x v="610"/>
    <s v="C267"/>
    <x v="592"/>
    <s v="DressBerry Billion Money"/>
    <x v="0"/>
    <x v="0"/>
    <n v="1870"/>
    <n v="20"/>
    <n v="1496"/>
    <n v="1"/>
    <s v="XL"/>
    <s v="Red"/>
    <n v="3.9"/>
    <n v="104"/>
    <d v="2025-06-04T00:00:00"/>
    <s v="DELIVERED"/>
    <x v="0"/>
    <x v="5"/>
    <s v="Uttar Pradesh"/>
    <m/>
    <n v="1870"/>
    <n v="1496"/>
    <n v="374"/>
    <x v="0"/>
  </r>
  <r>
    <x v="611"/>
    <s v="C423"/>
    <x v="593"/>
    <s v="Roadster Modern Network"/>
    <x v="3"/>
    <x v="1"/>
    <n v="611"/>
    <n v="30"/>
    <n v="428"/>
    <n v="1"/>
    <s v="XXL"/>
    <s v="Blue"/>
    <n v="4.4000000000000004"/>
    <n v="274"/>
    <d v="2025-05-30T00:00:00"/>
    <s v="DELIVERED"/>
    <x v="0"/>
    <x v="9"/>
    <s v="Tamil Nadu"/>
    <m/>
    <n v="611"/>
    <n v="428"/>
    <n v="183"/>
    <x v="0"/>
  </r>
  <r>
    <x v="612"/>
    <s v="C286"/>
    <x v="594"/>
    <s v="Anouk Also Local"/>
    <x v="7"/>
    <x v="4"/>
    <n v="4811"/>
    <n v="30"/>
    <n v="3368"/>
    <n v="3"/>
    <s v="XXL"/>
    <s v="Green"/>
    <n v="3.9"/>
    <n v="229"/>
    <d v="2025-05-16T00:00:00"/>
    <s v="CANCELLED"/>
    <x v="0"/>
    <x v="9"/>
    <s v="Tamil Nadu"/>
    <m/>
    <n v="14433"/>
    <n v="10104"/>
    <n v="4329"/>
    <x v="2"/>
  </r>
  <r>
    <x v="613"/>
    <s v="C383"/>
    <x v="595"/>
    <s v="WROGN Meet Call"/>
    <x v="5"/>
    <x v="3"/>
    <n v="3316"/>
    <n v="20"/>
    <n v="2653"/>
    <n v="3"/>
    <s v="L"/>
    <s v="Navy"/>
    <n v="4.5999999999999996"/>
    <n v="142"/>
    <d v="2025-04-22T00:00:00"/>
    <s v="DELIVERED"/>
    <x v="1"/>
    <x v="7"/>
    <s v="Telangana"/>
    <m/>
    <n v="9948"/>
    <n v="7959"/>
    <n v="1989"/>
    <x v="0"/>
  </r>
  <r>
    <x v="614"/>
    <s v="C398"/>
    <x v="596"/>
    <s v="Anouk What Item"/>
    <x v="7"/>
    <x v="4"/>
    <n v="3428"/>
    <n v="35"/>
    <n v="2229"/>
    <n v="1"/>
    <s v="Free Size"/>
    <s v="Green"/>
    <n v="4.8"/>
    <n v="232"/>
    <d v="2025-07-20T00:00:00"/>
    <s v="DELIVERED"/>
    <x v="2"/>
    <x v="8"/>
    <s v="Gujarat"/>
    <m/>
    <n v="3428"/>
    <n v="2229"/>
    <n v="1199"/>
    <x v="0"/>
  </r>
  <r>
    <x v="615"/>
    <s v="C520"/>
    <x v="597"/>
    <s v="HRX White Beautiful"/>
    <x v="8"/>
    <x v="2"/>
    <n v="3111"/>
    <n v="20"/>
    <n v="2489"/>
    <n v="2"/>
    <n v="42"/>
    <s v="Grey"/>
    <n v="4.3"/>
    <n v="198"/>
    <d v="2025-07-09T00:00:00"/>
    <s v="DELIVERED"/>
    <x v="1"/>
    <x v="1"/>
    <s v="Karnataka"/>
    <m/>
    <n v="6222"/>
    <n v="4978"/>
    <n v="1244"/>
    <x v="0"/>
  </r>
  <r>
    <x v="616"/>
    <s v="C699"/>
    <x v="598"/>
    <s v="Mast &amp; Harbour Character End"/>
    <x v="9"/>
    <x v="5"/>
    <n v="3794"/>
    <n v="15"/>
    <n v="3225"/>
    <n v="3"/>
    <n v="42"/>
    <s v="Black"/>
    <n v="4.8"/>
    <n v="235"/>
    <d v="2025-07-15T00:00:00"/>
    <s v="RETURNED"/>
    <x v="2"/>
    <x v="4"/>
    <s v="Delhi"/>
    <s v="Color Mismatch"/>
    <n v="11382"/>
    <n v="9675"/>
    <n v="1707"/>
    <x v="1"/>
  </r>
  <r>
    <x v="617"/>
    <s v="C213"/>
    <x v="599"/>
    <s v="DressBerry Build Position"/>
    <x v="0"/>
    <x v="0"/>
    <n v="4217"/>
    <n v="25"/>
    <n v="3163"/>
    <n v="1"/>
    <s v="XXL"/>
    <s v="Green"/>
    <n v="4.7"/>
    <n v="118"/>
    <d v="2025-04-26T00:00:00"/>
    <s v="CANCELLED"/>
    <x v="0"/>
    <x v="6"/>
    <s v="West Bengal"/>
    <m/>
    <n v="4217"/>
    <n v="3163"/>
    <n v="1054"/>
    <x v="2"/>
  </r>
  <r>
    <x v="618"/>
    <s v="C652"/>
    <x v="9"/>
    <s v="DressBerry Home Work"/>
    <x v="0"/>
    <x v="0"/>
    <n v="3001"/>
    <n v="20"/>
    <n v="2401"/>
    <n v="1"/>
    <s v="Free Size"/>
    <s v="Yellow"/>
    <n v="4.5999999999999996"/>
    <n v="138"/>
    <d v="2025-06-27T00:00:00"/>
    <s v="DELIVERED"/>
    <x v="2"/>
    <x v="7"/>
    <s v="Telangana"/>
    <m/>
    <n v="3001"/>
    <n v="2401"/>
    <n v="600"/>
    <x v="0"/>
  </r>
  <r>
    <x v="619"/>
    <s v="C466"/>
    <x v="600"/>
    <s v="Roadster Able Growth"/>
    <x v="3"/>
    <x v="1"/>
    <n v="4231"/>
    <n v="20"/>
    <n v="3385"/>
    <n v="2"/>
    <n v="40"/>
    <s v="Yellow"/>
    <n v="4.5"/>
    <n v="72"/>
    <d v="2025-06-30T00:00:00"/>
    <s v="CANCELLED"/>
    <x v="0"/>
    <x v="6"/>
    <s v="West Bengal"/>
    <m/>
    <n v="8462"/>
    <n v="6770"/>
    <n v="1692"/>
    <x v="2"/>
  </r>
  <r>
    <x v="620"/>
    <s v="C617"/>
    <x v="601"/>
    <s v="WROGN Executive Take"/>
    <x v="5"/>
    <x v="3"/>
    <n v="860"/>
    <n v="20"/>
    <n v="688"/>
    <n v="2"/>
    <s v="XXL"/>
    <s v="Pink"/>
    <n v="4.5999999999999996"/>
    <n v="148"/>
    <d v="2025-06-25T00:00:00"/>
    <s v="DELIVERED"/>
    <x v="2"/>
    <x v="3"/>
    <s v="Rajasthan"/>
    <m/>
    <n v="1720"/>
    <n v="1376"/>
    <n v="344"/>
    <x v="0"/>
  </r>
  <r>
    <x v="621"/>
    <s v="C518"/>
    <x v="602"/>
    <s v="HRX Race Time"/>
    <x v="8"/>
    <x v="2"/>
    <n v="4740"/>
    <n v="35"/>
    <n v="3081"/>
    <n v="2"/>
    <s v="L"/>
    <s v="Pink"/>
    <n v="3.9"/>
    <n v="103"/>
    <d v="2025-06-27T00:00:00"/>
    <s v="DELIVERED"/>
    <x v="0"/>
    <x v="5"/>
    <s v="Uttar Pradesh"/>
    <m/>
    <n v="9480"/>
    <n v="6162"/>
    <n v="3318"/>
    <x v="0"/>
  </r>
  <r>
    <x v="622"/>
    <s v="C399"/>
    <x v="603"/>
    <s v="Roadster Enough He"/>
    <x v="3"/>
    <x v="1"/>
    <n v="4963"/>
    <n v="30"/>
    <n v="3475"/>
    <n v="3"/>
    <s v="M"/>
    <s v="Brown"/>
    <n v="3.9"/>
    <n v="276"/>
    <d v="2025-06-28T00:00:00"/>
    <s v="CANCELLED"/>
    <x v="1"/>
    <x v="3"/>
    <s v="Rajasthan"/>
    <m/>
    <n v="14889"/>
    <n v="10425"/>
    <n v="4464"/>
    <x v="2"/>
  </r>
  <r>
    <x v="623"/>
    <s v="C565"/>
    <x v="604"/>
    <s v="DressBerry Even Significant"/>
    <x v="2"/>
    <x v="0"/>
    <n v="2653"/>
    <n v="35"/>
    <n v="1725"/>
    <n v="2"/>
    <n v="42"/>
    <s v="Navy"/>
    <n v="3.9"/>
    <n v="199"/>
    <d v="2025-05-16T00:00:00"/>
    <s v="DELIVERED"/>
    <x v="2"/>
    <x v="5"/>
    <s v="Uttar Pradesh"/>
    <m/>
    <n v="5306"/>
    <n v="3450"/>
    <n v="1856"/>
    <x v="0"/>
  </r>
  <r>
    <x v="624"/>
    <s v="C294"/>
    <x v="605"/>
    <s v="Roadster Simple Word"/>
    <x v="3"/>
    <x v="1"/>
    <n v="1822"/>
    <n v="35"/>
    <n v="1185"/>
    <n v="2"/>
    <n v="42"/>
    <s v="Yellow"/>
    <n v="3.8"/>
    <n v="55"/>
    <d v="2025-04-27T00:00:00"/>
    <s v="RETURNED"/>
    <x v="0"/>
    <x v="0"/>
    <s v="Madhya Pradesh"/>
    <m/>
    <n v="3644"/>
    <n v="2370"/>
    <n v="1274"/>
    <x v="1"/>
  </r>
  <r>
    <x v="625"/>
    <s v="C403"/>
    <x v="606"/>
    <s v="Mast &amp; Harbour Seven Onto"/>
    <x v="9"/>
    <x v="5"/>
    <n v="3949"/>
    <n v="35"/>
    <n v="2567"/>
    <n v="1"/>
    <s v="XL"/>
    <s v="Pink"/>
    <n v="3.7"/>
    <n v="124"/>
    <d v="2025-06-01T00:00:00"/>
    <s v="RETURNED"/>
    <x v="0"/>
    <x v="1"/>
    <s v="Karnataka"/>
    <s v="Size Issue"/>
    <n v="3949"/>
    <n v="2567"/>
    <n v="1382"/>
    <x v="1"/>
  </r>
  <r>
    <x v="626"/>
    <s v="C587"/>
    <x v="607"/>
    <s v="DressBerry Weight Myself"/>
    <x v="0"/>
    <x v="0"/>
    <n v="4914"/>
    <n v="20"/>
    <n v="3932"/>
    <n v="3"/>
    <s v="S"/>
    <s v="Black"/>
    <n v="4.5"/>
    <n v="143"/>
    <d v="2025-07-08T00:00:00"/>
    <s v="CANCELLED"/>
    <x v="1"/>
    <x v="4"/>
    <s v="Delhi"/>
    <m/>
    <n v="14742"/>
    <n v="11796"/>
    <n v="2946"/>
    <x v="2"/>
  </r>
  <r>
    <x v="627"/>
    <s v="C491"/>
    <x v="608"/>
    <s v="WROGN Father Another"/>
    <x v="5"/>
    <x v="3"/>
    <n v="4395"/>
    <n v="40"/>
    <n v="2637"/>
    <n v="3"/>
    <s v="XL"/>
    <s v="Grey"/>
    <n v="3.8"/>
    <n v="248"/>
    <d v="2025-05-27T00:00:00"/>
    <s v="CANCELLED"/>
    <x v="1"/>
    <x v="2"/>
    <s v="Maharashtra"/>
    <m/>
    <n v="13185"/>
    <n v="7911"/>
    <n v="5274"/>
    <x v="2"/>
  </r>
  <r>
    <x v="628"/>
    <s v="C690"/>
    <x v="105"/>
    <s v="WROGN Sense Staff"/>
    <x v="5"/>
    <x v="3"/>
    <n v="1955"/>
    <n v="40"/>
    <n v="1173"/>
    <n v="2"/>
    <s v="XXL"/>
    <s v="Pink"/>
    <n v="4.8"/>
    <n v="76"/>
    <d v="2025-07-09T00:00:00"/>
    <s v="RETURNED"/>
    <x v="2"/>
    <x v="2"/>
    <s v="Maharashtra"/>
    <m/>
    <n v="3910"/>
    <n v="2346"/>
    <n v="1564"/>
    <x v="1"/>
  </r>
  <r>
    <x v="629"/>
    <s v="C679"/>
    <x v="609"/>
    <s v="Roadster Consider Our"/>
    <x v="6"/>
    <x v="1"/>
    <n v="3063"/>
    <n v="40"/>
    <n v="1838"/>
    <n v="1"/>
    <s v="S"/>
    <s v="Black"/>
    <n v="3.6"/>
    <n v="181"/>
    <d v="2025-05-25T00:00:00"/>
    <s v="RETURNED"/>
    <x v="2"/>
    <x v="9"/>
    <s v="Tamil Nadu"/>
    <s v="Late Delivery"/>
    <n v="3063"/>
    <n v="1838"/>
    <n v="1225"/>
    <x v="1"/>
  </r>
  <r>
    <x v="630"/>
    <s v="C271"/>
    <x v="610"/>
    <s v="Roadster Almost Interesting"/>
    <x v="6"/>
    <x v="1"/>
    <n v="2762"/>
    <n v="15"/>
    <n v="2348"/>
    <n v="1"/>
    <n v="40"/>
    <s v="Red"/>
    <n v="5"/>
    <n v="160"/>
    <d v="2025-05-13T00:00:00"/>
    <s v="RETURNED"/>
    <x v="0"/>
    <x v="4"/>
    <s v="Delhi"/>
    <s v="Late Delivery"/>
    <n v="2762"/>
    <n v="2348"/>
    <n v="414"/>
    <x v="1"/>
  </r>
  <r>
    <x v="631"/>
    <s v="C272"/>
    <x v="611"/>
    <s v="Roadster Professor Reveal"/>
    <x v="1"/>
    <x v="1"/>
    <n v="4675"/>
    <n v="40"/>
    <n v="2805"/>
    <n v="1"/>
    <s v="XXL"/>
    <s v="Yellow"/>
    <n v="4.0999999999999996"/>
    <n v="46"/>
    <d v="2025-06-20T00:00:00"/>
    <s v="RETURNED"/>
    <x v="2"/>
    <x v="4"/>
    <s v="Delhi"/>
    <s v="Color Mismatch"/>
    <n v="4675"/>
    <n v="2805"/>
    <n v="1870"/>
    <x v="1"/>
  </r>
  <r>
    <x v="632"/>
    <s v="C536"/>
    <x v="612"/>
    <s v="DressBerry During Program"/>
    <x v="0"/>
    <x v="0"/>
    <n v="2286"/>
    <n v="30"/>
    <n v="1601"/>
    <n v="3"/>
    <s v="Free Size"/>
    <s v="White"/>
    <n v="4.7"/>
    <n v="88"/>
    <d v="2025-05-30T00:00:00"/>
    <s v="DELIVERED"/>
    <x v="2"/>
    <x v="1"/>
    <s v="Karnataka"/>
    <m/>
    <n v="6858"/>
    <n v="4803"/>
    <n v="2055"/>
    <x v="0"/>
  </r>
  <r>
    <x v="633"/>
    <s v="C542"/>
    <x v="613"/>
    <s v="Anouk Official Study"/>
    <x v="7"/>
    <x v="4"/>
    <n v="1822"/>
    <n v="40"/>
    <n v="1094"/>
    <n v="3"/>
    <s v="M"/>
    <s v="Red"/>
    <n v="4.7"/>
    <n v="227"/>
    <d v="2025-06-09T00:00:00"/>
    <s v="RETURNED"/>
    <x v="1"/>
    <x v="1"/>
    <s v="Karnataka"/>
    <s v="Color Mismatch"/>
    <n v="5466"/>
    <n v="3282"/>
    <n v="2184"/>
    <x v="1"/>
  </r>
  <r>
    <x v="634"/>
    <s v="C320"/>
    <x v="614"/>
    <s v="Anouk Soldier Listen"/>
    <x v="7"/>
    <x v="4"/>
    <n v="1554"/>
    <n v="40"/>
    <n v="933"/>
    <n v="3"/>
    <s v="S"/>
    <s v="Navy"/>
    <n v="4.8"/>
    <n v="240"/>
    <d v="2025-05-25T00:00:00"/>
    <s v="RETURNED"/>
    <x v="0"/>
    <x v="8"/>
    <s v="Gujarat"/>
    <s v="Size Issue"/>
    <n v="4662"/>
    <n v="2799"/>
    <n v="1863"/>
    <x v="1"/>
  </r>
  <r>
    <x v="635"/>
    <s v="C558"/>
    <x v="615"/>
    <s v="DressBerry Individual Most"/>
    <x v="2"/>
    <x v="0"/>
    <n v="1750"/>
    <n v="15"/>
    <n v="1488"/>
    <n v="1"/>
    <n v="44"/>
    <s v="Blue"/>
    <n v="3.7"/>
    <n v="247"/>
    <d v="2025-06-12T00:00:00"/>
    <s v="DELIVERED"/>
    <x v="0"/>
    <x v="2"/>
    <s v="Maharashtra"/>
    <m/>
    <n v="1750"/>
    <n v="1488"/>
    <n v="262"/>
    <x v="0"/>
  </r>
  <r>
    <x v="636"/>
    <s v="C443"/>
    <x v="616"/>
    <s v="Roadster Successful Tonight"/>
    <x v="3"/>
    <x v="1"/>
    <n v="913"/>
    <n v="30"/>
    <n v="640"/>
    <n v="1"/>
    <s v="-"/>
    <s v="Navy"/>
    <n v="4.5999999999999996"/>
    <n v="133"/>
    <d v="2025-06-21T00:00:00"/>
    <s v="RETURNED"/>
    <x v="2"/>
    <x v="2"/>
    <s v="Maharashtra"/>
    <s v="Defective Item"/>
    <n v="913"/>
    <n v="640"/>
    <n v="273"/>
    <x v="1"/>
  </r>
  <r>
    <x v="637"/>
    <s v="C593"/>
    <x v="617"/>
    <s v="Mast &amp; Harbour Work About"/>
    <x v="9"/>
    <x v="5"/>
    <n v="3692"/>
    <n v="15"/>
    <n v="3139"/>
    <n v="1"/>
    <s v="M"/>
    <s v="White"/>
    <n v="4.2"/>
    <n v="123"/>
    <d v="2025-07-20T00:00:00"/>
    <s v="CANCELLED"/>
    <x v="2"/>
    <x v="8"/>
    <s v="Gujarat"/>
    <m/>
    <n v="3692"/>
    <n v="3139"/>
    <n v="553"/>
    <x v="2"/>
  </r>
  <r>
    <x v="638"/>
    <s v="C525"/>
    <x v="618"/>
    <s v="HRX Science Individual"/>
    <x v="4"/>
    <x v="2"/>
    <n v="4465"/>
    <n v="30"/>
    <n v="3126"/>
    <n v="1"/>
    <s v="-"/>
    <s v="Yellow"/>
    <n v="4.9000000000000004"/>
    <n v="44"/>
    <d v="2025-06-11T00:00:00"/>
    <s v="RETURNED"/>
    <x v="0"/>
    <x v="6"/>
    <s v="West Bengal"/>
    <s v="Defective Item"/>
    <n v="4465"/>
    <n v="3126"/>
    <n v="1339"/>
    <x v="1"/>
  </r>
  <r>
    <x v="639"/>
    <s v="C266"/>
    <x v="619"/>
    <s v="Roadster Head Note"/>
    <x v="1"/>
    <x v="1"/>
    <n v="4886"/>
    <n v="25"/>
    <n v="3665"/>
    <n v="2"/>
    <s v="Free Size"/>
    <s v="Yellow"/>
    <n v="4.2"/>
    <n v="187"/>
    <d v="2025-05-05T00:00:00"/>
    <s v="DELIVERED"/>
    <x v="1"/>
    <x v="4"/>
    <s v="Delhi"/>
    <m/>
    <n v="9772"/>
    <n v="7330"/>
    <n v="2442"/>
    <x v="0"/>
  </r>
  <r>
    <x v="640"/>
    <s v="C371"/>
    <x v="620"/>
    <s v="DressBerry Different Officer"/>
    <x v="0"/>
    <x v="0"/>
    <n v="3249"/>
    <n v="40"/>
    <n v="1950"/>
    <n v="2"/>
    <n v="40"/>
    <s v="White"/>
    <n v="3.5"/>
    <n v="245"/>
    <d v="2025-06-17T00:00:00"/>
    <s v="CANCELLED"/>
    <x v="1"/>
    <x v="8"/>
    <s v="Gujarat"/>
    <m/>
    <n v="6498"/>
    <n v="3900"/>
    <n v="2598"/>
    <x v="2"/>
  </r>
  <r>
    <x v="641"/>
    <s v="C300"/>
    <x v="621"/>
    <s v="Roadster Me Down"/>
    <x v="6"/>
    <x v="1"/>
    <n v="2112"/>
    <n v="20"/>
    <n v="1690"/>
    <n v="1"/>
    <s v="S"/>
    <s v="Pink"/>
    <n v="4.3"/>
    <n v="295"/>
    <d v="2025-06-19T00:00:00"/>
    <s v="RETURNED"/>
    <x v="1"/>
    <x v="2"/>
    <s v="Maharashtra"/>
    <m/>
    <n v="2112"/>
    <n v="1690"/>
    <n v="422"/>
    <x v="1"/>
  </r>
  <r>
    <x v="642"/>
    <s v="C650"/>
    <x v="622"/>
    <s v="DressBerry Because Weight"/>
    <x v="2"/>
    <x v="0"/>
    <n v="4882"/>
    <n v="15"/>
    <n v="4150"/>
    <n v="1"/>
    <s v="L"/>
    <s v="Yellow"/>
    <n v="4.0999999999999996"/>
    <n v="10"/>
    <d v="2025-07-03T00:00:00"/>
    <s v="DELIVERED"/>
    <x v="2"/>
    <x v="6"/>
    <s v="West Bengal"/>
    <m/>
    <n v="4882"/>
    <n v="4150"/>
    <n v="732"/>
    <x v="0"/>
  </r>
  <r>
    <x v="643"/>
    <s v="C266"/>
    <x v="623"/>
    <s v="WROGN Improve Arrive"/>
    <x v="5"/>
    <x v="3"/>
    <n v="4153"/>
    <n v="35"/>
    <n v="2700"/>
    <n v="3"/>
    <n v="42"/>
    <s v="Navy"/>
    <n v="4.9000000000000004"/>
    <n v="196"/>
    <d v="2025-05-29T00:00:00"/>
    <s v="RETURNED"/>
    <x v="1"/>
    <x v="9"/>
    <s v="Tamil Nadu"/>
    <s v="Size Issue"/>
    <n v="12459"/>
    <n v="8100"/>
    <n v="4359"/>
    <x v="1"/>
  </r>
  <r>
    <x v="644"/>
    <s v="C630"/>
    <x v="624"/>
    <s v="Roadster Quality There"/>
    <x v="3"/>
    <x v="1"/>
    <n v="2656"/>
    <n v="35"/>
    <n v="1727"/>
    <n v="1"/>
    <n v="42"/>
    <s v="Red"/>
    <n v="3.8"/>
    <n v="278"/>
    <d v="2025-05-07T00:00:00"/>
    <s v="RETURNED"/>
    <x v="1"/>
    <x v="3"/>
    <s v="Rajasthan"/>
    <s v="Color Mismatch"/>
    <n v="2656"/>
    <n v="1727"/>
    <n v="929"/>
    <x v="1"/>
  </r>
  <r>
    <x v="645"/>
    <s v="C538"/>
    <x v="625"/>
    <s v="DressBerry Save Produce"/>
    <x v="2"/>
    <x v="0"/>
    <n v="2398"/>
    <n v="35"/>
    <n v="1559"/>
    <n v="2"/>
    <n v="44"/>
    <s v="Navy"/>
    <n v="3.9"/>
    <n v="215"/>
    <d v="2025-07-06T00:00:00"/>
    <s v="RETURNED"/>
    <x v="1"/>
    <x v="0"/>
    <s v="Madhya Pradesh"/>
    <s v="Late Delivery"/>
    <n v="4796"/>
    <n v="3118"/>
    <n v="1678"/>
    <x v="1"/>
  </r>
  <r>
    <x v="646"/>
    <s v="C308"/>
    <x v="626"/>
    <s v="HRX Consider Tree"/>
    <x v="8"/>
    <x v="2"/>
    <n v="2430"/>
    <n v="20"/>
    <n v="1944"/>
    <n v="1"/>
    <n v="44"/>
    <s v="Yellow"/>
    <n v="3.8"/>
    <n v="147"/>
    <d v="2025-06-08T00:00:00"/>
    <s v="DELIVERED"/>
    <x v="0"/>
    <x v="2"/>
    <s v="Maharashtra"/>
    <m/>
    <n v="2430"/>
    <n v="1944"/>
    <n v="486"/>
    <x v="0"/>
  </r>
  <r>
    <x v="647"/>
    <s v="C698"/>
    <x v="627"/>
    <s v="HRX Lose Lot"/>
    <x v="8"/>
    <x v="2"/>
    <n v="4272"/>
    <n v="40"/>
    <n v="2564"/>
    <n v="2"/>
    <s v="Free Size"/>
    <s v="Yellow"/>
    <n v="4"/>
    <n v="86"/>
    <d v="2025-07-02T00:00:00"/>
    <s v="CANCELLED"/>
    <x v="1"/>
    <x v="1"/>
    <s v="Karnataka"/>
    <m/>
    <n v="8544"/>
    <n v="5128"/>
    <n v="3416"/>
    <x v="2"/>
  </r>
  <r>
    <x v="648"/>
    <s v="C423"/>
    <x v="628"/>
    <s v="Anouk Throw Second"/>
    <x v="7"/>
    <x v="4"/>
    <n v="1668"/>
    <n v="25"/>
    <n v="1251"/>
    <n v="1"/>
    <n v="40"/>
    <s v="White"/>
    <n v="3.9"/>
    <n v="246"/>
    <d v="2025-06-11T00:00:00"/>
    <s v="DELIVERED"/>
    <x v="1"/>
    <x v="7"/>
    <s v="Telangana"/>
    <m/>
    <n v="1668"/>
    <n v="1251"/>
    <n v="417"/>
    <x v="0"/>
  </r>
  <r>
    <x v="649"/>
    <s v="C323"/>
    <x v="629"/>
    <s v="DressBerry Probably Around"/>
    <x v="0"/>
    <x v="0"/>
    <n v="4632"/>
    <n v="25"/>
    <n v="3474"/>
    <n v="1"/>
    <s v="M"/>
    <s v="Pink"/>
    <n v="3.9"/>
    <n v="268"/>
    <d v="2025-05-26T00:00:00"/>
    <s v="CANCELLED"/>
    <x v="1"/>
    <x v="9"/>
    <s v="Tamil Nadu"/>
    <m/>
    <n v="4632"/>
    <n v="3474"/>
    <n v="1158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D48843-3D2D-465D-818C-349A3248BB12}" name="PivotTable5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2:B56" firstHeaderRow="1" firstDataRow="1" firstDataCol="1"/>
  <pivotFields count="24">
    <pivotField dataField="1" showAll="0">
      <items count="6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t="default"/>
      </items>
    </pivotField>
    <pivotField showAll="0"/>
    <pivotField showAll="0">
      <items count="631">
        <item x="5"/>
        <item x="379"/>
        <item x="327"/>
        <item x="133"/>
        <item x="278"/>
        <item x="322"/>
        <item x="135"/>
        <item x="627"/>
        <item x="13"/>
        <item x="382"/>
        <item x="597"/>
        <item x="130"/>
        <item x="50"/>
        <item x="478"/>
        <item x="575"/>
        <item x="82"/>
        <item x="577"/>
        <item x="458"/>
        <item x="611"/>
        <item x="26"/>
        <item x="292"/>
        <item x="360"/>
        <item x="503"/>
        <item x="266"/>
        <item x="89"/>
        <item x="621"/>
        <item x="108"/>
        <item x="376"/>
        <item x="603"/>
        <item x="542"/>
        <item x="284"/>
        <item x="111"/>
        <item x="357"/>
        <item x="165"/>
        <item x="522"/>
        <item x="33"/>
        <item x="142"/>
        <item x="247"/>
        <item x="377"/>
        <item x="571"/>
        <item x="315"/>
        <item x="497"/>
        <item x="394"/>
        <item x="623"/>
        <item x="520"/>
        <item x="399"/>
        <item x="537"/>
        <item x="485"/>
        <item x="527"/>
        <item x="192"/>
        <item x="60"/>
        <item x="32"/>
        <item x="386"/>
        <item x="38"/>
        <item x="484"/>
        <item x="44"/>
        <item x="332"/>
        <item x="210"/>
        <item x="235"/>
        <item x="176"/>
        <item x="554"/>
        <item x="626"/>
        <item x="290"/>
        <item x="336"/>
        <item x="499"/>
        <item x="430"/>
        <item x="22"/>
        <item x="476"/>
        <item x="236"/>
        <item x="86"/>
        <item x="0"/>
        <item x="429"/>
        <item x="423"/>
        <item x="574"/>
        <item x="61"/>
        <item x="544"/>
        <item x="237"/>
        <item x="470"/>
        <item x="580"/>
        <item x="53"/>
        <item x="301"/>
        <item x="515"/>
        <item x="409"/>
        <item x="263"/>
        <item x="289"/>
        <item x="37"/>
        <item x="229"/>
        <item x="16"/>
        <item x="338"/>
        <item x="467"/>
        <item x="533"/>
        <item x="25"/>
        <item x="248"/>
        <item x="367"/>
        <item x="573"/>
        <item x="224"/>
        <item x="126"/>
        <item x="93"/>
        <item x="441"/>
        <item x="617"/>
        <item x="550"/>
        <item x="506"/>
        <item x="156"/>
        <item x="482"/>
        <item x="578"/>
        <item x="62"/>
        <item x="595"/>
        <item x="614"/>
        <item x="220"/>
        <item x="203"/>
        <item x="567"/>
        <item x="161"/>
        <item x="55"/>
        <item x="300"/>
        <item x="389"/>
        <item x="209"/>
        <item x="364"/>
        <item x="446"/>
        <item x="129"/>
        <item x="257"/>
        <item x="14"/>
        <item x="134"/>
        <item x="117"/>
        <item x="71"/>
        <item x="362"/>
        <item x="395"/>
        <item x="414"/>
        <item x="328"/>
        <item x="618"/>
        <item x="70"/>
        <item x="234"/>
        <item x="105"/>
        <item x="443"/>
        <item x="365"/>
        <item x="42"/>
        <item x="217"/>
        <item x="424"/>
        <item x="239"/>
        <item x="468"/>
        <item x="363"/>
        <item x="388"/>
        <item x="390"/>
        <item x="307"/>
        <item x="374"/>
        <item x="477"/>
        <item x="100"/>
        <item x="190"/>
        <item x="35"/>
        <item x="122"/>
        <item x="416"/>
        <item x="576"/>
        <item x="179"/>
        <item x="356"/>
        <item x="552"/>
        <item x="324"/>
        <item x="366"/>
        <item x="281"/>
        <item x="249"/>
        <item x="333"/>
        <item x="283"/>
        <item x="508"/>
        <item x="30"/>
        <item x="113"/>
        <item x="87"/>
        <item x="206"/>
        <item x="493"/>
        <item x="455"/>
        <item x="346"/>
        <item x="620"/>
        <item x="605"/>
        <item x="259"/>
        <item x="353"/>
        <item x="94"/>
        <item x="186"/>
        <item x="216"/>
        <item x="194"/>
        <item x="369"/>
        <item x="463"/>
        <item x="435"/>
        <item x="613"/>
        <item x="601"/>
        <item x="291"/>
        <item x="256"/>
        <item x="438"/>
        <item x="518"/>
        <item x="564"/>
        <item x="437"/>
        <item x="164"/>
        <item x="211"/>
        <item x="212"/>
        <item x="107"/>
        <item x="385"/>
        <item x="1"/>
        <item x="172"/>
        <item x="368"/>
        <item x="345"/>
        <item x="90"/>
        <item x="319"/>
        <item x="540"/>
        <item x="558"/>
        <item x="594"/>
        <item x="449"/>
        <item x="593"/>
        <item x="8"/>
        <item x="270"/>
        <item x="510"/>
        <item x="219"/>
        <item x="559"/>
        <item x="604"/>
        <item x="487"/>
        <item x="132"/>
        <item x="15"/>
        <item x="267"/>
        <item x="354"/>
        <item x="591"/>
        <item x="139"/>
        <item x="551"/>
        <item x="88"/>
        <item x="79"/>
        <item x="277"/>
        <item x="539"/>
        <item x="396"/>
        <item x="607"/>
        <item x="523"/>
        <item x="305"/>
        <item x="255"/>
        <item x="170"/>
        <item x="528"/>
        <item x="511"/>
        <item x="101"/>
        <item x="469"/>
        <item x="69"/>
        <item x="261"/>
        <item x="152"/>
        <item x="456"/>
        <item x="418"/>
        <item x="184"/>
        <item x="565"/>
        <item x="7"/>
        <item x="215"/>
        <item x="17"/>
        <item x="313"/>
        <item x="12"/>
        <item x="596"/>
        <item x="258"/>
        <item x="158"/>
        <item x="582"/>
        <item x="202"/>
        <item x="329"/>
        <item x="462"/>
        <item x="83"/>
        <item x="471"/>
        <item x="169"/>
        <item x="162"/>
        <item x="250"/>
        <item x="536"/>
        <item x="348"/>
        <item x="269"/>
        <item x="568"/>
        <item x="415"/>
        <item x="350"/>
        <item x="10"/>
        <item x="516"/>
        <item x="392"/>
        <item x="141"/>
        <item x="445"/>
        <item x="517"/>
        <item x="472"/>
        <item x="532"/>
        <item x="238"/>
        <item x="59"/>
        <item x="310"/>
        <item x="191"/>
        <item x="11"/>
        <item x="359"/>
        <item x="97"/>
        <item x="323"/>
        <item x="118"/>
        <item x="492"/>
        <item x="489"/>
        <item x="214"/>
        <item x="562"/>
        <item x="199"/>
        <item x="106"/>
        <item x="109"/>
        <item x="193"/>
        <item x="296"/>
        <item x="436"/>
        <item x="73"/>
        <item x="393"/>
        <item x="549"/>
        <item x="599"/>
        <item x="548"/>
        <item x="412"/>
        <item x="592"/>
        <item x="274"/>
        <item x="18"/>
        <item x="610"/>
        <item x="246"/>
        <item x="572"/>
        <item x="475"/>
        <item x="200"/>
        <item x="355"/>
        <item x="264"/>
        <item x="581"/>
        <item x="163"/>
        <item x="428"/>
        <item x="91"/>
        <item x="145"/>
        <item x="342"/>
        <item x="619"/>
        <item x="352"/>
        <item x="473"/>
        <item x="501"/>
        <item x="460"/>
        <item x="314"/>
        <item x="241"/>
        <item x="29"/>
        <item x="254"/>
        <item x="483"/>
        <item x="529"/>
        <item x="222"/>
        <item x="447"/>
        <item x="433"/>
        <item x="358"/>
        <item x="294"/>
        <item x="398"/>
        <item x="588"/>
        <item x="144"/>
        <item x="226"/>
        <item x="464"/>
        <item x="326"/>
        <item x="225"/>
        <item x="154"/>
        <item x="563"/>
        <item x="521"/>
        <item x="541"/>
        <item x="54"/>
        <item x="102"/>
        <item x="182"/>
        <item x="114"/>
        <item x="131"/>
        <item x="341"/>
        <item x="535"/>
        <item x="51"/>
        <item x="344"/>
        <item x="420"/>
        <item x="426"/>
        <item x="570"/>
        <item x="347"/>
        <item x="556"/>
        <item x="78"/>
        <item x="207"/>
        <item x="188"/>
        <item x="411"/>
        <item x="321"/>
        <item x="280"/>
        <item x="616"/>
        <item x="137"/>
        <item x="624"/>
        <item x="439"/>
        <item x="68"/>
        <item x="403"/>
        <item x="260"/>
        <item x="150"/>
        <item x="534"/>
        <item x="384"/>
        <item x="115"/>
        <item x="9"/>
        <item x="147"/>
        <item x="287"/>
        <item x="457"/>
        <item x="317"/>
        <item x="583"/>
        <item x="397"/>
        <item x="370"/>
        <item x="27"/>
        <item x="77"/>
        <item x="308"/>
        <item x="240"/>
        <item x="569"/>
        <item x="275"/>
        <item x="488"/>
        <item x="490"/>
        <item x="408"/>
        <item x="486"/>
        <item x="103"/>
        <item x="286"/>
        <item x="43"/>
        <item x="230"/>
        <item x="279"/>
        <item x="504"/>
        <item x="391"/>
        <item x="124"/>
        <item x="72"/>
        <item x="24"/>
        <item x="155"/>
        <item x="400"/>
        <item x="349"/>
        <item x="312"/>
        <item x="530"/>
        <item x="288"/>
        <item x="243"/>
        <item x="479"/>
        <item x="28"/>
        <item x="67"/>
        <item x="4"/>
        <item x="343"/>
        <item x="140"/>
        <item x="629"/>
        <item x="453"/>
        <item x="586"/>
        <item x="218"/>
        <item x="524"/>
        <item x="406"/>
        <item x="227"/>
        <item x="295"/>
        <item x="56"/>
        <item x="99"/>
        <item x="451"/>
        <item x="628"/>
        <item x="252"/>
        <item x="3"/>
        <item x="58"/>
        <item x="157"/>
        <item x="110"/>
        <item x="466"/>
        <item x="498"/>
        <item x="80"/>
        <item x="481"/>
        <item x="584"/>
        <item x="268"/>
        <item x="231"/>
        <item x="505"/>
        <item x="606"/>
        <item x="431"/>
        <item x="375"/>
        <item x="205"/>
        <item x="340"/>
        <item x="125"/>
        <item x="405"/>
        <item x="561"/>
        <item x="514"/>
        <item x="625"/>
        <item x="273"/>
        <item x="612"/>
        <item x="251"/>
        <item x="121"/>
        <item x="419"/>
        <item x="175"/>
        <item x="204"/>
        <item x="500"/>
        <item x="309"/>
        <item x="459"/>
        <item x="373"/>
        <item x="189"/>
        <item x="538"/>
        <item x="553"/>
        <item x="149"/>
        <item x="557"/>
        <item x="187"/>
        <item x="223"/>
        <item x="422"/>
        <item x="159"/>
        <item x="502"/>
        <item x="196"/>
        <item x="195"/>
        <item x="609"/>
        <item x="372"/>
        <item x="410"/>
        <item x="177"/>
        <item x="293"/>
        <item x="2"/>
        <item x="178"/>
        <item x="351"/>
        <item x="378"/>
        <item x="407"/>
        <item x="512"/>
        <item x="608"/>
        <item x="299"/>
        <item x="380"/>
        <item x="81"/>
        <item x="495"/>
        <item x="331"/>
        <item x="47"/>
        <item x="143"/>
        <item x="64"/>
        <item x="434"/>
        <item x="509"/>
        <item x="302"/>
        <item x="404"/>
        <item x="40"/>
        <item x="480"/>
        <item x="381"/>
        <item x="181"/>
        <item x="325"/>
        <item x="330"/>
        <item x="48"/>
        <item x="52"/>
        <item x="221"/>
        <item x="546"/>
        <item x="303"/>
        <item x="494"/>
        <item x="371"/>
        <item x="21"/>
        <item x="427"/>
        <item x="507"/>
        <item x="425"/>
        <item x="168"/>
        <item x="183"/>
        <item x="228"/>
        <item x="615"/>
        <item x="151"/>
        <item x="272"/>
        <item x="526"/>
        <item x="452"/>
        <item x="442"/>
        <item x="545"/>
        <item x="34"/>
        <item x="20"/>
        <item x="112"/>
        <item x="244"/>
        <item x="304"/>
        <item x="45"/>
        <item x="57"/>
        <item x="167"/>
        <item x="387"/>
        <item x="98"/>
        <item x="253"/>
        <item x="128"/>
        <item x="76"/>
        <item x="46"/>
        <item x="171"/>
        <item x="306"/>
        <item x="598"/>
        <item x="95"/>
        <item x="146"/>
        <item x="262"/>
        <item x="298"/>
        <item x="622"/>
        <item x="120"/>
        <item x="602"/>
        <item x="148"/>
        <item x="213"/>
        <item x="519"/>
        <item x="41"/>
        <item x="233"/>
        <item x="96"/>
        <item x="444"/>
        <item x="547"/>
        <item x="560"/>
        <item x="297"/>
        <item x="136"/>
        <item x="491"/>
        <item x="265"/>
        <item x="334"/>
        <item x="185"/>
        <item x="417"/>
        <item x="465"/>
        <item x="555"/>
        <item x="320"/>
        <item x="39"/>
        <item x="198"/>
        <item x="454"/>
        <item x="271"/>
        <item x="123"/>
        <item x="160"/>
        <item x="116"/>
        <item x="245"/>
        <item x="19"/>
        <item x="337"/>
        <item x="316"/>
        <item x="432"/>
        <item x="242"/>
        <item x="173"/>
        <item x="138"/>
        <item x="448"/>
        <item x="49"/>
        <item x="66"/>
        <item x="531"/>
        <item x="74"/>
        <item x="402"/>
        <item x="6"/>
        <item x="461"/>
        <item x="421"/>
        <item x="65"/>
        <item x="127"/>
        <item x="413"/>
        <item x="119"/>
        <item x="153"/>
        <item x="590"/>
        <item x="335"/>
        <item x="36"/>
        <item x="180"/>
        <item x="450"/>
        <item x="361"/>
        <item x="513"/>
        <item x="474"/>
        <item x="31"/>
        <item x="84"/>
        <item x="75"/>
        <item x="63"/>
        <item x="440"/>
        <item x="589"/>
        <item x="566"/>
        <item x="543"/>
        <item x="585"/>
        <item x="166"/>
        <item x="23"/>
        <item x="525"/>
        <item x="587"/>
        <item x="311"/>
        <item x="104"/>
        <item x="282"/>
        <item x="92"/>
        <item x="201"/>
        <item x="600"/>
        <item x="383"/>
        <item x="496"/>
        <item x="579"/>
        <item x="85"/>
        <item x="285"/>
        <item x="197"/>
        <item x="276"/>
        <item x="318"/>
        <item x="401"/>
        <item x="339"/>
        <item x="232"/>
        <item x="174"/>
        <item x="208"/>
        <item t="default"/>
      </items>
    </pivotField>
    <pivotField showAll="0"/>
    <pivotField showAll="0">
      <items count="11">
        <item x="9"/>
        <item x="3"/>
        <item x="5"/>
        <item x="1"/>
        <item x="8"/>
        <item x="4"/>
        <item x="2"/>
        <item x="0"/>
        <item x="7"/>
        <item x="6"/>
        <item t="default"/>
      </items>
    </pivotField>
    <pivotField showAll="0">
      <items count="7">
        <item x="4"/>
        <item x="0"/>
        <item x="2"/>
        <item x="5"/>
        <item x="1"/>
        <item x="3"/>
        <item t="default"/>
      </items>
    </pivotField>
    <pivotField numFmtId="1" showAll="0"/>
    <pivotField numFmtId="1" showAll="0"/>
    <pivotField numFmtId="1" showAll="0"/>
    <pivotField numFmtId="1" showAll="0"/>
    <pivotField showAll="0"/>
    <pivotField showAll="0"/>
    <pivotField numFmtId="168" showAll="0"/>
    <pivotField numFmtId="1" showAll="0"/>
    <pivotField numFmtId="14" showAll="0"/>
    <pivotField showAll="0"/>
    <pivotField axis="axisRow" showAll="0">
      <items count="4">
        <item x="1"/>
        <item x="0"/>
        <item x="2"/>
        <item t="default"/>
      </items>
    </pivotField>
    <pivotField showAll="0">
      <items count="11">
        <item x="8"/>
        <item x="1"/>
        <item x="0"/>
        <item x="9"/>
        <item x="4"/>
        <item x="7"/>
        <item x="3"/>
        <item x="6"/>
        <item x="5"/>
        <item x="2"/>
        <item t="default"/>
      </items>
    </pivotField>
    <pivotField showAll="0"/>
    <pivotField showAll="0"/>
    <pivotField numFmtId="1" showAll="0"/>
    <pivotField numFmtId="1" showAll="0"/>
    <pivotField numFmtId="1" showAll="0"/>
    <pivotField showAll="0">
      <items count="4">
        <item x="2"/>
        <item x="0"/>
        <item x="1"/>
        <item t="default"/>
      </items>
    </pivotField>
  </pivotFields>
  <rowFields count="1">
    <field x="1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Order_ID" fld="0" subtotal="count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53F987-FEDE-4C99-88FB-4DA3F04F6512}" name="PivotTable4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7:B48" firstHeaderRow="1" firstDataRow="1" firstDataCol="1"/>
  <pivotFields count="24">
    <pivotField showAll="0">
      <items count="6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t="default"/>
      </items>
    </pivotField>
    <pivotField showAll="0"/>
    <pivotField showAll="0">
      <items count="631">
        <item x="5"/>
        <item x="379"/>
        <item x="327"/>
        <item x="133"/>
        <item x="278"/>
        <item x="322"/>
        <item x="135"/>
        <item x="627"/>
        <item x="13"/>
        <item x="382"/>
        <item x="597"/>
        <item x="130"/>
        <item x="50"/>
        <item x="478"/>
        <item x="575"/>
        <item x="82"/>
        <item x="577"/>
        <item x="458"/>
        <item x="611"/>
        <item x="26"/>
        <item x="292"/>
        <item x="360"/>
        <item x="503"/>
        <item x="266"/>
        <item x="89"/>
        <item x="621"/>
        <item x="108"/>
        <item x="376"/>
        <item x="603"/>
        <item x="542"/>
        <item x="284"/>
        <item x="111"/>
        <item x="357"/>
        <item x="165"/>
        <item x="522"/>
        <item x="33"/>
        <item x="142"/>
        <item x="247"/>
        <item x="377"/>
        <item x="571"/>
        <item x="315"/>
        <item x="497"/>
        <item x="394"/>
        <item x="623"/>
        <item x="520"/>
        <item x="399"/>
        <item x="537"/>
        <item x="485"/>
        <item x="527"/>
        <item x="192"/>
        <item x="60"/>
        <item x="32"/>
        <item x="386"/>
        <item x="38"/>
        <item x="484"/>
        <item x="44"/>
        <item x="332"/>
        <item x="210"/>
        <item x="235"/>
        <item x="176"/>
        <item x="554"/>
        <item x="626"/>
        <item x="290"/>
        <item x="336"/>
        <item x="499"/>
        <item x="430"/>
        <item x="22"/>
        <item x="476"/>
        <item x="236"/>
        <item x="86"/>
        <item x="0"/>
        <item x="429"/>
        <item x="423"/>
        <item x="574"/>
        <item x="61"/>
        <item x="544"/>
        <item x="237"/>
        <item x="470"/>
        <item x="580"/>
        <item x="53"/>
        <item x="301"/>
        <item x="515"/>
        <item x="409"/>
        <item x="263"/>
        <item x="289"/>
        <item x="37"/>
        <item x="229"/>
        <item x="16"/>
        <item x="338"/>
        <item x="467"/>
        <item x="533"/>
        <item x="25"/>
        <item x="248"/>
        <item x="367"/>
        <item x="573"/>
        <item x="224"/>
        <item x="126"/>
        <item x="93"/>
        <item x="441"/>
        <item x="617"/>
        <item x="550"/>
        <item x="506"/>
        <item x="156"/>
        <item x="482"/>
        <item x="578"/>
        <item x="62"/>
        <item x="595"/>
        <item x="614"/>
        <item x="220"/>
        <item x="203"/>
        <item x="567"/>
        <item x="161"/>
        <item x="55"/>
        <item x="300"/>
        <item x="389"/>
        <item x="209"/>
        <item x="364"/>
        <item x="446"/>
        <item x="129"/>
        <item x="257"/>
        <item x="14"/>
        <item x="134"/>
        <item x="117"/>
        <item x="71"/>
        <item x="362"/>
        <item x="395"/>
        <item x="414"/>
        <item x="328"/>
        <item x="618"/>
        <item x="70"/>
        <item x="234"/>
        <item x="105"/>
        <item x="443"/>
        <item x="365"/>
        <item x="42"/>
        <item x="217"/>
        <item x="424"/>
        <item x="239"/>
        <item x="468"/>
        <item x="363"/>
        <item x="388"/>
        <item x="390"/>
        <item x="307"/>
        <item x="374"/>
        <item x="477"/>
        <item x="100"/>
        <item x="190"/>
        <item x="35"/>
        <item x="122"/>
        <item x="416"/>
        <item x="576"/>
        <item x="179"/>
        <item x="356"/>
        <item x="552"/>
        <item x="324"/>
        <item x="366"/>
        <item x="281"/>
        <item x="249"/>
        <item x="333"/>
        <item x="283"/>
        <item x="508"/>
        <item x="30"/>
        <item x="113"/>
        <item x="87"/>
        <item x="206"/>
        <item x="493"/>
        <item x="455"/>
        <item x="346"/>
        <item x="620"/>
        <item x="605"/>
        <item x="259"/>
        <item x="353"/>
        <item x="94"/>
        <item x="186"/>
        <item x="216"/>
        <item x="194"/>
        <item x="369"/>
        <item x="463"/>
        <item x="435"/>
        <item x="613"/>
        <item x="601"/>
        <item x="291"/>
        <item x="256"/>
        <item x="438"/>
        <item x="518"/>
        <item x="564"/>
        <item x="437"/>
        <item x="164"/>
        <item x="211"/>
        <item x="212"/>
        <item x="107"/>
        <item x="385"/>
        <item x="1"/>
        <item x="172"/>
        <item x="368"/>
        <item x="345"/>
        <item x="90"/>
        <item x="319"/>
        <item x="540"/>
        <item x="558"/>
        <item x="594"/>
        <item x="449"/>
        <item x="593"/>
        <item x="8"/>
        <item x="270"/>
        <item x="510"/>
        <item x="219"/>
        <item x="559"/>
        <item x="604"/>
        <item x="487"/>
        <item x="132"/>
        <item x="15"/>
        <item x="267"/>
        <item x="354"/>
        <item x="591"/>
        <item x="139"/>
        <item x="551"/>
        <item x="88"/>
        <item x="79"/>
        <item x="277"/>
        <item x="539"/>
        <item x="396"/>
        <item x="607"/>
        <item x="523"/>
        <item x="305"/>
        <item x="255"/>
        <item x="170"/>
        <item x="528"/>
        <item x="511"/>
        <item x="101"/>
        <item x="469"/>
        <item x="69"/>
        <item x="261"/>
        <item x="152"/>
        <item x="456"/>
        <item x="418"/>
        <item x="184"/>
        <item x="565"/>
        <item x="7"/>
        <item x="215"/>
        <item x="17"/>
        <item x="313"/>
        <item x="12"/>
        <item x="596"/>
        <item x="258"/>
        <item x="158"/>
        <item x="582"/>
        <item x="202"/>
        <item x="329"/>
        <item x="462"/>
        <item x="83"/>
        <item x="471"/>
        <item x="169"/>
        <item x="162"/>
        <item x="250"/>
        <item x="536"/>
        <item x="348"/>
        <item x="269"/>
        <item x="568"/>
        <item x="415"/>
        <item x="350"/>
        <item x="10"/>
        <item x="516"/>
        <item x="392"/>
        <item x="141"/>
        <item x="445"/>
        <item x="517"/>
        <item x="472"/>
        <item x="532"/>
        <item x="238"/>
        <item x="59"/>
        <item x="310"/>
        <item x="191"/>
        <item x="11"/>
        <item x="359"/>
        <item x="97"/>
        <item x="323"/>
        <item x="118"/>
        <item x="492"/>
        <item x="489"/>
        <item x="214"/>
        <item x="562"/>
        <item x="199"/>
        <item x="106"/>
        <item x="109"/>
        <item x="193"/>
        <item x="296"/>
        <item x="436"/>
        <item x="73"/>
        <item x="393"/>
        <item x="549"/>
        <item x="599"/>
        <item x="548"/>
        <item x="412"/>
        <item x="592"/>
        <item x="274"/>
        <item x="18"/>
        <item x="610"/>
        <item x="246"/>
        <item x="572"/>
        <item x="475"/>
        <item x="200"/>
        <item x="355"/>
        <item x="264"/>
        <item x="581"/>
        <item x="163"/>
        <item x="428"/>
        <item x="91"/>
        <item x="145"/>
        <item x="342"/>
        <item x="619"/>
        <item x="352"/>
        <item x="473"/>
        <item x="501"/>
        <item x="460"/>
        <item x="314"/>
        <item x="241"/>
        <item x="29"/>
        <item x="254"/>
        <item x="483"/>
        <item x="529"/>
        <item x="222"/>
        <item x="447"/>
        <item x="433"/>
        <item x="358"/>
        <item x="294"/>
        <item x="398"/>
        <item x="588"/>
        <item x="144"/>
        <item x="226"/>
        <item x="464"/>
        <item x="326"/>
        <item x="225"/>
        <item x="154"/>
        <item x="563"/>
        <item x="521"/>
        <item x="541"/>
        <item x="54"/>
        <item x="102"/>
        <item x="182"/>
        <item x="114"/>
        <item x="131"/>
        <item x="341"/>
        <item x="535"/>
        <item x="51"/>
        <item x="344"/>
        <item x="420"/>
        <item x="426"/>
        <item x="570"/>
        <item x="347"/>
        <item x="556"/>
        <item x="78"/>
        <item x="207"/>
        <item x="188"/>
        <item x="411"/>
        <item x="321"/>
        <item x="280"/>
        <item x="616"/>
        <item x="137"/>
        <item x="624"/>
        <item x="439"/>
        <item x="68"/>
        <item x="403"/>
        <item x="260"/>
        <item x="150"/>
        <item x="534"/>
        <item x="384"/>
        <item x="115"/>
        <item x="9"/>
        <item x="147"/>
        <item x="287"/>
        <item x="457"/>
        <item x="317"/>
        <item x="583"/>
        <item x="397"/>
        <item x="370"/>
        <item x="27"/>
        <item x="77"/>
        <item x="308"/>
        <item x="240"/>
        <item x="569"/>
        <item x="275"/>
        <item x="488"/>
        <item x="490"/>
        <item x="408"/>
        <item x="486"/>
        <item x="103"/>
        <item x="286"/>
        <item x="43"/>
        <item x="230"/>
        <item x="279"/>
        <item x="504"/>
        <item x="391"/>
        <item x="124"/>
        <item x="72"/>
        <item x="24"/>
        <item x="155"/>
        <item x="400"/>
        <item x="349"/>
        <item x="312"/>
        <item x="530"/>
        <item x="288"/>
        <item x="243"/>
        <item x="479"/>
        <item x="28"/>
        <item x="67"/>
        <item x="4"/>
        <item x="343"/>
        <item x="140"/>
        <item x="629"/>
        <item x="453"/>
        <item x="586"/>
        <item x="218"/>
        <item x="524"/>
        <item x="406"/>
        <item x="227"/>
        <item x="295"/>
        <item x="56"/>
        <item x="99"/>
        <item x="451"/>
        <item x="628"/>
        <item x="252"/>
        <item x="3"/>
        <item x="58"/>
        <item x="157"/>
        <item x="110"/>
        <item x="466"/>
        <item x="498"/>
        <item x="80"/>
        <item x="481"/>
        <item x="584"/>
        <item x="268"/>
        <item x="231"/>
        <item x="505"/>
        <item x="606"/>
        <item x="431"/>
        <item x="375"/>
        <item x="205"/>
        <item x="340"/>
        <item x="125"/>
        <item x="405"/>
        <item x="561"/>
        <item x="514"/>
        <item x="625"/>
        <item x="273"/>
        <item x="612"/>
        <item x="251"/>
        <item x="121"/>
        <item x="419"/>
        <item x="175"/>
        <item x="204"/>
        <item x="500"/>
        <item x="309"/>
        <item x="459"/>
        <item x="373"/>
        <item x="189"/>
        <item x="538"/>
        <item x="553"/>
        <item x="149"/>
        <item x="557"/>
        <item x="187"/>
        <item x="223"/>
        <item x="422"/>
        <item x="159"/>
        <item x="502"/>
        <item x="196"/>
        <item x="195"/>
        <item x="609"/>
        <item x="372"/>
        <item x="410"/>
        <item x="177"/>
        <item x="293"/>
        <item x="2"/>
        <item x="178"/>
        <item x="351"/>
        <item x="378"/>
        <item x="407"/>
        <item x="512"/>
        <item x="608"/>
        <item x="299"/>
        <item x="380"/>
        <item x="81"/>
        <item x="495"/>
        <item x="331"/>
        <item x="47"/>
        <item x="143"/>
        <item x="64"/>
        <item x="434"/>
        <item x="509"/>
        <item x="302"/>
        <item x="404"/>
        <item x="40"/>
        <item x="480"/>
        <item x="381"/>
        <item x="181"/>
        <item x="325"/>
        <item x="330"/>
        <item x="48"/>
        <item x="52"/>
        <item x="221"/>
        <item x="546"/>
        <item x="303"/>
        <item x="494"/>
        <item x="371"/>
        <item x="21"/>
        <item x="427"/>
        <item x="507"/>
        <item x="425"/>
        <item x="168"/>
        <item x="183"/>
        <item x="228"/>
        <item x="615"/>
        <item x="151"/>
        <item x="272"/>
        <item x="526"/>
        <item x="452"/>
        <item x="442"/>
        <item x="545"/>
        <item x="34"/>
        <item x="20"/>
        <item x="112"/>
        <item x="244"/>
        <item x="304"/>
        <item x="45"/>
        <item x="57"/>
        <item x="167"/>
        <item x="387"/>
        <item x="98"/>
        <item x="253"/>
        <item x="128"/>
        <item x="76"/>
        <item x="46"/>
        <item x="171"/>
        <item x="306"/>
        <item x="598"/>
        <item x="95"/>
        <item x="146"/>
        <item x="262"/>
        <item x="298"/>
        <item x="622"/>
        <item x="120"/>
        <item x="602"/>
        <item x="148"/>
        <item x="213"/>
        <item x="519"/>
        <item x="41"/>
        <item x="233"/>
        <item x="96"/>
        <item x="444"/>
        <item x="547"/>
        <item x="560"/>
        <item x="297"/>
        <item x="136"/>
        <item x="491"/>
        <item x="265"/>
        <item x="334"/>
        <item x="185"/>
        <item x="417"/>
        <item x="465"/>
        <item x="555"/>
        <item x="320"/>
        <item x="39"/>
        <item x="198"/>
        <item x="454"/>
        <item x="271"/>
        <item x="123"/>
        <item x="160"/>
        <item x="116"/>
        <item x="245"/>
        <item x="19"/>
        <item x="337"/>
        <item x="316"/>
        <item x="432"/>
        <item x="242"/>
        <item x="173"/>
        <item x="138"/>
        <item x="448"/>
        <item x="49"/>
        <item x="66"/>
        <item x="531"/>
        <item x="74"/>
        <item x="402"/>
        <item x="6"/>
        <item x="461"/>
        <item x="421"/>
        <item x="65"/>
        <item x="127"/>
        <item x="413"/>
        <item x="119"/>
        <item x="153"/>
        <item x="590"/>
        <item x="335"/>
        <item x="36"/>
        <item x="180"/>
        <item x="450"/>
        <item x="361"/>
        <item x="513"/>
        <item x="474"/>
        <item x="31"/>
        <item x="84"/>
        <item x="75"/>
        <item x="63"/>
        <item x="440"/>
        <item x="589"/>
        <item x="566"/>
        <item x="543"/>
        <item x="585"/>
        <item x="166"/>
        <item x="23"/>
        <item x="525"/>
        <item x="587"/>
        <item x="311"/>
        <item x="104"/>
        <item x="282"/>
        <item x="92"/>
        <item x="201"/>
        <item x="600"/>
        <item x="383"/>
        <item x="496"/>
        <item x="579"/>
        <item x="85"/>
        <item x="285"/>
        <item x="197"/>
        <item x="276"/>
        <item x="318"/>
        <item x="401"/>
        <item x="339"/>
        <item x="232"/>
        <item x="174"/>
        <item x="208"/>
        <item t="default"/>
      </items>
    </pivotField>
    <pivotField showAll="0"/>
    <pivotField showAll="0">
      <items count="11">
        <item x="9"/>
        <item x="3"/>
        <item x="5"/>
        <item x="1"/>
        <item x="8"/>
        <item x="4"/>
        <item x="2"/>
        <item x="0"/>
        <item x="7"/>
        <item x="6"/>
        <item t="default"/>
      </items>
    </pivotField>
    <pivotField showAll="0">
      <items count="7">
        <item x="4"/>
        <item x="0"/>
        <item x="2"/>
        <item x="5"/>
        <item x="1"/>
        <item x="3"/>
        <item t="default"/>
      </items>
    </pivotField>
    <pivotField numFmtId="1" showAll="0"/>
    <pivotField numFmtId="1" showAll="0"/>
    <pivotField numFmtId="1" showAll="0"/>
    <pivotField numFmtId="1" showAll="0"/>
    <pivotField showAll="0"/>
    <pivotField showAll="0"/>
    <pivotField numFmtId="168" showAll="0"/>
    <pivotField numFmtId="1" showAll="0"/>
    <pivotField numFmtId="14" showAll="0"/>
    <pivotField showAll="0"/>
    <pivotField showAll="0"/>
    <pivotField axis="axisRow" showAll="0" sortType="descending">
      <items count="11">
        <item x="8"/>
        <item x="1"/>
        <item x="0"/>
        <item x="9"/>
        <item x="4"/>
        <item x="7"/>
        <item x="3"/>
        <item x="6"/>
        <item x="5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" showAll="0"/>
    <pivotField dataField="1" numFmtId="1" showAll="0"/>
    <pivotField numFmtId="1" showAll="0"/>
    <pivotField showAll="0">
      <items count="4">
        <item x="2"/>
        <item x="0"/>
        <item x="1"/>
        <item t="default"/>
      </items>
    </pivotField>
  </pivotFields>
  <rowFields count="1">
    <field x="17"/>
  </rowFields>
  <rowItems count="11">
    <i>
      <x/>
    </i>
    <i>
      <x v="7"/>
    </i>
    <i>
      <x v="2"/>
    </i>
    <i>
      <x v="9"/>
    </i>
    <i>
      <x v="4"/>
    </i>
    <i>
      <x v="5"/>
    </i>
    <i>
      <x v="8"/>
    </i>
    <i>
      <x v="6"/>
    </i>
    <i>
      <x v="1"/>
    </i>
    <i>
      <x v="3"/>
    </i>
    <i t="grand">
      <x/>
    </i>
  </rowItems>
  <colItems count="1">
    <i/>
  </colItems>
  <dataFields count="1">
    <dataField name="Sum of Net_Sales" fld="21" baseField="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3CD9BE-672C-4F84-A1D7-CF10D4B1C9E1}" name="PivotTable3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9:B33" firstHeaderRow="1" firstDataRow="1" firstDataCol="1"/>
  <pivotFields count="24">
    <pivotField dataField="1" showAll="0">
      <items count="6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t="default"/>
      </items>
    </pivotField>
    <pivotField showAll="0"/>
    <pivotField showAll="0">
      <items count="631">
        <item x="5"/>
        <item x="379"/>
        <item x="327"/>
        <item x="133"/>
        <item x="278"/>
        <item x="322"/>
        <item x="135"/>
        <item x="627"/>
        <item x="13"/>
        <item x="382"/>
        <item x="597"/>
        <item x="130"/>
        <item x="50"/>
        <item x="478"/>
        <item x="575"/>
        <item x="82"/>
        <item x="577"/>
        <item x="458"/>
        <item x="611"/>
        <item x="26"/>
        <item x="292"/>
        <item x="360"/>
        <item x="503"/>
        <item x="266"/>
        <item x="89"/>
        <item x="621"/>
        <item x="108"/>
        <item x="376"/>
        <item x="603"/>
        <item x="542"/>
        <item x="284"/>
        <item x="111"/>
        <item x="357"/>
        <item x="165"/>
        <item x="522"/>
        <item x="33"/>
        <item x="142"/>
        <item x="247"/>
        <item x="377"/>
        <item x="571"/>
        <item x="315"/>
        <item x="497"/>
        <item x="394"/>
        <item x="623"/>
        <item x="520"/>
        <item x="399"/>
        <item x="537"/>
        <item x="485"/>
        <item x="527"/>
        <item x="192"/>
        <item x="60"/>
        <item x="32"/>
        <item x="386"/>
        <item x="38"/>
        <item x="484"/>
        <item x="44"/>
        <item x="332"/>
        <item x="210"/>
        <item x="235"/>
        <item x="176"/>
        <item x="554"/>
        <item x="626"/>
        <item x="290"/>
        <item x="336"/>
        <item x="499"/>
        <item x="430"/>
        <item x="22"/>
        <item x="476"/>
        <item x="236"/>
        <item x="86"/>
        <item x="0"/>
        <item x="429"/>
        <item x="423"/>
        <item x="574"/>
        <item x="61"/>
        <item x="544"/>
        <item x="237"/>
        <item x="470"/>
        <item x="580"/>
        <item x="53"/>
        <item x="301"/>
        <item x="515"/>
        <item x="409"/>
        <item x="263"/>
        <item x="289"/>
        <item x="37"/>
        <item x="229"/>
        <item x="16"/>
        <item x="338"/>
        <item x="467"/>
        <item x="533"/>
        <item x="25"/>
        <item x="248"/>
        <item x="367"/>
        <item x="573"/>
        <item x="224"/>
        <item x="126"/>
        <item x="93"/>
        <item x="441"/>
        <item x="617"/>
        <item x="550"/>
        <item x="506"/>
        <item x="156"/>
        <item x="482"/>
        <item x="578"/>
        <item x="62"/>
        <item x="595"/>
        <item x="614"/>
        <item x="220"/>
        <item x="203"/>
        <item x="567"/>
        <item x="161"/>
        <item x="55"/>
        <item x="300"/>
        <item x="389"/>
        <item x="209"/>
        <item x="364"/>
        <item x="446"/>
        <item x="129"/>
        <item x="257"/>
        <item x="14"/>
        <item x="134"/>
        <item x="117"/>
        <item x="71"/>
        <item x="362"/>
        <item x="395"/>
        <item x="414"/>
        <item x="328"/>
        <item x="618"/>
        <item x="70"/>
        <item x="234"/>
        <item x="105"/>
        <item x="443"/>
        <item x="365"/>
        <item x="42"/>
        <item x="217"/>
        <item x="424"/>
        <item x="239"/>
        <item x="468"/>
        <item x="363"/>
        <item x="388"/>
        <item x="390"/>
        <item x="307"/>
        <item x="374"/>
        <item x="477"/>
        <item x="100"/>
        <item x="190"/>
        <item x="35"/>
        <item x="122"/>
        <item x="416"/>
        <item x="576"/>
        <item x="179"/>
        <item x="356"/>
        <item x="552"/>
        <item x="324"/>
        <item x="366"/>
        <item x="281"/>
        <item x="249"/>
        <item x="333"/>
        <item x="283"/>
        <item x="508"/>
        <item x="30"/>
        <item x="113"/>
        <item x="87"/>
        <item x="206"/>
        <item x="493"/>
        <item x="455"/>
        <item x="346"/>
        <item x="620"/>
        <item x="605"/>
        <item x="259"/>
        <item x="353"/>
        <item x="94"/>
        <item x="186"/>
        <item x="216"/>
        <item x="194"/>
        <item x="369"/>
        <item x="463"/>
        <item x="435"/>
        <item x="613"/>
        <item x="601"/>
        <item x="291"/>
        <item x="256"/>
        <item x="438"/>
        <item x="518"/>
        <item x="564"/>
        <item x="437"/>
        <item x="164"/>
        <item x="211"/>
        <item x="212"/>
        <item x="107"/>
        <item x="385"/>
        <item x="1"/>
        <item x="172"/>
        <item x="368"/>
        <item x="345"/>
        <item x="90"/>
        <item x="319"/>
        <item x="540"/>
        <item x="558"/>
        <item x="594"/>
        <item x="449"/>
        <item x="593"/>
        <item x="8"/>
        <item x="270"/>
        <item x="510"/>
        <item x="219"/>
        <item x="559"/>
        <item x="604"/>
        <item x="487"/>
        <item x="132"/>
        <item x="15"/>
        <item x="267"/>
        <item x="354"/>
        <item x="591"/>
        <item x="139"/>
        <item x="551"/>
        <item x="88"/>
        <item x="79"/>
        <item x="277"/>
        <item x="539"/>
        <item x="396"/>
        <item x="607"/>
        <item x="523"/>
        <item x="305"/>
        <item x="255"/>
        <item x="170"/>
        <item x="528"/>
        <item x="511"/>
        <item x="101"/>
        <item x="469"/>
        <item x="69"/>
        <item x="261"/>
        <item x="152"/>
        <item x="456"/>
        <item x="418"/>
        <item x="184"/>
        <item x="565"/>
        <item x="7"/>
        <item x="215"/>
        <item x="17"/>
        <item x="313"/>
        <item x="12"/>
        <item x="596"/>
        <item x="258"/>
        <item x="158"/>
        <item x="582"/>
        <item x="202"/>
        <item x="329"/>
        <item x="462"/>
        <item x="83"/>
        <item x="471"/>
        <item x="169"/>
        <item x="162"/>
        <item x="250"/>
        <item x="536"/>
        <item x="348"/>
        <item x="269"/>
        <item x="568"/>
        <item x="415"/>
        <item x="350"/>
        <item x="10"/>
        <item x="516"/>
        <item x="392"/>
        <item x="141"/>
        <item x="445"/>
        <item x="517"/>
        <item x="472"/>
        <item x="532"/>
        <item x="238"/>
        <item x="59"/>
        <item x="310"/>
        <item x="191"/>
        <item x="11"/>
        <item x="359"/>
        <item x="97"/>
        <item x="323"/>
        <item x="118"/>
        <item x="492"/>
        <item x="489"/>
        <item x="214"/>
        <item x="562"/>
        <item x="199"/>
        <item x="106"/>
        <item x="109"/>
        <item x="193"/>
        <item x="296"/>
        <item x="436"/>
        <item x="73"/>
        <item x="393"/>
        <item x="549"/>
        <item x="599"/>
        <item x="548"/>
        <item x="412"/>
        <item x="592"/>
        <item x="274"/>
        <item x="18"/>
        <item x="610"/>
        <item x="246"/>
        <item x="572"/>
        <item x="475"/>
        <item x="200"/>
        <item x="355"/>
        <item x="264"/>
        <item x="581"/>
        <item x="163"/>
        <item x="428"/>
        <item x="91"/>
        <item x="145"/>
        <item x="342"/>
        <item x="619"/>
        <item x="352"/>
        <item x="473"/>
        <item x="501"/>
        <item x="460"/>
        <item x="314"/>
        <item x="241"/>
        <item x="29"/>
        <item x="254"/>
        <item x="483"/>
        <item x="529"/>
        <item x="222"/>
        <item x="447"/>
        <item x="433"/>
        <item x="358"/>
        <item x="294"/>
        <item x="398"/>
        <item x="588"/>
        <item x="144"/>
        <item x="226"/>
        <item x="464"/>
        <item x="326"/>
        <item x="225"/>
        <item x="154"/>
        <item x="563"/>
        <item x="521"/>
        <item x="541"/>
        <item x="54"/>
        <item x="102"/>
        <item x="182"/>
        <item x="114"/>
        <item x="131"/>
        <item x="341"/>
        <item x="535"/>
        <item x="51"/>
        <item x="344"/>
        <item x="420"/>
        <item x="426"/>
        <item x="570"/>
        <item x="347"/>
        <item x="556"/>
        <item x="78"/>
        <item x="207"/>
        <item x="188"/>
        <item x="411"/>
        <item x="321"/>
        <item x="280"/>
        <item x="616"/>
        <item x="137"/>
        <item x="624"/>
        <item x="439"/>
        <item x="68"/>
        <item x="403"/>
        <item x="260"/>
        <item x="150"/>
        <item x="534"/>
        <item x="384"/>
        <item x="115"/>
        <item x="9"/>
        <item x="147"/>
        <item x="287"/>
        <item x="457"/>
        <item x="317"/>
        <item x="583"/>
        <item x="397"/>
        <item x="370"/>
        <item x="27"/>
        <item x="77"/>
        <item x="308"/>
        <item x="240"/>
        <item x="569"/>
        <item x="275"/>
        <item x="488"/>
        <item x="490"/>
        <item x="408"/>
        <item x="486"/>
        <item x="103"/>
        <item x="286"/>
        <item x="43"/>
        <item x="230"/>
        <item x="279"/>
        <item x="504"/>
        <item x="391"/>
        <item x="124"/>
        <item x="72"/>
        <item x="24"/>
        <item x="155"/>
        <item x="400"/>
        <item x="349"/>
        <item x="312"/>
        <item x="530"/>
        <item x="288"/>
        <item x="243"/>
        <item x="479"/>
        <item x="28"/>
        <item x="67"/>
        <item x="4"/>
        <item x="343"/>
        <item x="140"/>
        <item x="629"/>
        <item x="453"/>
        <item x="586"/>
        <item x="218"/>
        <item x="524"/>
        <item x="406"/>
        <item x="227"/>
        <item x="295"/>
        <item x="56"/>
        <item x="99"/>
        <item x="451"/>
        <item x="628"/>
        <item x="252"/>
        <item x="3"/>
        <item x="58"/>
        <item x="157"/>
        <item x="110"/>
        <item x="466"/>
        <item x="498"/>
        <item x="80"/>
        <item x="481"/>
        <item x="584"/>
        <item x="268"/>
        <item x="231"/>
        <item x="505"/>
        <item x="606"/>
        <item x="431"/>
        <item x="375"/>
        <item x="205"/>
        <item x="340"/>
        <item x="125"/>
        <item x="405"/>
        <item x="561"/>
        <item x="514"/>
        <item x="625"/>
        <item x="273"/>
        <item x="612"/>
        <item x="251"/>
        <item x="121"/>
        <item x="419"/>
        <item x="175"/>
        <item x="204"/>
        <item x="500"/>
        <item x="309"/>
        <item x="459"/>
        <item x="373"/>
        <item x="189"/>
        <item x="538"/>
        <item x="553"/>
        <item x="149"/>
        <item x="557"/>
        <item x="187"/>
        <item x="223"/>
        <item x="422"/>
        <item x="159"/>
        <item x="502"/>
        <item x="196"/>
        <item x="195"/>
        <item x="609"/>
        <item x="372"/>
        <item x="410"/>
        <item x="177"/>
        <item x="293"/>
        <item x="2"/>
        <item x="178"/>
        <item x="351"/>
        <item x="378"/>
        <item x="407"/>
        <item x="512"/>
        <item x="608"/>
        <item x="299"/>
        <item x="380"/>
        <item x="81"/>
        <item x="495"/>
        <item x="331"/>
        <item x="47"/>
        <item x="143"/>
        <item x="64"/>
        <item x="434"/>
        <item x="509"/>
        <item x="302"/>
        <item x="404"/>
        <item x="40"/>
        <item x="480"/>
        <item x="381"/>
        <item x="181"/>
        <item x="325"/>
        <item x="330"/>
        <item x="48"/>
        <item x="52"/>
        <item x="221"/>
        <item x="546"/>
        <item x="303"/>
        <item x="494"/>
        <item x="371"/>
        <item x="21"/>
        <item x="427"/>
        <item x="507"/>
        <item x="425"/>
        <item x="168"/>
        <item x="183"/>
        <item x="228"/>
        <item x="615"/>
        <item x="151"/>
        <item x="272"/>
        <item x="526"/>
        <item x="452"/>
        <item x="442"/>
        <item x="545"/>
        <item x="34"/>
        <item x="20"/>
        <item x="112"/>
        <item x="244"/>
        <item x="304"/>
        <item x="45"/>
        <item x="57"/>
        <item x="167"/>
        <item x="387"/>
        <item x="98"/>
        <item x="253"/>
        <item x="128"/>
        <item x="76"/>
        <item x="46"/>
        <item x="171"/>
        <item x="306"/>
        <item x="598"/>
        <item x="95"/>
        <item x="146"/>
        <item x="262"/>
        <item x="298"/>
        <item x="622"/>
        <item x="120"/>
        <item x="602"/>
        <item x="148"/>
        <item x="213"/>
        <item x="519"/>
        <item x="41"/>
        <item x="233"/>
        <item x="96"/>
        <item x="444"/>
        <item x="547"/>
        <item x="560"/>
        <item x="297"/>
        <item x="136"/>
        <item x="491"/>
        <item x="265"/>
        <item x="334"/>
        <item x="185"/>
        <item x="417"/>
        <item x="465"/>
        <item x="555"/>
        <item x="320"/>
        <item x="39"/>
        <item x="198"/>
        <item x="454"/>
        <item x="271"/>
        <item x="123"/>
        <item x="160"/>
        <item x="116"/>
        <item x="245"/>
        <item x="19"/>
        <item x="337"/>
        <item x="316"/>
        <item x="432"/>
        <item x="242"/>
        <item x="173"/>
        <item x="138"/>
        <item x="448"/>
        <item x="49"/>
        <item x="66"/>
        <item x="531"/>
        <item x="74"/>
        <item x="402"/>
        <item x="6"/>
        <item x="461"/>
        <item x="421"/>
        <item x="65"/>
        <item x="127"/>
        <item x="413"/>
        <item x="119"/>
        <item x="153"/>
        <item x="590"/>
        <item x="335"/>
        <item x="36"/>
        <item x="180"/>
        <item x="450"/>
        <item x="361"/>
        <item x="513"/>
        <item x="474"/>
        <item x="31"/>
        <item x="84"/>
        <item x="75"/>
        <item x="63"/>
        <item x="440"/>
        <item x="589"/>
        <item x="566"/>
        <item x="543"/>
        <item x="585"/>
        <item x="166"/>
        <item x="23"/>
        <item x="525"/>
        <item x="587"/>
        <item x="311"/>
        <item x="104"/>
        <item x="282"/>
        <item x="92"/>
        <item x="201"/>
        <item x="600"/>
        <item x="383"/>
        <item x="496"/>
        <item x="579"/>
        <item x="85"/>
        <item x="285"/>
        <item x="197"/>
        <item x="276"/>
        <item x="318"/>
        <item x="401"/>
        <item x="339"/>
        <item x="232"/>
        <item x="174"/>
        <item x="208"/>
        <item t="default"/>
      </items>
    </pivotField>
    <pivotField showAll="0"/>
    <pivotField showAll="0">
      <items count="11">
        <item x="9"/>
        <item x="3"/>
        <item x="5"/>
        <item x="1"/>
        <item x="8"/>
        <item x="4"/>
        <item x="2"/>
        <item x="0"/>
        <item x="7"/>
        <item x="6"/>
        <item t="default"/>
      </items>
    </pivotField>
    <pivotField showAll="0">
      <items count="7">
        <item x="4"/>
        <item x="0"/>
        <item x="2"/>
        <item x="5"/>
        <item x="1"/>
        <item x="3"/>
        <item t="default"/>
      </items>
    </pivotField>
    <pivotField numFmtId="1" showAll="0"/>
    <pivotField numFmtId="1" showAll="0"/>
    <pivotField numFmtId="1" showAll="0"/>
    <pivotField numFmtId="1" showAll="0"/>
    <pivotField showAll="0"/>
    <pivotField showAll="0"/>
    <pivotField numFmtId="168" showAll="0"/>
    <pivotField numFmtId="1" showAll="0"/>
    <pivotField numFmtId="14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axis="axisRow" showAll="0">
      <items count="4">
        <item x="2"/>
        <item x="0"/>
        <item x="1"/>
        <item t="default"/>
      </items>
    </pivotField>
  </pivotFields>
  <rowFields count="1">
    <field x="2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Order_ID" fld="0" subtotal="count" showDataAs="percentOfTotal" baseField="2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C680D6-F694-4107-995F-F8575668E6A4}" name="PivotTable2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8:B25" firstHeaderRow="1" firstDataRow="1" firstDataCol="1"/>
  <pivotFields count="24">
    <pivotField showAll="0"/>
    <pivotField showAll="0"/>
    <pivotField showAll="0">
      <items count="631">
        <item x="5"/>
        <item x="379"/>
        <item x="327"/>
        <item x="133"/>
        <item x="278"/>
        <item x="322"/>
        <item x="135"/>
        <item x="627"/>
        <item x="13"/>
        <item x="382"/>
        <item x="597"/>
        <item x="130"/>
        <item x="50"/>
        <item x="478"/>
        <item x="575"/>
        <item x="82"/>
        <item x="577"/>
        <item x="458"/>
        <item x="611"/>
        <item x="26"/>
        <item x="292"/>
        <item x="360"/>
        <item x="503"/>
        <item x="266"/>
        <item x="89"/>
        <item x="621"/>
        <item x="108"/>
        <item x="376"/>
        <item x="603"/>
        <item x="542"/>
        <item x="284"/>
        <item x="111"/>
        <item x="357"/>
        <item x="165"/>
        <item x="522"/>
        <item x="33"/>
        <item x="142"/>
        <item x="247"/>
        <item x="377"/>
        <item x="571"/>
        <item x="315"/>
        <item x="497"/>
        <item x="394"/>
        <item x="623"/>
        <item x="520"/>
        <item x="399"/>
        <item x="537"/>
        <item x="485"/>
        <item x="527"/>
        <item x="192"/>
        <item x="60"/>
        <item x="32"/>
        <item x="386"/>
        <item x="38"/>
        <item x="484"/>
        <item x="44"/>
        <item x="332"/>
        <item x="210"/>
        <item x="235"/>
        <item x="176"/>
        <item x="554"/>
        <item x="626"/>
        <item x="290"/>
        <item x="336"/>
        <item x="499"/>
        <item x="430"/>
        <item x="22"/>
        <item x="476"/>
        <item x="236"/>
        <item x="86"/>
        <item x="0"/>
        <item x="429"/>
        <item x="423"/>
        <item x="574"/>
        <item x="61"/>
        <item x="544"/>
        <item x="237"/>
        <item x="470"/>
        <item x="580"/>
        <item x="53"/>
        <item x="301"/>
        <item x="515"/>
        <item x="409"/>
        <item x="263"/>
        <item x="289"/>
        <item x="37"/>
        <item x="229"/>
        <item x="16"/>
        <item x="338"/>
        <item x="467"/>
        <item x="533"/>
        <item x="25"/>
        <item x="248"/>
        <item x="367"/>
        <item x="573"/>
        <item x="224"/>
        <item x="126"/>
        <item x="93"/>
        <item x="441"/>
        <item x="617"/>
        <item x="550"/>
        <item x="506"/>
        <item x="156"/>
        <item x="482"/>
        <item x="578"/>
        <item x="62"/>
        <item x="595"/>
        <item x="614"/>
        <item x="220"/>
        <item x="203"/>
        <item x="567"/>
        <item x="161"/>
        <item x="55"/>
        <item x="300"/>
        <item x="389"/>
        <item x="209"/>
        <item x="364"/>
        <item x="446"/>
        <item x="129"/>
        <item x="257"/>
        <item x="14"/>
        <item x="134"/>
        <item x="117"/>
        <item x="71"/>
        <item x="362"/>
        <item x="395"/>
        <item x="414"/>
        <item x="328"/>
        <item x="618"/>
        <item x="70"/>
        <item x="234"/>
        <item x="105"/>
        <item x="443"/>
        <item x="365"/>
        <item x="42"/>
        <item x="217"/>
        <item x="424"/>
        <item x="239"/>
        <item x="468"/>
        <item x="363"/>
        <item x="388"/>
        <item x="390"/>
        <item x="307"/>
        <item x="374"/>
        <item x="477"/>
        <item x="100"/>
        <item x="190"/>
        <item x="35"/>
        <item x="122"/>
        <item x="416"/>
        <item x="576"/>
        <item x="179"/>
        <item x="356"/>
        <item x="552"/>
        <item x="324"/>
        <item x="366"/>
        <item x="281"/>
        <item x="249"/>
        <item x="333"/>
        <item x="283"/>
        <item x="508"/>
        <item x="30"/>
        <item x="113"/>
        <item x="87"/>
        <item x="206"/>
        <item x="493"/>
        <item x="455"/>
        <item x="346"/>
        <item x="620"/>
        <item x="605"/>
        <item x="259"/>
        <item x="353"/>
        <item x="94"/>
        <item x="186"/>
        <item x="216"/>
        <item x="194"/>
        <item x="369"/>
        <item x="463"/>
        <item x="435"/>
        <item x="613"/>
        <item x="601"/>
        <item x="291"/>
        <item x="256"/>
        <item x="438"/>
        <item x="518"/>
        <item x="564"/>
        <item x="437"/>
        <item x="164"/>
        <item x="211"/>
        <item x="212"/>
        <item x="107"/>
        <item x="385"/>
        <item x="1"/>
        <item x="172"/>
        <item x="368"/>
        <item x="345"/>
        <item x="90"/>
        <item x="319"/>
        <item x="540"/>
        <item x="558"/>
        <item x="594"/>
        <item x="449"/>
        <item x="593"/>
        <item x="8"/>
        <item x="270"/>
        <item x="510"/>
        <item x="219"/>
        <item x="559"/>
        <item x="604"/>
        <item x="487"/>
        <item x="132"/>
        <item x="15"/>
        <item x="267"/>
        <item x="354"/>
        <item x="591"/>
        <item x="139"/>
        <item x="551"/>
        <item x="88"/>
        <item x="79"/>
        <item x="277"/>
        <item x="539"/>
        <item x="396"/>
        <item x="607"/>
        <item x="523"/>
        <item x="305"/>
        <item x="255"/>
        <item x="170"/>
        <item x="528"/>
        <item x="511"/>
        <item x="101"/>
        <item x="469"/>
        <item x="69"/>
        <item x="261"/>
        <item x="152"/>
        <item x="456"/>
        <item x="418"/>
        <item x="184"/>
        <item x="565"/>
        <item x="7"/>
        <item x="215"/>
        <item x="17"/>
        <item x="313"/>
        <item x="12"/>
        <item x="596"/>
        <item x="258"/>
        <item x="158"/>
        <item x="582"/>
        <item x="202"/>
        <item x="329"/>
        <item x="462"/>
        <item x="83"/>
        <item x="471"/>
        <item x="169"/>
        <item x="162"/>
        <item x="250"/>
        <item x="536"/>
        <item x="348"/>
        <item x="269"/>
        <item x="568"/>
        <item x="415"/>
        <item x="350"/>
        <item x="10"/>
        <item x="516"/>
        <item x="392"/>
        <item x="141"/>
        <item x="445"/>
        <item x="517"/>
        <item x="472"/>
        <item x="532"/>
        <item x="238"/>
        <item x="59"/>
        <item x="310"/>
        <item x="191"/>
        <item x="11"/>
        <item x="359"/>
        <item x="97"/>
        <item x="323"/>
        <item x="118"/>
        <item x="492"/>
        <item x="489"/>
        <item x="214"/>
        <item x="562"/>
        <item x="199"/>
        <item x="106"/>
        <item x="109"/>
        <item x="193"/>
        <item x="296"/>
        <item x="436"/>
        <item x="73"/>
        <item x="393"/>
        <item x="549"/>
        <item x="599"/>
        <item x="548"/>
        <item x="412"/>
        <item x="592"/>
        <item x="274"/>
        <item x="18"/>
        <item x="610"/>
        <item x="246"/>
        <item x="572"/>
        <item x="475"/>
        <item x="200"/>
        <item x="355"/>
        <item x="264"/>
        <item x="581"/>
        <item x="163"/>
        <item x="428"/>
        <item x="91"/>
        <item x="145"/>
        <item x="342"/>
        <item x="619"/>
        <item x="352"/>
        <item x="473"/>
        <item x="501"/>
        <item x="460"/>
        <item x="314"/>
        <item x="241"/>
        <item x="29"/>
        <item x="254"/>
        <item x="483"/>
        <item x="529"/>
        <item x="222"/>
        <item x="447"/>
        <item x="433"/>
        <item x="358"/>
        <item x="294"/>
        <item x="398"/>
        <item x="588"/>
        <item x="144"/>
        <item x="226"/>
        <item x="464"/>
        <item x="326"/>
        <item x="225"/>
        <item x="154"/>
        <item x="563"/>
        <item x="521"/>
        <item x="541"/>
        <item x="54"/>
        <item x="102"/>
        <item x="182"/>
        <item x="114"/>
        <item x="131"/>
        <item x="341"/>
        <item x="535"/>
        <item x="51"/>
        <item x="344"/>
        <item x="420"/>
        <item x="426"/>
        <item x="570"/>
        <item x="347"/>
        <item x="556"/>
        <item x="78"/>
        <item x="207"/>
        <item x="188"/>
        <item x="411"/>
        <item x="321"/>
        <item x="280"/>
        <item x="616"/>
        <item x="137"/>
        <item x="624"/>
        <item x="439"/>
        <item x="68"/>
        <item x="403"/>
        <item x="260"/>
        <item x="150"/>
        <item x="534"/>
        <item x="384"/>
        <item x="115"/>
        <item x="9"/>
        <item x="147"/>
        <item x="287"/>
        <item x="457"/>
        <item x="317"/>
        <item x="583"/>
        <item x="397"/>
        <item x="370"/>
        <item x="27"/>
        <item x="77"/>
        <item x="308"/>
        <item x="240"/>
        <item x="569"/>
        <item x="275"/>
        <item x="488"/>
        <item x="490"/>
        <item x="408"/>
        <item x="486"/>
        <item x="103"/>
        <item x="286"/>
        <item x="43"/>
        <item x="230"/>
        <item x="279"/>
        <item x="504"/>
        <item x="391"/>
        <item x="124"/>
        <item x="72"/>
        <item x="24"/>
        <item x="155"/>
        <item x="400"/>
        <item x="349"/>
        <item x="312"/>
        <item x="530"/>
        <item x="288"/>
        <item x="243"/>
        <item x="479"/>
        <item x="28"/>
        <item x="67"/>
        <item x="4"/>
        <item x="343"/>
        <item x="140"/>
        <item x="629"/>
        <item x="453"/>
        <item x="586"/>
        <item x="218"/>
        <item x="524"/>
        <item x="406"/>
        <item x="227"/>
        <item x="295"/>
        <item x="56"/>
        <item x="99"/>
        <item x="451"/>
        <item x="628"/>
        <item x="252"/>
        <item x="3"/>
        <item x="58"/>
        <item x="157"/>
        <item x="110"/>
        <item x="466"/>
        <item x="498"/>
        <item x="80"/>
        <item x="481"/>
        <item x="584"/>
        <item x="268"/>
        <item x="231"/>
        <item x="505"/>
        <item x="606"/>
        <item x="431"/>
        <item x="375"/>
        <item x="205"/>
        <item x="340"/>
        <item x="125"/>
        <item x="405"/>
        <item x="561"/>
        <item x="514"/>
        <item x="625"/>
        <item x="273"/>
        <item x="612"/>
        <item x="251"/>
        <item x="121"/>
        <item x="419"/>
        <item x="175"/>
        <item x="204"/>
        <item x="500"/>
        <item x="309"/>
        <item x="459"/>
        <item x="373"/>
        <item x="189"/>
        <item x="538"/>
        <item x="553"/>
        <item x="149"/>
        <item x="557"/>
        <item x="187"/>
        <item x="223"/>
        <item x="422"/>
        <item x="159"/>
        <item x="502"/>
        <item x="196"/>
        <item x="195"/>
        <item x="609"/>
        <item x="372"/>
        <item x="410"/>
        <item x="177"/>
        <item x="293"/>
        <item x="2"/>
        <item x="178"/>
        <item x="351"/>
        <item x="378"/>
        <item x="407"/>
        <item x="512"/>
        <item x="608"/>
        <item x="299"/>
        <item x="380"/>
        <item x="81"/>
        <item x="495"/>
        <item x="331"/>
        <item x="47"/>
        <item x="143"/>
        <item x="64"/>
        <item x="434"/>
        <item x="509"/>
        <item x="302"/>
        <item x="404"/>
        <item x="40"/>
        <item x="480"/>
        <item x="381"/>
        <item x="181"/>
        <item x="325"/>
        <item x="330"/>
        <item x="48"/>
        <item x="52"/>
        <item x="221"/>
        <item x="546"/>
        <item x="303"/>
        <item x="494"/>
        <item x="371"/>
        <item x="21"/>
        <item x="427"/>
        <item x="507"/>
        <item x="425"/>
        <item x="168"/>
        <item x="183"/>
        <item x="228"/>
        <item x="615"/>
        <item x="151"/>
        <item x="272"/>
        <item x="526"/>
        <item x="452"/>
        <item x="442"/>
        <item x="545"/>
        <item x="34"/>
        <item x="20"/>
        <item x="112"/>
        <item x="244"/>
        <item x="304"/>
        <item x="45"/>
        <item x="57"/>
        <item x="167"/>
        <item x="387"/>
        <item x="98"/>
        <item x="253"/>
        <item x="128"/>
        <item x="76"/>
        <item x="46"/>
        <item x="171"/>
        <item x="306"/>
        <item x="598"/>
        <item x="95"/>
        <item x="146"/>
        <item x="262"/>
        <item x="298"/>
        <item x="622"/>
        <item x="120"/>
        <item x="602"/>
        <item x="148"/>
        <item x="213"/>
        <item x="519"/>
        <item x="41"/>
        <item x="233"/>
        <item x="96"/>
        <item x="444"/>
        <item x="547"/>
        <item x="560"/>
        <item x="297"/>
        <item x="136"/>
        <item x="491"/>
        <item x="265"/>
        <item x="334"/>
        <item x="185"/>
        <item x="417"/>
        <item x="465"/>
        <item x="555"/>
        <item x="320"/>
        <item x="39"/>
        <item x="198"/>
        <item x="454"/>
        <item x="271"/>
        <item x="123"/>
        <item x="160"/>
        <item x="116"/>
        <item x="245"/>
        <item x="19"/>
        <item x="337"/>
        <item x="316"/>
        <item x="432"/>
        <item x="242"/>
        <item x="173"/>
        <item x="138"/>
        <item x="448"/>
        <item x="49"/>
        <item x="66"/>
        <item x="531"/>
        <item x="74"/>
        <item x="402"/>
        <item x="6"/>
        <item x="461"/>
        <item x="421"/>
        <item x="65"/>
        <item x="127"/>
        <item x="413"/>
        <item x="119"/>
        <item x="153"/>
        <item x="590"/>
        <item x="335"/>
        <item x="36"/>
        <item x="180"/>
        <item x="450"/>
        <item x="361"/>
        <item x="513"/>
        <item x="474"/>
        <item x="31"/>
        <item x="84"/>
        <item x="75"/>
        <item x="63"/>
        <item x="440"/>
        <item x="589"/>
        <item x="566"/>
        <item x="543"/>
        <item x="585"/>
        <item x="166"/>
        <item x="23"/>
        <item x="525"/>
        <item x="587"/>
        <item x="311"/>
        <item x="104"/>
        <item x="282"/>
        <item x="92"/>
        <item x="201"/>
        <item x="600"/>
        <item x="383"/>
        <item x="496"/>
        <item x="579"/>
        <item x="85"/>
        <item x="285"/>
        <item x="197"/>
        <item x="276"/>
        <item x="318"/>
        <item x="401"/>
        <item x="339"/>
        <item x="232"/>
        <item x="174"/>
        <item x="208"/>
        <item t="default"/>
      </items>
    </pivotField>
    <pivotField showAll="0"/>
    <pivotField showAll="0" sortType="descending">
      <items count="11">
        <item x="9"/>
        <item x="3"/>
        <item x="5"/>
        <item x="1"/>
        <item x="8"/>
        <item x="4"/>
        <item x="2"/>
        <item x="0"/>
        <item x="7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7">
        <item x="4"/>
        <item x="0"/>
        <item x="2"/>
        <item x="5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" showAll="0"/>
    <pivotField numFmtId="1" showAll="0"/>
    <pivotField numFmtId="1" showAll="0"/>
    <pivotField numFmtId="1" showAll="0"/>
    <pivotField showAll="0"/>
    <pivotField showAll="0"/>
    <pivotField numFmtId="168" showAll="0"/>
    <pivotField numFmtId="1" showAll="0"/>
    <pivotField numFmtId="14" showAll="0"/>
    <pivotField showAll="0"/>
    <pivotField showAll="0"/>
    <pivotField showAll="0"/>
    <pivotField showAll="0"/>
    <pivotField showAll="0"/>
    <pivotField numFmtId="1" showAll="0"/>
    <pivotField dataField="1" numFmtId="1" showAll="0"/>
    <pivotField numFmtId="1" showAll="0"/>
    <pivotField showAll="0"/>
  </pivotFields>
  <rowFields count="1">
    <field x="5"/>
  </rowFields>
  <rowItems count="7">
    <i>
      <x v="4"/>
    </i>
    <i>
      <x v="1"/>
    </i>
    <i>
      <x v="2"/>
    </i>
    <i>
      <x v="5"/>
    </i>
    <i>
      <x/>
    </i>
    <i>
      <x v="3"/>
    </i>
    <i t="grand">
      <x/>
    </i>
  </rowItems>
  <colItems count="1">
    <i/>
  </colItems>
  <dataFields count="1">
    <dataField name="Sum of Net_Sales" fld="21" baseField="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FAC75B-C164-4B4A-B85D-62711CA6D87D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24">
    <pivotField showAll="0"/>
    <pivotField showAll="0"/>
    <pivotField showAll="0">
      <items count="631">
        <item x="5"/>
        <item x="379"/>
        <item x="327"/>
        <item x="133"/>
        <item x="278"/>
        <item x="322"/>
        <item x="135"/>
        <item x="627"/>
        <item x="13"/>
        <item x="382"/>
        <item x="597"/>
        <item x="130"/>
        <item x="50"/>
        <item x="478"/>
        <item x="575"/>
        <item x="82"/>
        <item x="577"/>
        <item x="458"/>
        <item x="611"/>
        <item x="26"/>
        <item x="292"/>
        <item x="360"/>
        <item x="503"/>
        <item x="266"/>
        <item x="89"/>
        <item x="621"/>
        <item x="108"/>
        <item x="376"/>
        <item x="603"/>
        <item x="542"/>
        <item x="284"/>
        <item x="111"/>
        <item x="357"/>
        <item x="165"/>
        <item x="522"/>
        <item x="33"/>
        <item x="142"/>
        <item x="247"/>
        <item x="377"/>
        <item x="571"/>
        <item x="315"/>
        <item x="497"/>
        <item x="394"/>
        <item x="623"/>
        <item x="520"/>
        <item x="399"/>
        <item x="537"/>
        <item x="485"/>
        <item x="527"/>
        <item x="192"/>
        <item x="60"/>
        <item x="32"/>
        <item x="386"/>
        <item x="38"/>
        <item x="484"/>
        <item x="44"/>
        <item x="332"/>
        <item x="210"/>
        <item x="235"/>
        <item x="176"/>
        <item x="554"/>
        <item x="626"/>
        <item x="290"/>
        <item x="336"/>
        <item x="499"/>
        <item x="430"/>
        <item x="22"/>
        <item x="476"/>
        <item x="236"/>
        <item x="86"/>
        <item x="0"/>
        <item x="429"/>
        <item x="423"/>
        <item x="574"/>
        <item x="61"/>
        <item x="544"/>
        <item x="237"/>
        <item x="470"/>
        <item x="580"/>
        <item x="53"/>
        <item x="301"/>
        <item x="515"/>
        <item x="409"/>
        <item x="263"/>
        <item x="289"/>
        <item x="37"/>
        <item x="229"/>
        <item x="16"/>
        <item x="338"/>
        <item x="467"/>
        <item x="533"/>
        <item x="25"/>
        <item x="248"/>
        <item x="367"/>
        <item x="573"/>
        <item x="224"/>
        <item x="126"/>
        <item x="93"/>
        <item x="441"/>
        <item x="617"/>
        <item x="550"/>
        <item x="506"/>
        <item x="156"/>
        <item x="482"/>
        <item x="578"/>
        <item x="62"/>
        <item x="595"/>
        <item x="614"/>
        <item x="220"/>
        <item x="203"/>
        <item x="567"/>
        <item x="161"/>
        <item x="55"/>
        <item x="300"/>
        <item x="389"/>
        <item x="209"/>
        <item x="364"/>
        <item x="446"/>
        <item x="129"/>
        <item x="257"/>
        <item x="14"/>
        <item x="134"/>
        <item x="117"/>
        <item x="71"/>
        <item x="362"/>
        <item x="395"/>
        <item x="414"/>
        <item x="328"/>
        <item x="618"/>
        <item x="70"/>
        <item x="234"/>
        <item x="105"/>
        <item x="443"/>
        <item x="365"/>
        <item x="42"/>
        <item x="217"/>
        <item x="424"/>
        <item x="239"/>
        <item x="468"/>
        <item x="363"/>
        <item x="388"/>
        <item x="390"/>
        <item x="307"/>
        <item x="374"/>
        <item x="477"/>
        <item x="100"/>
        <item x="190"/>
        <item x="35"/>
        <item x="122"/>
        <item x="416"/>
        <item x="576"/>
        <item x="179"/>
        <item x="356"/>
        <item x="552"/>
        <item x="324"/>
        <item x="366"/>
        <item x="281"/>
        <item x="249"/>
        <item x="333"/>
        <item x="283"/>
        <item x="508"/>
        <item x="30"/>
        <item x="113"/>
        <item x="87"/>
        <item x="206"/>
        <item x="493"/>
        <item x="455"/>
        <item x="346"/>
        <item x="620"/>
        <item x="605"/>
        <item x="259"/>
        <item x="353"/>
        <item x="94"/>
        <item x="186"/>
        <item x="216"/>
        <item x="194"/>
        <item x="369"/>
        <item x="463"/>
        <item x="435"/>
        <item x="613"/>
        <item x="601"/>
        <item x="291"/>
        <item x="256"/>
        <item x="438"/>
        <item x="518"/>
        <item x="564"/>
        <item x="437"/>
        <item x="164"/>
        <item x="211"/>
        <item x="212"/>
        <item x="107"/>
        <item x="385"/>
        <item x="1"/>
        <item x="172"/>
        <item x="368"/>
        <item x="345"/>
        <item x="90"/>
        <item x="319"/>
        <item x="540"/>
        <item x="558"/>
        <item x="594"/>
        <item x="449"/>
        <item x="593"/>
        <item x="8"/>
        <item x="270"/>
        <item x="510"/>
        <item x="219"/>
        <item x="559"/>
        <item x="604"/>
        <item x="487"/>
        <item x="132"/>
        <item x="15"/>
        <item x="267"/>
        <item x="354"/>
        <item x="591"/>
        <item x="139"/>
        <item x="551"/>
        <item x="88"/>
        <item x="79"/>
        <item x="277"/>
        <item x="539"/>
        <item x="396"/>
        <item x="607"/>
        <item x="523"/>
        <item x="305"/>
        <item x="255"/>
        <item x="170"/>
        <item x="528"/>
        <item x="511"/>
        <item x="101"/>
        <item x="469"/>
        <item x="69"/>
        <item x="261"/>
        <item x="152"/>
        <item x="456"/>
        <item x="418"/>
        <item x="184"/>
        <item x="565"/>
        <item x="7"/>
        <item x="215"/>
        <item x="17"/>
        <item x="313"/>
        <item x="12"/>
        <item x="596"/>
        <item x="258"/>
        <item x="158"/>
        <item x="582"/>
        <item x="202"/>
        <item x="329"/>
        <item x="462"/>
        <item x="83"/>
        <item x="471"/>
        <item x="169"/>
        <item x="162"/>
        <item x="250"/>
        <item x="536"/>
        <item x="348"/>
        <item x="269"/>
        <item x="568"/>
        <item x="415"/>
        <item x="350"/>
        <item x="10"/>
        <item x="516"/>
        <item x="392"/>
        <item x="141"/>
        <item x="445"/>
        <item x="517"/>
        <item x="472"/>
        <item x="532"/>
        <item x="238"/>
        <item x="59"/>
        <item x="310"/>
        <item x="191"/>
        <item x="11"/>
        <item x="359"/>
        <item x="97"/>
        <item x="323"/>
        <item x="118"/>
        <item x="492"/>
        <item x="489"/>
        <item x="214"/>
        <item x="562"/>
        <item x="199"/>
        <item x="106"/>
        <item x="109"/>
        <item x="193"/>
        <item x="296"/>
        <item x="436"/>
        <item x="73"/>
        <item x="393"/>
        <item x="549"/>
        <item x="599"/>
        <item x="548"/>
        <item x="412"/>
        <item x="592"/>
        <item x="274"/>
        <item x="18"/>
        <item x="610"/>
        <item x="246"/>
        <item x="572"/>
        <item x="475"/>
        <item x="200"/>
        <item x="355"/>
        <item x="264"/>
        <item x="581"/>
        <item x="163"/>
        <item x="428"/>
        <item x="91"/>
        <item x="145"/>
        <item x="342"/>
        <item x="619"/>
        <item x="352"/>
        <item x="473"/>
        <item x="501"/>
        <item x="460"/>
        <item x="314"/>
        <item x="241"/>
        <item x="29"/>
        <item x="254"/>
        <item x="483"/>
        <item x="529"/>
        <item x="222"/>
        <item x="447"/>
        <item x="433"/>
        <item x="358"/>
        <item x="294"/>
        <item x="398"/>
        <item x="588"/>
        <item x="144"/>
        <item x="226"/>
        <item x="464"/>
        <item x="326"/>
        <item x="225"/>
        <item x="154"/>
        <item x="563"/>
        <item x="521"/>
        <item x="541"/>
        <item x="54"/>
        <item x="102"/>
        <item x="182"/>
        <item x="114"/>
        <item x="131"/>
        <item x="341"/>
        <item x="535"/>
        <item x="51"/>
        <item x="344"/>
        <item x="420"/>
        <item x="426"/>
        <item x="570"/>
        <item x="347"/>
        <item x="556"/>
        <item x="78"/>
        <item x="207"/>
        <item x="188"/>
        <item x="411"/>
        <item x="321"/>
        <item x="280"/>
        <item x="616"/>
        <item x="137"/>
        <item x="624"/>
        <item x="439"/>
        <item x="68"/>
        <item x="403"/>
        <item x="260"/>
        <item x="150"/>
        <item x="534"/>
        <item x="384"/>
        <item x="115"/>
        <item x="9"/>
        <item x="147"/>
        <item x="287"/>
        <item x="457"/>
        <item x="317"/>
        <item x="583"/>
        <item x="397"/>
        <item x="370"/>
        <item x="27"/>
        <item x="77"/>
        <item x="308"/>
        <item x="240"/>
        <item x="569"/>
        <item x="275"/>
        <item x="488"/>
        <item x="490"/>
        <item x="408"/>
        <item x="486"/>
        <item x="103"/>
        <item x="286"/>
        <item x="43"/>
        <item x="230"/>
        <item x="279"/>
        <item x="504"/>
        <item x="391"/>
        <item x="124"/>
        <item x="72"/>
        <item x="24"/>
        <item x="155"/>
        <item x="400"/>
        <item x="349"/>
        <item x="312"/>
        <item x="530"/>
        <item x="288"/>
        <item x="243"/>
        <item x="479"/>
        <item x="28"/>
        <item x="67"/>
        <item x="4"/>
        <item x="343"/>
        <item x="140"/>
        <item x="629"/>
        <item x="453"/>
        <item x="586"/>
        <item x="218"/>
        <item x="524"/>
        <item x="406"/>
        <item x="227"/>
        <item x="295"/>
        <item x="56"/>
        <item x="99"/>
        <item x="451"/>
        <item x="628"/>
        <item x="252"/>
        <item x="3"/>
        <item x="58"/>
        <item x="157"/>
        <item x="110"/>
        <item x="466"/>
        <item x="498"/>
        <item x="80"/>
        <item x="481"/>
        <item x="584"/>
        <item x="268"/>
        <item x="231"/>
        <item x="505"/>
        <item x="606"/>
        <item x="431"/>
        <item x="375"/>
        <item x="205"/>
        <item x="340"/>
        <item x="125"/>
        <item x="405"/>
        <item x="561"/>
        <item x="514"/>
        <item x="625"/>
        <item x="273"/>
        <item x="612"/>
        <item x="251"/>
        <item x="121"/>
        <item x="419"/>
        <item x="175"/>
        <item x="204"/>
        <item x="500"/>
        <item x="309"/>
        <item x="459"/>
        <item x="373"/>
        <item x="189"/>
        <item x="538"/>
        <item x="553"/>
        <item x="149"/>
        <item x="557"/>
        <item x="187"/>
        <item x="223"/>
        <item x="422"/>
        <item x="159"/>
        <item x="502"/>
        <item x="196"/>
        <item x="195"/>
        <item x="609"/>
        <item x="372"/>
        <item x="410"/>
        <item x="177"/>
        <item x="293"/>
        <item x="2"/>
        <item x="178"/>
        <item x="351"/>
        <item x="378"/>
        <item x="407"/>
        <item x="512"/>
        <item x="608"/>
        <item x="299"/>
        <item x="380"/>
        <item x="81"/>
        <item x="495"/>
        <item x="331"/>
        <item x="47"/>
        <item x="143"/>
        <item x="64"/>
        <item x="434"/>
        <item x="509"/>
        <item x="302"/>
        <item x="404"/>
        <item x="40"/>
        <item x="480"/>
        <item x="381"/>
        <item x="181"/>
        <item x="325"/>
        <item x="330"/>
        <item x="48"/>
        <item x="52"/>
        <item x="221"/>
        <item x="546"/>
        <item x="303"/>
        <item x="494"/>
        <item x="371"/>
        <item x="21"/>
        <item x="427"/>
        <item x="507"/>
        <item x="425"/>
        <item x="168"/>
        <item x="183"/>
        <item x="228"/>
        <item x="615"/>
        <item x="151"/>
        <item x="272"/>
        <item x="526"/>
        <item x="452"/>
        <item x="442"/>
        <item x="545"/>
        <item x="34"/>
        <item x="20"/>
        <item x="112"/>
        <item x="244"/>
        <item x="304"/>
        <item x="45"/>
        <item x="57"/>
        <item x="167"/>
        <item x="387"/>
        <item x="98"/>
        <item x="253"/>
        <item x="128"/>
        <item x="76"/>
        <item x="46"/>
        <item x="171"/>
        <item x="306"/>
        <item x="598"/>
        <item x="95"/>
        <item x="146"/>
        <item x="262"/>
        <item x="298"/>
        <item x="622"/>
        <item x="120"/>
        <item x="602"/>
        <item x="148"/>
        <item x="213"/>
        <item x="519"/>
        <item x="41"/>
        <item x="233"/>
        <item x="96"/>
        <item x="444"/>
        <item x="547"/>
        <item x="560"/>
        <item x="297"/>
        <item x="136"/>
        <item x="491"/>
        <item x="265"/>
        <item x="334"/>
        <item x="185"/>
        <item x="417"/>
        <item x="465"/>
        <item x="555"/>
        <item x="320"/>
        <item x="39"/>
        <item x="198"/>
        <item x="454"/>
        <item x="271"/>
        <item x="123"/>
        <item x="160"/>
        <item x="116"/>
        <item x="245"/>
        <item x="19"/>
        <item x="337"/>
        <item x="316"/>
        <item x="432"/>
        <item x="242"/>
        <item x="173"/>
        <item x="138"/>
        <item x="448"/>
        <item x="49"/>
        <item x="66"/>
        <item x="531"/>
        <item x="74"/>
        <item x="402"/>
        <item x="6"/>
        <item x="461"/>
        <item x="421"/>
        <item x="65"/>
        <item x="127"/>
        <item x="413"/>
        <item x="119"/>
        <item x="153"/>
        <item x="590"/>
        <item x="335"/>
        <item x="36"/>
        <item x="180"/>
        <item x="450"/>
        <item x="361"/>
        <item x="513"/>
        <item x="474"/>
        <item x="31"/>
        <item x="84"/>
        <item x="75"/>
        <item x="63"/>
        <item x="440"/>
        <item x="589"/>
        <item x="566"/>
        <item x="543"/>
        <item x="585"/>
        <item x="166"/>
        <item x="23"/>
        <item x="525"/>
        <item x="587"/>
        <item x="311"/>
        <item x="104"/>
        <item x="282"/>
        <item x="92"/>
        <item x="201"/>
        <item x="600"/>
        <item x="383"/>
        <item x="496"/>
        <item x="579"/>
        <item x="85"/>
        <item x="285"/>
        <item x="197"/>
        <item x="276"/>
        <item x="318"/>
        <item x="401"/>
        <item x="339"/>
        <item x="232"/>
        <item x="174"/>
        <item x="208"/>
        <item t="default"/>
      </items>
    </pivotField>
    <pivotField showAll="0"/>
    <pivotField axis="axisRow" showAll="0" sortType="descending">
      <items count="11">
        <item x="9"/>
        <item x="3"/>
        <item x="5"/>
        <item x="1"/>
        <item x="8"/>
        <item x="4"/>
        <item x="2"/>
        <item x="0"/>
        <item x="7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" showAll="0"/>
    <pivotField numFmtId="1" showAll="0"/>
    <pivotField numFmtId="1" showAll="0"/>
    <pivotField numFmtId="1" showAll="0"/>
    <pivotField showAll="0"/>
    <pivotField showAll="0"/>
    <pivotField numFmtId="168" showAll="0"/>
    <pivotField numFmtId="1" showAll="0"/>
    <pivotField numFmtId="14" showAll="0"/>
    <pivotField showAll="0"/>
    <pivotField showAll="0"/>
    <pivotField showAll="0"/>
    <pivotField showAll="0"/>
    <pivotField showAll="0"/>
    <pivotField numFmtId="1" showAll="0"/>
    <pivotField dataField="1" numFmtId="1" showAll="0"/>
    <pivotField numFmtId="1" showAll="0"/>
    <pivotField showAll="0"/>
  </pivotFields>
  <rowFields count="1">
    <field x="4"/>
  </rowFields>
  <rowItems count="11">
    <i>
      <x v="6"/>
    </i>
    <i>
      <x v="2"/>
    </i>
    <i>
      <x v="1"/>
    </i>
    <i>
      <x v="8"/>
    </i>
    <i>
      <x v="3"/>
    </i>
    <i>
      <x v="7"/>
    </i>
    <i>
      <x v="5"/>
    </i>
    <i>
      <x/>
    </i>
    <i>
      <x v="4"/>
    </i>
    <i>
      <x v="9"/>
    </i>
    <i t="grand">
      <x/>
    </i>
  </rowItems>
  <colItems count="1">
    <i/>
  </colItems>
  <dataFields count="1">
    <dataField name="Sum of Net_Sales" fld="21" baseField="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651"/>
  <sheetViews>
    <sheetView topLeftCell="M1" workbookViewId="0"/>
  </sheetViews>
  <sheetFormatPr defaultColWidth="12.6328125" defaultRowHeight="15.75" customHeight="1" x14ac:dyDescent="0.25"/>
  <cols>
    <col min="4" max="4" width="34.54296875" bestFit="1" customWidth="1"/>
    <col min="5" max="5" width="15.81640625" bestFit="1" customWidth="1"/>
    <col min="6" max="6" width="13.54296875" bestFit="1" customWidth="1"/>
    <col min="17" max="17" width="15.81640625" bestFit="1" customWidth="1"/>
    <col min="19" max="19" width="14.453125" bestFit="1" customWidth="1"/>
  </cols>
  <sheetData>
    <row r="1" spans="1:2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/>
      <c r="V1" s="1"/>
      <c r="W1" s="1"/>
      <c r="X1" s="1"/>
      <c r="Y1" s="1"/>
      <c r="Z1" s="1"/>
    </row>
    <row r="2" spans="1:26" ht="15.75" customHeight="1" x14ac:dyDescent="0.25">
      <c r="A2" s="2" t="s">
        <v>20</v>
      </c>
      <c r="B2" s="2" t="s">
        <v>21</v>
      </c>
      <c r="C2" s="2" t="s">
        <v>22</v>
      </c>
      <c r="D2" s="2" t="s">
        <v>23</v>
      </c>
      <c r="E2" s="2" t="s">
        <v>24</v>
      </c>
      <c r="F2" s="2" t="s">
        <v>25</v>
      </c>
      <c r="G2" s="5">
        <v>1154</v>
      </c>
      <c r="H2" s="5">
        <v>40</v>
      </c>
      <c r="I2" s="5">
        <v>693</v>
      </c>
      <c r="J2" s="5">
        <v>2</v>
      </c>
      <c r="K2" s="2" t="s">
        <v>26</v>
      </c>
      <c r="L2" s="2" t="s">
        <v>27</v>
      </c>
      <c r="M2" s="4">
        <v>5</v>
      </c>
      <c r="N2" s="5">
        <v>91</v>
      </c>
      <c r="O2" s="3">
        <v>45788</v>
      </c>
      <c r="P2" s="2" t="s">
        <v>28</v>
      </c>
      <c r="Q2" s="2" t="s">
        <v>29</v>
      </c>
      <c r="R2" s="2" t="s">
        <v>30</v>
      </c>
      <c r="S2" s="2" t="s">
        <v>31</v>
      </c>
      <c r="T2" s="2" t="s">
        <v>32</v>
      </c>
    </row>
    <row r="3" spans="1:26" ht="15.75" customHeight="1" x14ac:dyDescent="0.25">
      <c r="A3" s="2" t="s">
        <v>33</v>
      </c>
      <c r="B3" s="2" t="s">
        <v>34</v>
      </c>
      <c r="C3" s="2" t="s">
        <v>35</v>
      </c>
      <c r="D3" s="2" t="s">
        <v>36</v>
      </c>
      <c r="E3" s="2" t="s">
        <v>37</v>
      </c>
      <c r="F3" s="2" t="s">
        <v>38</v>
      </c>
      <c r="G3" s="5">
        <v>629</v>
      </c>
      <c r="H3" s="5">
        <v>40</v>
      </c>
      <c r="I3" s="5">
        <v>378</v>
      </c>
      <c r="J3" s="5">
        <v>1</v>
      </c>
      <c r="K3" s="2">
        <v>42</v>
      </c>
      <c r="L3" s="2" t="s">
        <v>39</v>
      </c>
      <c r="M3" s="4">
        <v>5</v>
      </c>
      <c r="N3" s="5">
        <v>166</v>
      </c>
      <c r="O3" s="3">
        <v>45789</v>
      </c>
      <c r="P3" s="2" t="s">
        <v>40</v>
      </c>
      <c r="Q3" s="2" t="s">
        <v>29</v>
      </c>
      <c r="R3" s="2" t="s">
        <v>41</v>
      </c>
      <c r="S3" s="2" t="s">
        <v>42</v>
      </c>
      <c r="T3" s="2" t="s">
        <v>43</v>
      </c>
    </row>
    <row r="4" spans="1:26" ht="15.75" customHeight="1" x14ac:dyDescent="0.25">
      <c r="A4" s="2" t="s">
        <v>44</v>
      </c>
      <c r="B4" s="2" t="s">
        <v>45</v>
      </c>
      <c r="C4" s="2" t="s">
        <v>46</v>
      </c>
      <c r="D4" s="2" t="s">
        <v>47</v>
      </c>
      <c r="E4" s="2" t="s">
        <v>48</v>
      </c>
      <c r="F4" s="2" t="s">
        <v>25</v>
      </c>
      <c r="G4" s="5">
        <v>4659</v>
      </c>
      <c r="H4" s="5">
        <v>20</v>
      </c>
      <c r="I4" s="5">
        <v>3728</v>
      </c>
      <c r="J4" s="5">
        <v>3</v>
      </c>
      <c r="K4" s="2" t="s">
        <v>26</v>
      </c>
      <c r="L4" s="2" t="s">
        <v>49</v>
      </c>
      <c r="M4" s="4">
        <v>4.2</v>
      </c>
      <c r="N4" s="5">
        <v>76</v>
      </c>
      <c r="O4" s="3">
        <v>45821</v>
      </c>
      <c r="P4" s="2" t="s">
        <v>40</v>
      </c>
      <c r="Q4" s="2" t="s">
        <v>29</v>
      </c>
      <c r="R4" s="2" t="s">
        <v>30</v>
      </c>
      <c r="S4" s="2" t="s">
        <v>31</v>
      </c>
      <c r="T4" s="2" t="s">
        <v>50</v>
      </c>
    </row>
    <row r="5" spans="1:26" ht="15.75" customHeight="1" x14ac:dyDescent="0.25">
      <c r="A5" s="2" t="s">
        <v>51</v>
      </c>
      <c r="B5" s="2" t="s">
        <v>52</v>
      </c>
      <c r="C5" s="2" t="s">
        <v>53</v>
      </c>
      <c r="D5" s="2" t="s">
        <v>54</v>
      </c>
      <c r="E5" s="2" t="s">
        <v>55</v>
      </c>
      <c r="F5" s="2" t="s">
        <v>38</v>
      </c>
      <c r="G5" s="5">
        <v>957</v>
      </c>
      <c r="H5" s="5">
        <v>20</v>
      </c>
      <c r="I5" s="5">
        <v>766</v>
      </c>
      <c r="J5" s="5">
        <v>3</v>
      </c>
      <c r="K5" s="2" t="s">
        <v>56</v>
      </c>
      <c r="L5" s="2" t="s">
        <v>27</v>
      </c>
      <c r="M5" s="4">
        <v>4.9000000000000004</v>
      </c>
      <c r="N5" s="5">
        <v>118</v>
      </c>
      <c r="O5" s="3">
        <v>45788</v>
      </c>
      <c r="P5" s="2" t="s">
        <v>57</v>
      </c>
      <c r="Q5" s="2" t="s">
        <v>29</v>
      </c>
      <c r="R5" s="2" t="s">
        <v>58</v>
      </c>
      <c r="S5" s="2" t="s">
        <v>59</v>
      </c>
      <c r="T5" s="2" t="s">
        <v>32</v>
      </c>
    </row>
    <row r="6" spans="1:26" ht="15.75" customHeight="1" x14ac:dyDescent="0.25">
      <c r="A6" s="2" t="s">
        <v>60</v>
      </c>
      <c r="B6" s="2" t="s">
        <v>61</v>
      </c>
      <c r="C6" s="2" t="s">
        <v>62</v>
      </c>
      <c r="D6" s="2" t="s">
        <v>63</v>
      </c>
      <c r="E6" s="2" t="s">
        <v>24</v>
      </c>
      <c r="F6" s="2" t="s">
        <v>25</v>
      </c>
      <c r="G6" s="5">
        <v>2453</v>
      </c>
      <c r="H6" s="5">
        <v>10</v>
      </c>
      <c r="I6" s="5">
        <v>2208</v>
      </c>
      <c r="J6" s="5">
        <v>1</v>
      </c>
      <c r="K6" s="2">
        <v>40</v>
      </c>
      <c r="L6" s="2" t="s">
        <v>64</v>
      </c>
      <c r="M6" s="4">
        <v>3.7</v>
      </c>
      <c r="N6" s="5">
        <v>144</v>
      </c>
      <c r="O6" s="3">
        <v>45772</v>
      </c>
      <c r="P6" s="2" t="s">
        <v>28</v>
      </c>
      <c r="Q6" s="2" t="s">
        <v>65</v>
      </c>
      <c r="R6" s="2" t="s">
        <v>66</v>
      </c>
      <c r="S6" s="2" t="s">
        <v>67</v>
      </c>
      <c r="T6" s="2" t="s">
        <v>32</v>
      </c>
    </row>
    <row r="7" spans="1:26" ht="15.75" customHeight="1" x14ac:dyDescent="0.25">
      <c r="A7" s="2" t="s">
        <v>68</v>
      </c>
      <c r="B7" s="2" t="s">
        <v>69</v>
      </c>
      <c r="C7" s="2" t="s">
        <v>70</v>
      </c>
      <c r="D7" s="2" t="s">
        <v>71</v>
      </c>
      <c r="E7" s="2" t="s">
        <v>55</v>
      </c>
      <c r="F7" s="2" t="s">
        <v>38</v>
      </c>
      <c r="G7" s="5">
        <v>4020</v>
      </c>
      <c r="H7" s="5">
        <v>35</v>
      </c>
      <c r="I7" s="5">
        <v>2613</v>
      </c>
      <c r="J7" s="5">
        <v>2</v>
      </c>
      <c r="K7" s="2" t="s">
        <v>72</v>
      </c>
      <c r="L7" s="2" t="s">
        <v>73</v>
      </c>
      <c r="M7" s="4">
        <v>4.8</v>
      </c>
      <c r="N7" s="5">
        <v>175</v>
      </c>
      <c r="O7" s="3">
        <v>45825</v>
      </c>
      <c r="P7" s="2" t="s">
        <v>57</v>
      </c>
      <c r="Q7" s="2" t="s">
        <v>29</v>
      </c>
      <c r="R7" s="2" t="s">
        <v>66</v>
      </c>
      <c r="S7" s="2" t="s">
        <v>67</v>
      </c>
      <c r="T7" s="2" t="s">
        <v>32</v>
      </c>
    </row>
    <row r="8" spans="1:26" ht="15.75" customHeight="1" x14ac:dyDescent="0.25">
      <c r="A8" s="2" t="s">
        <v>74</v>
      </c>
      <c r="B8" s="2" t="s">
        <v>75</v>
      </c>
      <c r="C8" s="2" t="s">
        <v>76</v>
      </c>
      <c r="D8" s="2" t="s">
        <v>77</v>
      </c>
      <c r="E8" s="2" t="s">
        <v>48</v>
      </c>
      <c r="F8" s="2" t="s">
        <v>25</v>
      </c>
      <c r="G8" s="5">
        <v>3415</v>
      </c>
      <c r="H8" s="5">
        <v>20</v>
      </c>
      <c r="I8" s="5">
        <v>2732</v>
      </c>
      <c r="J8" s="5">
        <v>2</v>
      </c>
      <c r="K8" s="2" t="s">
        <v>56</v>
      </c>
      <c r="L8" s="2" t="s">
        <v>64</v>
      </c>
      <c r="M8" s="4">
        <v>4.2</v>
      </c>
      <c r="N8" s="5">
        <v>113</v>
      </c>
      <c r="O8" s="3">
        <v>45772</v>
      </c>
      <c r="P8" s="2" t="s">
        <v>57</v>
      </c>
      <c r="Q8" s="2" t="s">
        <v>78</v>
      </c>
      <c r="R8" s="2" t="s">
        <v>41</v>
      </c>
      <c r="S8" s="2" t="s">
        <v>42</v>
      </c>
      <c r="T8" s="2" t="s">
        <v>32</v>
      </c>
    </row>
    <row r="9" spans="1:26" ht="15.75" customHeight="1" x14ac:dyDescent="0.25">
      <c r="A9" s="2" t="s">
        <v>79</v>
      </c>
      <c r="B9" s="2" t="s">
        <v>80</v>
      </c>
      <c r="C9" s="2" t="s">
        <v>81</v>
      </c>
      <c r="D9" s="2" t="s">
        <v>82</v>
      </c>
      <c r="E9" s="2" t="s">
        <v>37</v>
      </c>
      <c r="F9" s="2" t="s">
        <v>38</v>
      </c>
      <c r="G9" s="5">
        <v>1089</v>
      </c>
      <c r="H9" s="5">
        <v>15</v>
      </c>
      <c r="I9" s="5">
        <v>926</v>
      </c>
      <c r="J9" s="5">
        <v>3</v>
      </c>
      <c r="K9" s="2">
        <v>44</v>
      </c>
      <c r="L9" s="2" t="s">
        <v>39</v>
      </c>
      <c r="M9" s="4">
        <v>4.8</v>
      </c>
      <c r="N9" s="5">
        <v>48</v>
      </c>
      <c r="O9" s="3">
        <v>45845</v>
      </c>
      <c r="P9" s="2" t="s">
        <v>28</v>
      </c>
      <c r="Q9" s="2" t="s">
        <v>65</v>
      </c>
      <c r="R9" s="2" t="s">
        <v>83</v>
      </c>
      <c r="S9" s="2" t="s">
        <v>83</v>
      </c>
      <c r="T9" s="2" t="s">
        <v>32</v>
      </c>
    </row>
    <row r="10" spans="1:26" ht="15.75" customHeight="1" x14ac:dyDescent="0.25">
      <c r="A10" s="2" t="s">
        <v>84</v>
      </c>
      <c r="B10" s="2" t="s">
        <v>85</v>
      </c>
      <c r="C10" s="2" t="s">
        <v>86</v>
      </c>
      <c r="D10" s="2" t="s">
        <v>87</v>
      </c>
      <c r="E10" s="2" t="s">
        <v>55</v>
      </c>
      <c r="F10" s="2" t="s">
        <v>38</v>
      </c>
      <c r="G10" s="5">
        <v>1150</v>
      </c>
      <c r="H10" s="5">
        <v>25</v>
      </c>
      <c r="I10" s="5">
        <v>863</v>
      </c>
      <c r="J10" s="5">
        <v>2</v>
      </c>
      <c r="K10" s="2" t="s">
        <v>72</v>
      </c>
      <c r="L10" s="2" t="s">
        <v>88</v>
      </c>
      <c r="M10" s="4">
        <v>4.3</v>
      </c>
      <c r="N10" s="5">
        <v>229</v>
      </c>
      <c r="O10" s="3">
        <v>45814</v>
      </c>
      <c r="P10" s="2" t="s">
        <v>40</v>
      </c>
      <c r="Q10" s="2" t="s">
        <v>29</v>
      </c>
      <c r="R10" s="2" t="s">
        <v>89</v>
      </c>
      <c r="S10" s="2" t="s">
        <v>90</v>
      </c>
      <c r="T10" s="2" t="s">
        <v>43</v>
      </c>
    </row>
    <row r="11" spans="1:26" ht="15.75" customHeight="1" x14ac:dyDescent="0.25">
      <c r="A11" s="2" t="s">
        <v>91</v>
      </c>
      <c r="B11" s="2" t="s">
        <v>92</v>
      </c>
      <c r="C11" s="2" t="s">
        <v>93</v>
      </c>
      <c r="D11" s="2" t="s">
        <v>94</v>
      </c>
      <c r="E11" s="2" t="s">
        <v>48</v>
      </c>
      <c r="F11" s="2" t="s">
        <v>25</v>
      </c>
      <c r="G11" s="5">
        <v>3458</v>
      </c>
      <c r="H11" s="5">
        <v>35</v>
      </c>
      <c r="I11" s="5">
        <v>2248</v>
      </c>
      <c r="J11" s="5">
        <v>3</v>
      </c>
      <c r="K11" s="2">
        <v>40</v>
      </c>
      <c r="L11" s="2" t="s">
        <v>88</v>
      </c>
      <c r="M11" s="4">
        <v>4.9000000000000004</v>
      </c>
      <c r="N11" s="5">
        <v>297</v>
      </c>
      <c r="O11" s="3">
        <v>45781</v>
      </c>
      <c r="P11" s="2" t="s">
        <v>57</v>
      </c>
      <c r="Q11" s="2" t="s">
        <v>78</v>
      </c>
      <c r="R11" s="2" t="s">
        <v>30</v>
      </c>
      <c r="S11" s="2" t="s">
        <v>31</v>
      </c>
      <c r="T11" s="2" t="s">
        <v>32</v>
      </c>
    </row>
    <row r="12" spans="1:26" ht="15.75" customHeight="1" x14ac:dyDescent="0.25">
      <c r="A12" s="2" t="s">
        <v>95</v>
      </c>
      <c r="B12" s="2" t="s">
        <v>96</v>
      </c>
      <c r="C12" s="2" t="s">
        <v>97</v>
      </c>
      <c r="D12" s="2" t="s">
        <v>98</v>
      </c>
      <c r="E12" s="2" t="s">
        <v>55</v>
      </c>
      <c r="F12" s="2" t="s">
        <v>38</v>
      </c>
      <c r="G12" s="5">
        <v>3389</v>
      </c>
      <c r="H12" s="5">
        <v>35</v>
      </c>
      <c r="I12" s="5">
        <v>2203</v>
      </c>
      <c r="J12" s="5">
        <v>2</v>
      </c>
      <c r="K12" s="2" t="s">
        <v>72</v>
      </c>
      <c r="L12" s="2" t="s">
        <v>27</v>
      </c>
      <c r="M12" s="4">
        <v>3.8</v>
      </c>
      <c r="N12" s="5">
        <v>83</v>
      </c>
      <c r="O12" s="3">
        <v>45796</v>
      </c>
      <c r="P12" s="2" t="s">
        <v>40</v>
      </c>
      <c r="Q12" s="2" t="s">
        <v>29</v>
      </c>
      <c r="R12" s="2" t="s">
        <v>58</v>
      </c>
      <c r="S12" s="2" t="s">
        <v>59</v>
      </c>
      <c r="T12" s="2" t="s">
        <v>43</v>
      </c>
    </row>
    <row r="13" spans="1:26" ht="15.75" customHeight="1" x14ac:dyDescent="0.25">
      <c r="A13" s="2" t="s">
        <v>99</v>
      </c>
      <c r="B13" s="2" t="s">
        <v>100</v>
      </c>
      <c r="C13" s="2" t="s">
        <v>101</v>
      </c>
      <c r="D13" s="2" t="s">
        <v>102</v>
      </c>
      <c r="E13" s="2" t="s">
        <v>24</v>
      </c>
      <c r="F13" s="2" t="s">
        <v>25</v>
      </c>
      <c r="G13" s="5">
        <v>4446</v>
      </c>
      <c r="H13" s="5">
        <v>10</v>
      </c>
      <c r="I13" s="5">
        <v>4002</v>
      </c>
      <c r="J13" s="5">
        <v>1</v>
      </c>
      <c r="K13" s="2" t="s">
        <v>26</v>
      </c>
      <c r="L13" s="2" t="s">
        <v>103</v>
      </c>
      <c r="M13" s="4">
        <v>4</v>
      </c>
      <c r="N13" s="5">
        <v>178</v>
      </c>
      <c r="O13" s="3">
        <v>45815</v>
      </c>
      <c r="P13" s="2" t="s">
        <v>57</v>
      </c>
      <c r="Q13" s="2" t="s">
        <v>29</v>
      </c>
      <c r="R13" s="2" t="s">
        <v>104</v>
      </c>
      <c r="S13" s="2" t="s">
        <v>105</v>
      </c>
      <c r="T13" s="2" t="s">
        <v>32</v>
      </c>
    </row>
    <row r="14" spans="1:26" ht="15.75" customHeight="1" x14ac:dyDescent="0.25">
      <c r="A14" s="2" t="s">
        <v>106</v>
      </c>
      <c r="B14" s="2" t="s">
        <v>107</v>
      </c>
      <c r="C14" s="2" t="s">
        <v>108</v>
      </c>
      <c r="D14" s="2" t="s">
        <v>109</v>
      </c>
      <c r="E14" s="2" t="s">
        <v>55</v>
      </c>
      <c r="F14" s="2" t="s">
        <v>38</v>
      </c>
      <c r="G14" s="5">
        <v>4024</v>
      </c>
      <c r="H14" s="5">
        <v>25</v>
      </c>
      <c r="I14" s="5">
        <v>3018</v>
      </c>
      <c r="J14" s="5">
        <v>3</v>
      </c>
      <c r="K14" s="2" t="s">
        <v>72</v>
      </c>
      <c r="L14" s="2" t="s">
        <v>49</v>
      </c>
      <c r="M14" s="4">
        <v>4.8</v>
      </c>
      <c r="N14" s="5">
        <v>111</v>
      </c>
      <c r="O14" s="3">
        <v>45823</v>
      </c>
      <c r="P14" s="2" t="s">
        <v>28</v>
      </c>
      <c r="Q14" s="2" t="s">
        <v>65</v>
      </c>
      <c r="R14" s="2" t="s">
        <v>110</v>
      </c>
      <c r="S14" s="2" t="s">
        <v>111</v>
      </c>
      <c r="T14" s="2" t="s">
        <v>32</v>
      </c>
    </row>
    <row r="15" spans="1:26" ht="15.75" customHeight="1" x14ac:dyDescent="0.25">
      <c r="A15" s="2" t="s">
        <v>112</v>
      </c>
      <c r="B15" s="2" t="s">
        <v>113</v>
      </c>
      <c r="C15" s="2" t="s">
        <v>114</v>
      </c>
      <c r="D15" s="2" t="s">
        <v>115</v>
      </c>
      <c r="E15" s="2" t="s">
        <v>116</v>
      </c>
      <c r="F15" s="2" t="s">
        <v>117</v>
      </c>
      <c r="G15" s="5">
        <v>4129</v>
      </c>
      <c r="H15" s="5">
        <v>40</v>
      </c>
      <c r="I15" s="5">
        <v>2478</v>
      </c>
      <c r="J15" s="5">
        <v>1</v>
      </c>
      <c r="K15" s="2" t="s">
        <v>26</v>
      </c>
      <c r="L15" s="2" t="s">
        <v>88</v>
      </c>
      <c r="M15" s="4">
        <v>4.0999999999999996</v>
      </c>
      <c r="N15" s="5">
        <v>34</v>
      </c>
      <c r="O15" s="3">
        <v>45810</v>
      </c>
      <c r="P15" s="2" t="s">
        <v>28</v>
      </c>
      <c r="Q15" s="2" t="s">
        <v>65</v>
      </c>
      <c r="R15" s="2" t="s">
        <v>41</v>
      </c>
      <c r="S15" s="2" t="s">
        <v>42</v>
      </c>
      <c r="T15" s="2" t="s">
        <v>32</v>
      </c>
    </row>
    <row r="16" spans="1:26" ht="15.75" customHeight="1" x14ac:dyDescent="0.25">
      <c r="A16" s="2" t="s">
        <v>118</v>
      </c>
      <c r="B16" s="2" t="s">
        <v>119</v>
      </c>
      <c r="C16" s="2" t="s">
        <v>120</v>
      </c>
      <c r="D16" s="2" t="s">
        <v>121</v>
      </c>
      <c r="E16" s="2" t="s">
        <v>122</v>
      </c>
      <c r="F16" s="2" t="s">
        <v>123</v>
      </c>
      <c r="G16" s="5">
        <v>4507</v>
      </c>
      <c r="H16" s="5">
        <v>15</v>
      </c>
      <c r="I16" s="5">
        <v>3831</v>
      </c>
      <c r="J16" s="5">
        <v>3</v>
      </c>
      <c r="K16" s="2" t="s">
        <v>26</v>
      </c>
      <c r="L16" s="2" t="s">
        <v>49</v>
      </c>
      <c r="M16" s="4">
        <v>3.5</v>
      </c>
      <c r="N16" s="5">
        <v>283</v>
      </c>
      <c r="O16" s="3">
        <v>45855</v>
      </c>
      <c r="P16" s="2" t="s">
        <v>57</v>
      </c>
      <c r="Q16" s="2" t="s">
        <v>65</v>
      </c>
      <c r="R16" s="2" t="s">
        <v>66</v>
      </c>
      <c r="S16" s="2" t="s">
        <v>67</v>
      </c>
      <c r="T16" s="2" t="s">
        <v>32</v>
      </c>
    </row>
    <row r="17" spans="1:20" ht="15.75" customHeight="1" x14ac:dyDescent="0.25">
      <c r="A17" s="2" t="s">
        <v>124</v>
      </c>
      <c r="B17" s="2" t="s">
        <v>125</v>
      </c>
      <c r="C17" s="2" t="s">
        <v>126</v>
      </c>
      <c r="D17" s="2" t="s">
        <v>127</v>
      </c>
      <c r="E17" s="2" t="s">
        <v>37</v>
      </c>
      <c r="F17" s="2" t="s">
        <v>38</v>
      </c>
      <c r="G17" s="5">
        <v>1783</v>
      </c>
      <c r="H17" s="5">
        <v>35</v>
      </c>
      <c r="I17" s="5">
        <v>1159</v>
      </c>
      <c r="J17" s="5">
        <v>3</v>
      </c>
      <c r="K17" s="2" t="s">
        <v>26</v>
      </c>
      <c r="L17" s="2" t="s">
        <v>88</v>
      </c>
      <c r="M17" s="4">
        <v>3.9</v>
      </c>
      <c r="N17" s="5">
        <v>276</v>
      </c>
      <c r="O17" s="3">
        <v>45786</v>
      </c>
      <c r="P17" s="2" t="s">
        <v>57</v>
      </c>
      <c r="Q17" s="2" t="s">
        <v>29</v>
      </c>
      <c r="R17" s="2" t="s">
        <v>104</v>
      </c>
      <c r="S17" s="2" t="s">
        <v>105</v>
      </c>
      <c r="T17" s="2" t="s">
        <v>32</v>
      </c>
    </row>
    <row r="18" spans="1:20" ht="15.75" customHeight="1" x14ac:dyDescent="0.25">
      <c r="A18" s="2" t="s">
        <v>128</v>
      </c>
      <c r="B18" s="2" t="s">
        <v>129</v>
      </c>
      <c r="C18" s="2" t="s">
        <v>130</v>
      </c>
      <c r="D18" s="2" t="s">
        <v>131</v>
      </c>
      <c r="E18" s="2" t="s">
        <v>132</v>
      </c>
      <c r="F18" s="2" t="s">
        <v>38</v>
      </c>
      <c r="G18" s="5">
        <v>2133</v>
      </c>
      <c r="H18" s="5">
        <v>10</v>
      </c>
      <c r="I18" s="5">
        <v>1920</v>
      </c>
      <c r="J18" s="5">
        <v>1</v>
      </c>
      <c r="K18" s="2" t="s">
        <v>72</v>
      </c>
      <c r="L18" s="2" t="s">
        <v>133</v>
      </c>
      <c r="M18" s="4">
        <v>3.7</v>
      </c>
      <c r="N18" s="5">
        <v>230</v>
      </c>
      <c r="O18" s="3">
        <v>45829</v>
      </c>
      <c r="P18" s="2" t="s">
        <v>40</v>
      </c>
      <c r="Q18" s="2" t="s">
        <v>29</v>
      </c>
      <c r="R18" s="2" t="s">
        <v>66</v>
      </c>
      <c r="S18" s="2" t="s">
        <v>67</v>
      </c>
      <c r="T18" s="2" t="s">
        <v>134</v>
      </c>
    </row>
    <row r="19" spans="1:20" ht="12.5" x14ac:dyDescent="0.25">
      <c r="A19" s="2" t="s">
        <v>135</v>
      </c>
      <c r="B19" s="2" t="s">
        <v>136</v>
      </c>
      <c r="C19" s="2" t="s">
        <v>137</v>
      </c>
      <c r="D19" s="2" t="s">
        <v>138</v>
      </c>
      <c r="E19" s="2" t="s">
        <v>37</v>
      </c>
      <c r="F19" s="2" t="s">
        <v>38</v>
      </c>
      <c r="G19" s="5">
        <v>1859</v>
      </c>
      <c r="H19" s="5">
        <v>10</v>
      </c>
      <c r="I19" s="5">
        <v>1674</v>
      </c>
      <c r="J19" s="5">
        <v>1</v>
      </c>
      <c r="K19" s="2" t="s">
        <v>26</v>
      </c>
      <c r="L19" s="2" t="s">
        <v>27</v>
      </c>
      <c r="M19" s="4">
        <v>4.8</v>
      </c>
      <c r="N19" s="5">
        <v>288</v>
      </c>
      <c r="O19" s="3">
        <v>45821</v>
      </c>
      <c r="P19" s="2" t="s">
        <v>40</v>
      </c>
      <c r="Q19" s="2" t="s">
        <v>65</v>
      </c>
      <c r="R19" s="2" t="s">
        <v>83</v>
      </c>
      <c r="S19" s="2" t="s">
        <v>83</v>
      </c>
      <c r="T19" s="2" t="s">
        <v>50</v>
      </c>
    </row>
    <row r="20" spans="1:20" ht="12.5" x14ac:dyDescent="0.25">
      <c r="A20" s="2" t="s">
        <v>139</v>
      </c>
      <c r="B20" s="2" t="s">
        <v>140</v>
      </c>
      <c r="C20" s="2" t="s">
        <v>141</v>
      </c>
      <c r="D20" s="2" t="s">
        <v>142</v>
      </c>
      <c r="E20" s="2" t="s">
        <v>37</v>
      </c>
      <c r="F20" s="2" t="s">
        <v>38</v>
      </c>
      <c r="G20" s="5">
        <v>3778</v>
      </c>
      <c r="H20" s="5">
        <v>20</v>
      </c>
      <c r="I20" s="5">
        <v>3023</v>
      </c>
      <c r="J20" s="5">
        <v>1</v>
      </c>
      <c r="K20" s="2" t="s">
        <v>32</v>
      </c>
      <c r="L20" s="2" t="s">
        <v>27</v>
      </c>
      <c r="M20" s="4">
        <v>4.5</v>
      </c>
      <c r="N20" s="5">
        <v>73</v>
      </c>
      <c r="O20" s="3">
        <v>45823</v>
      </c>
      <c r="P20" s="2" t="s">
        <v>28</v>
      </c>
      <c r="Q20" s="2" t="s">
        <v>29</v>
      </c>
      <c r="R20" s="2" t="s">
        <v>41</v>
      </c>
      <c r="S20" s="2" t="s">
        <v>42</v>
      </c>
      <c r="T20" s="2" t="s">
        <v>32</v>
      </c>
    </row>
    <row r="21" spans="1:20" ht="12.5" x14ac:dyDescent="0.25">
      <c r="A21" s="2" t="s">
        <v>143</v>
      </c>
      <c r="B21" s="2" t="s">
        <v>144</v>
      </c>
      <c r="C21" s="2" t="s">
        <v>145</v>
      </c>
      <c r="D21" s="2" t="s">
        <v>146</v>
      </c>
      <c r="E21" s="2" t="s">
        <v>147</v>
      </c>
      <c r="F21" s="2" t="s">
        <v>148</v>
      </c>
      <c r="G21" s="5">
        <v>4606</v>
      </c>
      <c r="H21" s="5">
        <v>15</v>
      </c>
      <c r="I21" s="5">
        <v>3916</v>
      </c>
      <c r="J21" s="5">
        <v>1</v>
      </c>
      <c r="K21" s="2">
        <v>42</v>
      </c>
      <c r="L21" s="2" t="s">
        <v>73</v>
      </c>
      <c r="M21" s="4">
        <v>4</v>
      </c>
      <c r="N21" s="5">
        <v>107</v>
      </c>
      <c r="O21" s="3">
        <v>45784</v>
      </c>
      <c r="P21" s="2" t="s">
        <v>57</v>
      </c>
      <c r="Q21" s="2" t="s">
        <v>65</v>
      </c>
      <c r="R21" s="2" t="s">
        <v>149</v>
      </c>
      <c r="S21" s="2" t="s">
        <v>150</v>
      </c>
      <c r="T21" s="2" t="s">
        <v>32</v>
      </c>
    </row>
    <row r="22" spans="1:20" ht="12.5" x14ac:dyDescent="0.25">
      <c r="A22" s="2" t="s">
        <v>151</v>
      </c>
      <c r="B22" s="2" t="s">
        <v>152</v>
      </c>
      <c r="C22" s="2" t="s">
        <v>153</v>
      </c>
      <c r="D22" s="2" t="s">
        <v>154</v>
      </c>
      <c r="E22" s="2" t="s">
        <v>122</v>
      </c>
      <c r="F22" s="2" t="s">
        <v>123</v>
      </c>
      <c r="G22" s="5">
        <v>2002</v>
      </c>
      <c r="H22" s="5">
        <v>15</v>
      </c>
      <c r="I22" s="5">
        <v>1702</v>
      </c>
      <c r="J22" s="5">
        <v>3</v>
      </c>
      <c r="K22" s="2">
        <v>42</v>
      </c>
      <c r="L22" s="2" t="s">
        <v>73</v>
      </c>
      <c r="M22" s="4">
        <v>4.5</v>
      </c>
      <c r="N22" s="5">
        <v>126</v>
      </c>
      <c r="O22" s="3">
        <v>45819</v>
      </c>
      <c r="P22" s="2" t="s">
        <v>57</v>
      </c>
      <c r="Q22" s="2" t="s">
        <v>78</v>
      </c>
      <c r="R22" s="2" t="s">
        <v>110</v>
      </c>
      <c r="S22" s="2" t="s">
        <v>111</v>
      </c>
      <c r="T22" s="2" t="s">
        <v>32</v>
      </c>
    </row>
    <row r="23" spans="1:20" ht="12.5" x14ac:dyDescent="0.25">
      <c r="A23" s="2" t="s">
        <v>155</v>
      </c>
      <c r="B23" s="2" t="s">
        <v>156</v>
      </c>
      <c r="C23" s="2" t="s">
        <v>157</v>
      </c>
      <c r="D23" s="2" t="s">
        <v>158</v>
      </c>
      <c r="E23" s="2" t="s">
        <v>55</v>
      </c>
      <c r="F23" s="2" t="s">
        <v>38</v>
      </c>
      <c r="G23" s="5">
        <v>788</v>
      </c>
      <c r="H23" s="5">
        <v>25</v>
      </c>
      <c r="I23" s="5">
        <v>591</v>
      </c>
      <c r="J23" s="5">
        <v>3</v>
      </c>
      <c r="K23" s="2" t="s">
        <v>56</v>
      </c>
      <c r="L23" s="2" t="s">
        <v>27</v>
      </c>
      <c r="M23" s="4">
        <v>3.5</v>
      </c>
      <c r="N23" s="5">
        <v>289</v>
      </c>
      <c r="O23" s="3">
        <v>45841</v>
      </c>
      <c r="P23" s="2" t="s">
        <v>57</v>
      </c>
      <c r="Q23" s="2" t="s">
        <v>78</v>
      </c>
      <c r="R23" s="2" t="s">
        <v>66</v>
      </c>
      <c r="S23" s="2" t="s">
        <v>67</v>
      </c>
      <c r="T23" s="2" t="s">
        <v>32</v>
      </c>
    </row>
    <row r="24" spans="1:20" ht="12.5" x14ac:dyDescent="0.25">
      <c r="A24" s="2" t="s">
        <v>159</v>
      </c>
      <c r="B24" s="2" t="s">
        <v>160</v>
      </c>
      <c r="C24" s="2" t="s">
        <v>161</v>
      </c>
      <c r="D24" s="2" t="s">
        <v>162</v>
      </c>
      <c r="E24" s="2" t="s">
        <v>55</v>
      </c>
      <c r="F24" s="2" t="s">
        <v>38</v>
      </c>
      <c r="G24" s="5">
        <v>1075</v>
      </c>
      <c r="H24" s="5">
        <v>35</v>
      </c>
      <c r="I24" s="5">
        <v>699</v>
      </c>
      <c r="J24" s="5">
        <v>3</v>
      </c>
      <c r="K24" s="2" t="s">
        <v>163</v>
      </c>
      <c r="L24" s="2" t="s">
        <v>88</v>
      </c>
      <c r="M24" s="4">
        <v>4.3</v>
      </c>
      <c r="N24" s="5">
        <v>187</v>
      </c>
      <c r="O24" s="3">
        <v>45812</v>
      </c>
      <c r="P24" s="2" t="s">
        <v>57</v>
      </c>
      <c r="Q24" s="2" t="s">
        <v>78</v>
      </c>
      <c r="R24" s="2" t="s">
        <v>104</v>
      </c>
      <c r="S24" s="2" t="s">
        <v>105</v>
      </c>
      <c r="T24" s="2" t="s">
        <v>32</v>
      </c>
    </row>
    <row r="25" spans="1:20" ht="12.5" x14ac:dyDescent="0.25">
      <c r="A25" s="2" t="s">
        <v>164</v>
      </c>
      <c r="B25" s="2" t="s">
        <v>165</v>
      </c>
      <c r="C25" s="2" t="s">
        <v>166</v>
      </c>
      <c r="D25" s="2" t="s">
        <v>167</v>
      </c>
      <c r="E25" s="2" t="s">
        <v>132</v>
      </c>
      <c r="F25" s="2" t="s">
        <v>38</v>
      </c>
      <c r="G25" s="5">
        <v>2429</v>
      </c>
      <c r="H25" s="5">
        <v>30</v>
      </c>
      <c r="I25" s="5">
        <v>1701</v>
      </c>
      <c r="J25" s="5">
        <v>3</v>
      </c>
      <c r="K25" s="2">
        <v>40</v>
      </c>
      <c r="L25" s="2" t="s">
        <v>168</v>
      </c>
      <c r="M25" s="4">
        <v>3.7</v>
      </c>
      <c r="N25" s="5">
        <v>112</v>
      </c>
      <c r="O25" s="3">
        <v>45798</v>
      </c>
      <c r="P25" s="2" t="s">
        <v>57</v>
      </c>
      <c r="Q25" s="2" t="s">
        <v>65</v>
      </c>
      <c r="R25" s="2" t="s">
        <v>41</v>
      </c>
      <c r="S25" s="2" t="s">
        <v>42</v>
      </c>
      <c r="T25" s="2" t="s">
        <v>32</v>
      </c>
    </row>
    <row r="26" spans="1:20" ht="12.5" x14ac:dyDescent="0.25">
      <c r="A26" s="2" t="s">
        <v>169</v>
      </c>
      <c r="B26" s="2" t="s">
        <v>170</v>
      </c>
      <c r="C26" s="2" t="s">
        <v>171</v>
      </c>
      <c r="D26" s="2" t="s">
        <v>172</v>
      </c>
      <c r="E26" s="2" t="s">
        <v>116</v>
      </c>
      <c r="F26" s="2" t="s">
        <v>117</v>
      </c>
      <c r="G26" s="5">
        <v>3693</v>
      </c>
      <c r="H26" s="5">
        <v>40</v>
      </c>
      <c r="I26" s="5">
        <v>2216</v>
      </c>
      <c r="J26" s="5">
        <v>1</v>
      </c>
      <c r="K26" s="2" t="s">
        <v>163</v>
      </c>
      <c r="L26" s="2" t="s">
        <v>88</v>
      </c>
      <c r="M26" s="4">
        <v>3.7</v>
      </c>
      <c r="N26" s="5">
        <v>60</v>
      </c>
      <c r="O26" s="3">
        <v>45801</v>
      </c>
      <c r="P26" s="2" t="s">
        <v>40</v>
      </c>
      <c r="Q26" s="2" t="s">
        <v>65</v>
      </c>
      <c r="R26" s="2" t="s">
        <v>58</v>
      </c>
      <c r="S26" s="2" t="s">
        <v>59</v>
      </c>
      <c r="T26" s="2" t="s">
        <v>50</v>
      </c>
    </row>
    <row r="27" spans="1:20" ht="12.5" x14ac:dyDescent="0.25">
      <c r="A27" s="2" t="s">
        <v>173</v>
      </c>
      <c r="B27" s="2" t="s">
        <v>174</v>
      </c>
      <c r="C27" s="2" t="s">
        <v>175</v>
      </c>
      <c r="D27" s="2" t="s">
        <v>176</v>
      </c>
      <c r="E27" s="2" t="s">
        <v>24</v>
      </c>
      <c r="F27" s="2" t="s">
        <v>25</v>
      </c>
      <c r="G27" s="5">
        <v>785</v>
      </c>
      <c r="H27" s="5">
        <v>30</v>
      </c>
      <c r="I27" s="5">
        <v>550</v>
      </c>
      <c r="J27" s="5">
        <v>1</v>
      </c>
      <c r="K27" s="2" t="s">
        <v>72</v>
      </c>
      <c r="L27" s="2" t="s">
        <v>133</v>
      </c>
      <c r="M27" s="4">
        <v>4.9000000000000004</v>
      </c>
      <c r="N27" s="5">
        <v>169</v>
      </c>
      <c r="O27" s="3">
        <v>45856</v>
      </c>
      <c r="P27" s="2" t="s">
        <v>57</v>
      </c>
      <c r="Q27" s="2" t="s">
        <v>78</v>
      </c>
      <c r="R27" s="2" t="s">
        <v>110</v>
      </c>
      <c r="S27" s="2" t="s">
        <v>111</v>
      </c>
      <c r="T27" s="2" t="s">
        <v>32</v>
      </c>
    </row>
    <row r="28" spans="1:20" ht="12.5" x14ac:dyDescent="0.25">
      <c r="A28" s="2" t="s">
        <v>177</v>
      </c>
      <c r="B28" s="2" t="s">
        <v>178</v>
      </c>
      <c r="C28" s="2" t="s">
        <v>179</v>
      </c>
      <c r="D28" s="2" t="s">
        <v>180</v>
      </c>
      <c r="E28" s="2" t="s">
        <v>24</v>
      </c>
      <c r="F28" s="2" t="s">
        <v>25</v>
      </c>
      <c r="G28" s="5">
        <v>1009</v>
      </c>
      <c r="H28" s="5">
        <v>25</v>
      </c>
      <c r="I28" s="5">
        <v>757</v>
      </c>
      <c r="J28" s="5">
        <v>1</v>
      </c>
      <c r="K28" s="2" t="s">
        <v>72</v>
      </c>
      <c r="L28" s="2" t="s">
        <v>88</v>
      </c>
      <c r="M28" s="4">
        <v>4.5</v>
      </c>
      <c r="N28" s="5">
        <v>20</v>
      </c>
      <c r="O28" s="3">
        <v>45844</v>
      </c>
      <c r="P28" s="2" t="s">
        <v>40</v>
      </c>
      <c r="Q28" s="2" t="s">
        <v>78</v>
      </c>
      <c r="R28" s="2" t="s">
        <v>149</v>
      </c>
      <c r="S28" s="2" t="s">
        <v>150</v>
      </c>
      <c r="T28" s="2" t="s">
        <v>134</v>
      </c>
    </row>
    <row r="29" spans="1:20" ht="12.5" x14ac:dyDescent="0.25">
      <c r="A29" s="2" t="s">
        <v>181</v>
      </c>
      <c r="B29" s="2" t="s">
        <v>182</v>
      </c>
      <c r="C29" s="2" t="s">
        <v>183</v>
      </c>
      <c r="D29" s="2" t="s">
        <v>184</v>
      </c>
      <c r="E29" s="2" t="s">
        <v>55</v>
      </c>
      <c r="F29" s="2" t="s">
        <v>38</v>
      </c>
      <c r="G29" s="5">
        <v>3962</v>
      </c>
      <c r="H29" s="5">
        <v>35</v>
      </c>
      <c r="I29" s="5">
        <v>2576</v>
      </c>
      <c r="J29" s="5">
        <v>2</v>
      </c>
      <c r="K29" s="2" t="s">
        <v>32</v>
      </c>
      <c r="L29" s="2" t="s">
        <v>73</v>
      </c>
      <c r="M29" s="4">
        <v>4.7</v>
      </c>
      <c r="N29" s="5">
        <v>165</v>
      </c>
      <c r="O29" s="3">
        <v>45778</v>
      </c>
      <c r="P29" s="2" t="s">
        <v>57</v>
      </c>
      <c r="Q29" s="2" t="s">
        <v>65</v>
      </c>
      <c r="R29" s="2" t="s">
        <v>185</v>
      </c>
      <c r="S29" s="2" t="s">
        <v>186</v>
      </c>
      <c r="T29" s="2" t="s">
        <v>32</v>
      </c>
    </row>
    <row r="30" spans="1:20" ht="12.5" x14ac:dyDescent="0.25">
      <c r="A30" s="2" t="s">
        <v>187</v>
      </c>
      <c r="B30" s="2" t="s">
        <v>188</v>
      </c>
      <c r="C30" s="2" t="s">
        <v>189</v>
      </c>
      <c r="D30" s="2" t="s">
        <v>190</v>
      </c>
      <c r="E30" s="2" t="s">
        <v>48</v>
      </c>
      <c r="F30" s="2" t="s">
        <v>25</v>
      </c>
      <c r="G30" s="5">
        <v>4353</v>
      </c>
      <c r="H30" s="5">
        <v>35</v>
      </c>
      <c r="I30" s="5">
        <v>2830</v>
      </c>
      <c r="J30" s="5">
        <v>3</v>
      </c>
      <c r="K30" s="2" t="s">
        <v>32</v>
      </c>
      <c r="L30" s="2" t="s">
        <v>73</v>
      </c>
      <c r="M30" s="4">
        <v>4.5</v>
      </c>
      <c r="N30" s="5">
        <v>83</v>
      </c>
      <c r="O30" s="3">
        <v>45798</v>
      </c>
      <c r="P30" s="2" t="s">
        <v>57</v>
      </c>
      <c r="Q30" s="2" t="s">
        <v>65</v>
      </c>
      <c r="R30" s="2" t="s">
        <v>89</v>
      </c>
      <c r="S30" s="2" t="s">
        <v>90</v>
      </c>
      <c r="T30" s="2" t="s">
        <v>32</v>
      </c>
    </row>
    <row r="31" spans="1:20" ht="12.5" x14ac:dyDescent="0.25">
      <c r="A31" s="2" t="s">
        <v>191</v>
      </c>
      <c r="B31" s="2" t="s">
        <v>192</v>
      </c>
      <c r="C31" s="2" t="s">
        <v>193</v>
      </c>
      <c r="D31" s="2" t="s">
        <v>194</v>
      </c>
      <c r="E31" s="2" t="s">
        <v>55</v>
      </c>
      <c r="F31" s="2" t="s">
        <v>38</v>
      </c>
      <c r="G31" s="5">
        <v>2953</v>
      </c>
      <c r="H31" s="5">
        <v>25</v>
      </c>
      <c r="I31" s="5">
        <v>2215</v>
      </c>
      <c r="J31" s="5">
        <v>3</v>
      </c>
      <c r="K31" s="2" t="s">
        <v>72</v>
      </c>
      <c r="L31" s="2" t="s">
        <v>88</v>
      </c>
      <c r="M31" s="4">
        <v>3.9</v>
      </c>
      <c r="N31" s="5">
        <v>199</v>
      </c>
      <c r="O31" s="3">
        <v>45843</v>
      </c>
      <c r="P31" s="2" t="s">
        <v>57</v>
      </c>
      <c r="Q31" s="2" t="s">
        <v>65</v>
      </c>
      <c r="R31" s="2" t="s">
        <v>104</v>
      </c>
      <c r="S31" s="2" t="s">
        <v>105</v>
      </c>
      <c r="T31" s="2" t="s">
        <v>32</v>
      </c>
    </row>
    <row r="32" spans="1:20" ht="12.5" x14ac:dyDescent="0.25">
      <c r="A32" s="2" t="s">
        <v>195</v>
      </c>
      <c r="B32" s="2" t="s">
        <v>196</v>
      </c>
      <c r="C32" s="2" t="s">
        <v>197</v>
      </c>
      <c r="D32" s="2" t="s">
        <v>198</v>
      </c>
      <c r="E32" s="2" t="s">
        <v>48</v>
      </c>
      <c r="F32" s="2" t="s">
        <v>25</v>
      </c>
      <c r="G32" s="5">
        <v>2438</v>
      </c>
      <c r="H32" s="5">
        <v>30</v>
      </c>
      <c r="I32" s="5">
        <v>1707</v>
      </c>
      <c r="J32" s="5">
        <v>2</v>
      </c>
      <c r="K32" s="2" t="s">
        <v>163</v>
      </c>
      <c r="L32" s="2" t="s">
        <v>27</v>
      </c>
      <c r="M32" s="4">
        <v>3.8</v>
      </c>
      <c r="N32" s="5">
        <v>56</v>
      </c>
      <c r="O32" s="3">
        <v>45826</v>
      </c>
      <c r="P32" s="2" t="s">
        <v>28</v>
      </c>
      <c r="Q32" s="2" t="s">
        <v>29</v>
      </c>
      <c r="R32" s="2" t="s">
        <v>110</v>
      </c>
      <c r="S32" s="2" t="s">
        <v>111</v>
      </c>
      <c r="T32" s="2" t="s">
        <v>32</v>
      </c>
    </row>
    <row r="33" spans="1:20" ht="12.5" x14ac:dyDescent="0.25">
      <c r="A33" s="2" t="s">
        <v>199</v>
      </c>
      <c r="B33" s="2" t="s">
        <v>200</v>
      </c>
      <c r="C33" s="2" t="s">
        <v>201</v>
      </c>
      <c r="D33" s="2" t="s">
        <v>202</v>
      </c>
      <c r="E33" s="2" t="s">
        <v>24</v>
      </c>
      <c r="F33" s="2" t="s">
        <v>25</v>
      </c>
      <c r="G33" s="5">
        <v>3535</v>
      </c>
      <c r="H33" s="5">
        <v>35</v>
      </c>
      <c r="I33" s="5">
        <v>2298</v>
      </c>
      <c r="J33" s="5">
        <v>1</v>
      </c>
      <c r="K33" s="2">
        <v>42</v>
      </c>
      <c r="L33" s="2" t="s">
        <v>168</v>
      </c>
      <c r="M33" s="4">
        <v>3.8</v>
      </c>
      <c r="N33" s="5">
        <v>298</v>
      </c>
      <c r="O33" s="3">
        <v>45841</v>
      </c>
      <c r="P33" s="2" t="s">
        <v>40</v>
      </c>
      <c r="Q33" s="2" t="s">
        <v>29</v>
      </c>
      <c r="R33" s="2" t="s">
        <v>89</v>
      </c>
      <c r="S33" s="2" t="s">
        <v>90</v>
      </c>
      <c r="T33" s="2" t="s">
        <v>203</v>
      </c>
    </row>
    <row r="34" spans="1:20" ht="12.5" x14ac:dyDescent="0.25">
      <c r="A34" s="2" t="s">
        <v>204</v>
      </c>
      <c r="B34" s="2" t="s">
        <v>205</v>
      </c>
      <c r="C34" s="2" t="s">
        <v>206</v>
      </c>
      <c r="D34" s="2" t="s">
        <v>207</v>
      </c>
      <c r="E34" s="2" t="s">
        <v>208</v>
      </c>
      <c r="F34" s="2" t="s">
        <v>117</v>
      </c>
      <c r="G34" s="5">
        <v>632</v>
      </c>
      <c r="H34" s="5">
        <v>30</v>
      </c>
      <c r="I34" s="5">
        <v>443</v>
      </c>
      <c r="J34" s="5">
        <v>1</v>
      </c>
      <c r="K34" s="2">
        <v>40</v>
      </c>
      <c r="L34" s="2" t="s">
        <v>209</v>
      </c>
      <c r="M34" s="4">
        <v>4.0999999999999996</v>
      </c>
      <c r="N34" s="5">
        <v>70</v>
      </c>
      <c r="O34" s="3">
        <v>45834</v>
      </c>
      <c r="P34" s="2" t="s">
        <v>28</v>
      </c>
      <c r="Q34" s="2" t="s">
        <v>78</v>
      </c>
      <c r="R34" s="2" t="s">
        <v>110</v>
      </c>
      <c r="S34" s="2" t="s">
        <v>111</v>
      </c>
      <c r="T34" s="2" t="s">
        <v>32</v>
      </c>
    </row>
    <row r="35" spans="1:20" ht="12.5" x14ac:dyDescent="0.25">
      <c r="A35" s="2" t="s">
        <v>210</v>
      </c>
      <c r="B35" s="2" t="s">
        <v>211</v>
      </c>
      <c r="C35" s="2" t="s">
        <v>212</v>
      </c>
      <c r="D35" s="2" t="s">
        <v>213</v>
      </c>
      <c r="E35" s="2" t="s">
        <v>48</v>
      </c>
      <c r="F35" s="2" t="s">
        <v>25</v>
      </c>
      <c r="G35" s="5">
        <v>3134</v>
      </c>
      <c r="H35" s="5">
        <v>15</v>
      </c>
      <c r="I35" s="5">
        <v>2664</v>
      </c>
      <c r="J35" s="5">
        <v>2</v>
      </c>
      <c r="K35" s="2" t="s">
        <v>72</v>
      </c>
      <c r="L35" s="2" t="s">
        <v>27</v>
      </c>
      <c r="M35" s="4">
        <v>4.0999999999999996</v>
      </c>
      <c r="N35" s="5">
        <v>173</v>
      </c>
      <c r="O35" s="3">
        <v>45770</v>
      </c>
      <c r="P35" s="2" t="s">
        <v>40</v>
      </c>
      <c r="Q35" s="2" t="s">
        <v>78</v>
      </c>
      <c r="R35" s="2" t="s">
        <v>110</v>
      </c>
      <c r="S35" s="2" t="s">
        <v>111</v>
      </c>
      <c r="T35" s="2" t="s">
        <v>203</v>
      </c>
    </row>
    <row r="36" spans="1:20" ht="12.5" x14ac:dyDescent="0.25">
      <c r="A36" s="2" t="s">
        <v>214</v>
      </c>
      <c r="B36" s="2" t="s">
        <v>215</v>
      </c>
      <c r="C36" s="2" t="s">
        <v>216</v>
      </c>
      <c r="D36" s="2" t="s">
        <v>217</v>
      </c>
      <c r="E36" s="2" t="s">
        <v>147</v>
      </c>
      <c r="F36" s="2" t="s">
        <v>148</v>
      </c>
      <c r="G36" s="5">
        <v>874</v>
      </c>
      <c r="H36" s="5">
        <v>30</v>
      </c>
      <c r="I36" s="5">
        <v>612</v>
      </c>
      <c r="J36" s="5">
        <v>3</v>
      </c>
      <c r="K36" s="2" t="s">
        <v>26</v>
      </c>
      <c r="L36" s="2" t="s">
        <v>103</v>
      </c>
      <c r="M36" s="4">
        <v>4</v>
      </c>
      <c r="N36" s="5">
        <v>269</v>
      </c>
      <c r="O36" s="3">
        <v>45822</v>
      </c>
      <c r="P36" s="2" t="s">
        <v>40</v>
      </c>
      <c r="Q36" s="2" t="s">
        <v>29</v>
      </c>
      <c r="R36" s="2" t="s">
        <v>185</v>
      </c>
      <c r="S36" s="2" t="s">
        <v>186</v>
      </c>
      <c r="T36" s="2" t="s">
        <v>134</v>
      </c>
    </row>
    <row r="37" spans="1:20" ht="12.5" x14ac:dyDescent="0.25">
      <c r="A37" s="2" t="s">
        <v>218</v>
      </c>
      <c r="B37" s="2" t="s">
        <v>219</v>
      </c>
      <c r="C37" s="2" t="s">
        <v>220</v>
      </c>
      <c r="D37" s="2" t="s">
        <v>221</v>
      </c>
      <c r="E37" s="2" t="s">
        <v>37</v>
      </c>
      <c r="F37" s="2" t="s">
        <v>38</v>
      </c>
      <c r="G37" s="5">
        <v>4940</v>
      </c>
      <c r="H37" s="5">
        <v>25</v>
      </c>
      <c r="I37" s="5">
        <v>3705</v>
      </c>
      <c r="J37" s="5">
        <v>1</v>
      </c>
      <c r="K37" s="2" t="s">
        <v>72</v>
      </c>
      <c r="L37" s="2" t="s">
        <v>49</v>
      </c>
      <c r="M37" s="4">
        <v>3.6</v>
      </c>
      <c r="N37" s="5">
        <v>215</v>
      </c>
      <c r="O37" s="3">
        <v>45852</v>
      </c>
      <c r="P37" s="2" t="s">
        <v>28</v>
      </c>
      <c r="Q37" s="2" t="s">
        <v>78</v>
      </c>
      <c r="R37" s="2" t="s">
        <v>83</v>
      </c>
      <c r="S37" s="2" t="s">
        <v>83</v>
      </c>
      <c r="T37" s="2" t="s">
        <v>32</v>
      </c>
    </row>
    <row r="38" spans="1:20" ht="12.5" x14ac:dyDescent="0.25">
      <c r="A38" s="2" t="s">
        <v>222</v>
      </c>
      <c r="B38" s="2" t="s">
        <v>223</v>
      </c>
      <c r="C38" s="2" t="s">
        <v>224</v>
      </c>
      <c r="D38" s="2" t="s">
        <v>225</v>
      </c>
      <c r="E38" s="2" t="s">
        <v>37</v>
      </c>
      <c r="F38" s="2" t="s">
        <v>38</v>
      </c>
      <c r="G38" s="5">
        <v>708</v>
      </c>
      <c r="H38" s="5">
        <v>35</v>
      </c>
      <c r="I38" s="5">
        <v>461</v>
      </c>
      <c r="J38" s="5">
        <v>2</v>
      </c>
      <c r="K38" s="2" t="s">
        <v>226</v>
      </c>
      <c r="L38" s="2" t="s">
        <v>133</v>
      </c>
      <c r="M38" s="4">
        <v>5</v>
      </c>
      <c r="N38" s="5">
        <v>11</v>
      </c>
      <c r="O38" s="3">
        <v>45842</v>
      </c>
      <c r="P38" s="2" t="s">
        <v>40</v>
      </c>
      <c r="Q38" s="2" t="s">
        <v>78</v>
      </c>
      <c r="R38" s="2" t="s">
        <v>41</v>
      </c>
      <c r="S38" s="2" t="s">
        <v>42</v>
      </c>
      <c r="T38" s="2" t="s">
        <v>50</v>
      </c>
    </row>
    <row r="39" spans="1:20" ht="12.5" x14ac:dyDescent="0.25">
      <c r="A39" s="2" t="s">
        <v>227</v>
      </c>
      <c r="B39" s="2" t="s">
        <v>228</v>
      </c>
      <c r="C39" s="2" t="s">
        <v>229</v>
      </c>
      <c r="D39" s="2" t="s">
        <v>230</v>
      </c>
      <c r="E39" s="2" t="s">
        <v>116</v>
      </c>
      <c r="F39" s="2" t="s">
        <v>117</v>
      </c>
      <c r="G39" s="5">
        <v>1162</v>
      </c>
      <c r="H39" s="5">
        <v>10</v>
      </c>
      <c r="I39" s="5">
        <v>1046</v>
      </c>
      <c r="J39" s="5">
        <v>2</v>
      </c>
      <c r="K39" s="2" t="s">
        <v>56</v>
      </c>
      <c r="L39" s="2" t="s">
        <v>64</v>
      </c>
      <c r="M39" s="4">
        <v>4.5</v>
      </c>
      <c r="N39" s="5">
        <v>180</v>
      </c>
      <c r="O39" s="3">
        <v>45835</v>
      </c>
      <c r="P39" s="2" t="s">
        <v>57</v>
      </c>
      <c r="Q39" s="2" t="s">
        <v>65</v>
      </c>
      <c r="R39" s="2" t="s">
        <v>185</v>
      </c>
      <c r="S39" s="2" t="s">
        <v>186</v>
      </c>
      <c r="T39" s="2" t="s">
        <v>32</v>
      </c>
    </row>
    <row r="40" spans="1:20" ht="12.5" x14ac:dyDescent="0.25">
      <c r="A40" s="2" t="s">
        <v>231</v>
      </c>
      <c r="B40" s="2" t="s">
        <v>232</v>
      </c>
      <c r="C40" s="2" t="s">
        <v>233</v>
      </c>
      <c r="D40" s="2" t="s">
        <v>234</v>
      </c>
      <c r="E40" s="2" t="s">
        <v>48</v>
      </c>
      <c r="F40" s="2" t="s">
        <v>25</v>
      </c>
      <c r="G40" s="5">
        <v>2342</v>
      </c>
      <c r="H40" s="5">
        <v>25</v>
      </c>
      <c r="I40" s="5">
        <v>1757</v>
      </c>
      <c r="J40" s="5">
        <v>3</v>
      </c>
      <c r="K40" s="2" t="s">
        <v>32</v>
      </c>
      <c r="L40" s="2" t="s">
        <v>209</v>
      </c>
      <c r="M40" s="4">
        <v>3.8</v>
      </c>
      <c r="N40" s="5">
        <v>265</v>
      </c>
      <c r="O40" s="3">
        <v>45783</v>
      </c>
      <c r="P40" s="2" t="s">
        <v>57</v>
      </c>
      <c r="Q40" s="2" t="s">
        <v>29</v>
      </c>
      <c r="R40" s="2" t="s">
        <v>149</v>
      </c>
      <c r="S40" s="2" t="s">
        <v>150</v>
      </c>
      <c r="T40" s="2" t="s">
        <v>32</v>
      </c>
    </row>
    <row r="41" spans="1:20" ht="12.5" x14ac:dyDescent="0.25">
      <c r="A41" s="2" t="s">
        <v>235</v>
      </c>
      <c r="B41" s="2" t="s">
        <v>236</v>
      </c>
      <c r="C41" s="2" t="s">
        <v>237</v>
      </c>
      <c r="D41" s="2" t="s">
        <v>238</v>
      </c>
      <c r="E41" s="2" t="s">
        <v>24</v>
      </c>
      <c r="F41" s="2" t="s">
        <v>25</v>
      </c>
      <c r="G41" s="5">
        <v>2830</v>
      </c>
      <c r="H41" s="5">
        <v>20</v>
      </c>
      <c r="I41" s="5">
        <v>2264</v>
      </c>
      <c r="J41" s="5">
        <v>1</v>
      </c>
      <c r="K41" s="2">
        <v>42</v>
      </c>
      <c r="L41" s="2" t="s">
        <v>103</v>
      </c>
      <c r="M41" s="4">
        <v>4</v>
      </c>
      <c r="N41" s="5">
        <v>254</v>
      </c>
      <c r="O41" s="3">
        <v>45858</v>
      </c>
      <c r="P41" s="2" t="s">
        <v>28</v>
      </c>
      <c r="Q41" s="2" t="s">
        <v>78</v>
      </c>
      <c r="R41" s="2" t="s">
        <v>149</v>
      </c>
      <c r="S41" s="2" t="s">
        <v>150</v>
      </c>
      <c r="T41" s="2" t="s">
        <v>32</v>
      </c>
    </row>
    <row r="42" spans="1:20" ht="12.5" x14ac:dyDescent="0.25">
      <c r="A42" s="2" t="s">
        <v>239</v>
      </c>
      <c r="B42" s="2" t="s">
        <v>240</v>
      </c>
      <c r="C42" s="2" t="s">
        <v>241</v>
      </c>
      <c r="D42" s="2" t="s">
        <v>242</v>
      </c>
      <c r="E42" s="2" t="s">
        <v>208</v>
      </c>
      <c r="F42" s="2" t="s">
        <v>117</v>
      </c>
      <c r="G42" s="5">
        <v>4422</v>
      </c>
      <c r="H42" s="5">
        <v>30</v>
      </c>
      <c r="I42" s="5">
        <v>3096</v>
      </c>
      <c r="J42" s="5">
        <v>2</v>
      </c>
      <c r="K42" s="2" t="s">
        <v>26</v>
      </c>
      <c r="L42" s="2" t="s">
        <v>88</v>
      </c>
      <c r="M42" s="4">
        <v>4.8</v>
      </c>
      <c r="N42" s="5">
        <v>39</v>
      </c>
      <c r="O42" s="3">
        <v>45853</v>
      </c>
      <c r="P42" s="2" t="s">
        <v>40</v>
      </c>
      <c r="Q42" s="2" t="s">
        <v>65</v>
      </c>
      <c r="R42" s="2" t="s">
        <v>41</v>
      </c>
      <c r="S42" s="2" t="s">
        <v>42</v>
      </c>
      <c r="T42" s="2" t="s">
        <v>203</v>
      </c>
    </row>
    <row r="43" spans="1:20" ht="12.5" x14ac:dyDescent="0.25">
      <c r="A43" s="2" t="s">
        <v>243</v>
      </c>
      <c r="B43" s="2" t="s">
        <v>244</v>
      </c>
      <c r="C43" s="2" t="s">
        <v>245</v>
      </c>
      <c r="D43" s="2" t="s">
        <v>246</v>
      </c>
      <c r="E43" s="2" t="s">
        <v>247</v>
      </c>
      <c r="F43" s="2" t="s">
        <v>248</v>
      </c>
      <c r="G43" s="5">
        <v>1508</v>
      </c>
      <c r="H43" s="5">
        <v>40</v>
      </c>
      <c r="I43" s="5">
        <v>905</v>
      </c>
      <c r="J43" s="5">
        <v>1</v>
      </c>
      <c r="K43" s="2" t="s">
        <v>56</v>
      </c>
      <c r="L43" s="2" t="s">
        <v>27</v>
      </c>
      <c r="M43" s="4">
        <v>4.9000000000000004</v>
      </c>
      <c r="N43" s="5">
        <v>192</v>
      </c>
      <c r="O43" s="3">
        <v>45847</v>
      </c>
      <c r="P43" s="2" t="s">
        <v>57</v>
      </c>
      <c r="Q43" s="2" t="s">
        <v>78</v>
      </c>
      <c r="R43" s="2" t="s">
        <v>104</v>
      </c>
      <c r="S43" s="2" t="s">
        <v>105</v>
      </c>
      <c r="T43" s="2" t="s">
        <v>32</v>
      </c>
    </row>
    <row r="44" spans="1:20" ht="12.5" x14ac:dyDescent="0.25">
      <c r="A44" s="2" t="s">
        <v>249</v>
      </c>
      <c r="B44" s="2" t="s">
        <v>250</v>
      </c>
      <c r="C44" s="2" t="s">
        <v>251</v>
      </c>
      <c r="D44" s="2" t="s">
        <v>252</v>
      </c>
      <c r="E44" s="2" t="s">
        <v>132</v>
      </c>
      <c r="F44" s="2" t="s">
        <v>38</v>
      </c>
      <c r="G44" s="5">
        <v>3065</v>
      </c>
      <c r="H44" s="5">
        <v>30</v>
      </c>
      <c r="I44" s="5">
        <v>2146</v>
      </c>
      <c r="J44" s="5">
        <v>3</v>
      </c>
      <c r="K44" s="2">
        <v>44</v>
      </c>
      <c r="L44" s="2" t="s">
        <v>49</v>
      </c>
      <c r="M44" s="4">
        <v>4.4000000000000004</v>
      </c>
      <c r="N44" s="5">
        <v>196</v>
      </c>
      <c r="O44" s="3">
        <v>45843</v>
      </c>
      <c r="P44" s="2" t="s">
        <v>28</v>
      </c>
      <c r="Q44" s="2" t="s">
        <v>65</v>
      </c>
      <c r="R44" s="2" t="s">
        <v>185</v>
      </c>
      <c r="S44" s="2" t="s">
        <v>186</v>
      </c>
      <c r="T44" s="2" t="s">
        <v>32</v>
      </c>
    </row>
    <row r="45" spans="1:20" ht="12.5" x14ac:dyDescent="0.25">
      <c r="A45" s="2" t="s">
        <v>253</v>
      </c>
      <c r="B45" s="2" t="s">
        <v>254</v>
      </c>
      <c r="C45" s="2" t="s">
        <v>255</v>
      </c>
      <c r="D45" s="2" t="s">
        <v>256</v>
      </c>
      <c r="E45" s="2" t="s">
        <v>55</v>
      </c>
      <c r="F45" s="2" t="s">
        <v>38</v>
      </c>
      <c r="G45" s="5">
        <v>3272</v>
      </c>
      <c r="H45" s="5">
        <v>30</v>
      </c>
      <c r="I45" s="5">
        <v>2291</v>
      </c>
      <c r="J45" s="5">
        <v>2</v>
      </c>
      <c r="K45" s="2" t="s">
        <v>26</v>
      </c>
      <c r="L45" s="2" t="s">
        <v>39</v>
      </c>
      <c r="M45" s="4">
        <v>4.4000000000000004</v>
      </c>
      <c r="N45" s="5">
        <v>72</v>
      </c>
      <c r="O45" s="3">
        <v>45772</v>
      </c>
      <c r="P45" s="2" t="s">
        <v>28</v>
      </c>
      <c r="Q45" s="2" t="s">
        <v>78</v>
      </c>
      <c r="R45" s="2" t="s">
        <v>89</v>
      </c>
      <c r="S45" s="2" t="s">
        <v>90</v>
      </c>
      <c r="T45" s="2" t="s">
        <v>32</v>
      </c>
    </row>
    <row r="46" spans="1:20" ht="12.5" x14ac:dyDescent="0.25">
      <c r="A46" s="2" t="s">
        <v>257</v>
      </c>
      <c r="B46" s="2" t="s">
        <v>258</v>
      </c>
      <c r="C46" s="2" t="s">
        <v>259</v>
      </c>
      <c r="D46" s="2" t="s">
        <v>260</v>
      </c>
      <c r="E46" s="2" t="s">
        <v>24</v>
      </c>
      <c r="F46" s="2" t="s">
        <v>25</v>
      </c>
      <c r="G46" s="5">
        <v>1580</v>
      </c>
      <c r="H46" s="5">
        <v>35</v>
      </c>
      <c r="I46" s="5">
        <v>1027</v>
      </c>
      <c r="J46" s="5">
        <v>2</v>
      </c>
      <c r="K46" s="2" t="s">
        <v>261</v>
      </c>
      <c r="L46" s="2" t="s">
        <v>88</v>
      </c>
      <c r="M46" s="4">
        <v>3.9</v>
      </c>
      <c r="N46" s="5">
        <v>36</v>
      </c>
      <c r="O46" s="3">
        <v>45779</v>
      </c>
      <c r="P46" s="2" t="s">
        <v>40</v>
      </c>
      <c r="Q46" s="2" t="s">
        <v>29</v>
      </c>
      <c r="R46" s="2" t="s">
        <v>83</v>
      </c>
      <c r="S46" s="2" t="s">
        <v>83</v>
      </c>
      <c r="T46" s="2" t="s">
        <v>32</v>
      </c>
    </row>
    <row r="47" spans="1:20" ht="12.5" x14ac:dyDescent="0.25">
      <c r="A47" s="2" t="s">
        <v>262</v>
      </c>
      <c r="B47" s="2" t="s">
        <v>263</v>
      </c>
      <c r="C47" s="2" t="s">
        <v>264</v>
      </c>
      <c r="D47" s="2" t="s">
        <v>265</v>
      </c>
      <c r="E47" s="2" t="s">
        <v>132</v>
      </c>
      <c r="F47" s="2" t="s">
        <v>38</v>
      </c>
      <c r="G47" s="5">
        <v>1257</v>
      </c>
      <c r="H47" s="5">
        <v>25</v>
      </c>
      <c r="I47" s="5">
        <v>943</v>
      </c>
      <c r="J47" s="5">
        <v>3</v>
      </c>
      <c r="K47" s="2" t="s">
        <v>163</v>
      </c>
      <c r="L47" s="2" t="s">
        <v>209</v>
      </c>
      <c r="M47" s="4">
        <v>3.9</v>
      </c>
      <c r="N47" s="5">
        <v>165</v>
      </c>
      <c r="O47" s="3">
        <v>45842</v>
      </c>
      <c r="P47" s="2" t="s">
        <v>28</v>
      </c>
      <c r="Q47" s="2" t="s">
        <v>65</v>
      </c>
      <c r="R47" s="2" t="s">
        <v>89</v>
      </c>
      <c r="S47" s="2" t="s">
        <v>90</v>
      </c>
      <c r="T47" s="2" t="s">
        <v>32</v>
      </c>
    </row>
    <row r="48" spans="1:20" ht="12.5" x14ac:dyDescent="0.25">
      <c r="A48" s="2" t="s">
        <v>266</v>
      </c>
      <c r="B48" s="2" t="s">
        <v>267</v>
      </c>
      <c r="C48" s="2" t="s">
        <v>268</v>
      </c>
      <c r="D48" s="2" t="s">
        <v>269</v>
      </c>
      <c r="E48" s="2" t="s">
        <v>247</v>
      </c>
      <c r="F48" s="2" t="s">
        <v>248</v>
      </c>
      <c r="G48" s="5">
        <v>2005</v>
      </c>
      <c r="H48" s="5">
        <v>10</v>
      </c>
      <c r="I48" s="5">
        <v>1805</v>
      </c>
      <c r="J48" s="5">
        <v>1</v>
      </c>
      <c r="K48" s="2" t="s">
        <v>163</v>
      </c>
      <c r="L48" s="2" t="s">
        <v>103</v>
      </c>
      <c r="M48" s="4">
        <v>4.9000000000000004</v>
      </c>
      <c r="N48" s="5">
        <v>22</v>
      </c>
      <c r="O48" s="3">
        <v>45770</v>
      </c>
      <c r="P48" s="2" t="s">
        <v>57</v>
      </c>
      <c r="Q48" s="2" t="s">
        <v>78</v>
      </c>
      <c r="R48" s="2" t="s">
        <v>104</v>
      </c>
      <c r="S48" s="2" t="s">
        <v>105</v>
      </c>
      <c r="T48" s="2" t="s">
        <v>32</v>
      </c>
    </row>
    <row r="49" spans="1:20" ht="12.5" x14ac:dyDescent="0.25">
      <c r="A49" s="2" t="s">
        <v>270</v>
      </c>
      <c r="B49" s="2" t="s">
        <v>271</v>
      </c>
      <c r="C49" s="2" t="s">
        <v>272</v>
      </c>
      <c r="D49" s="2" t="s">
        <v>273</v>
      </c>
      <c r="E49" s="2" t="s">
        <v>48</v>
      </c>
      <c r="F49" s="2" t="s">
        <v>25</v>
      </c>
      <c r="G49" s="5">
        <v>3202</v>
      </c>
      <c r="H49" s="5">
        <v>25</v>
      </c>
      <c r="I49" s="5">
        <v>2402</v>
      </c>
      <c r="J49" s="5">
        <v>3</v>
      </c>
      <c r="K49" s="2">
        <v>44</v>
      </c>
      <c r="L49" s="2" t="s">
        <v>88</v>
      </c>
      <c r="M49" s="4">
        <v>4.3</v>
      </c>
      <c r="N49" s="5">
        <v>104</v>
      </c>
      <c r="O49" s="3">
        <v>45807</v>
      </c>
      <c r="P49" s="2" t="s">
        <v>40</v>
      </c>
      <c r="Q49" s="2" t="s">
        <v>78</v>
      </c>
      <c r="R49" s="2" t="s">
        <v>83</v>
      </c>
      <c r="S49" s="2" t="s">
        <v>83</v>
      </c>
      <c r="T49" s="2" t="s">
        <v>32</v>
      </c>
    </row>
    <row r="50" spans="1:20" ht="12.5" x14ac:dyDescent="0.25">
      <c r="A50" s="2" t="s">
        <v>274</v>
      </c>
      <c r="B50" s="2" t="s">
        <v>275</v>
      </c>
      <c r="C50" s="2" t="s">
        <v>276</v>
      </c>
      <c r="D50" s="2" t="s">
        <v>277</v>
      </c>
      <c r="E50" s="2" t="s">
        <v>24</v>
      </c>
      <c r="F50" s="2" t="s">
        <v>25</v>
      </c>
      <c r="G50" s="5">
        <v>3086</v>
      </c>
      <c r="H50" s="5">
        <v>40</v>
      </c>
      <c r="I50" s="5">
        <v>1852</v>
      </c>
      <c r="J50" s="5">
        <v>3</v>
      </c>
      <c r="K50" s="2">
        <v>44</v>
      </c>
      <c r="L50" s="2" t="s">
        <v>27</v>
      </c>
      <c r="M50" s="4">
        <v>3.6</v>
      </c>
      <c r="N50" s="5">
        <v>162</v>
      </c>
      <c r="O50" s="3">
        <v>45849</v>
      </c>
      <c r="P50" s="2" t="s">
        <v>28</v>
      </c>
      <c r="Q50" s="2" t="s">
        <v>65</v>
      </c>
      <c r="R50" s="2" t="s">
        <v>185</v>
      </c>
      <c r="S50" s="2" t="s">
        <v>186</v>
      </c>
      <c r="T50" s="2" t="s">
        <v>32</v>
      </c>
    </row>
    <row r="51" spans="1:20" ht="12.5" x14ac:dyDescent="0.25">
      <c r="A51" s="2" t="s">
        <v>278</v>
      </c>
      <c r="B51" s="2" t="s">
        <v>279</v>
      </c>
      <c r="C51" s="2" t="s">
        <v>280</v>
      </c>
      <c r="D51" s="2" t="s">
        <v>281</v>
      </c>
      <c r="E51" s="2" t="s">
        <v>247</v>
      </c>
      <c r="F51" s="2" t="s">
        <v>248</v>
      </c>
      <c r="G51" s="5">
        <v>827</v>
      </c>
      <c r="H51" s="5">
        <v>10</v>
      </c>
      <c r="I51" s="5">
        <v>745</v>
      </c>
      <c r="J51" s="5">
        <v>1</v>
      </c>
      <c r="K51" s="2" t="s">
        <v>163</v>
      </c>
      <c r="L51" s="2" t="s">
        <v>209</v>
      </c>
      <c r="M51" s="4">
        <v>4.9000000000000004</v>
      </c>
      <c r="N51" s="5">
        <v>23</v>
      </c>
      <c r="O51" s="3">
        <v>45831</v>
      </c>
      <c r="P51" s="2" t="s">
        <v>28</v>
      </c>
      <c r="Q51" s="2" t="s">
        <v>65</v>
      </c>
      <c r="R51" s="2" t="s">
        <v>41</v>
      </c>
      <c r="S51" s="2" t="s">
        <v>42</v>
      </c>
      <c r="T51" s="2" t="s">
        <v>32</v>
      </c>
    </row>
    <row r="52" spans="1:20" ht="12.5" x14ac:dyDescent="0.25">
      <c r="A52" s="2" t="s">
        <v>282</v>
      </c>
      <c r="B52" s="2" t="s">
        <v>283</v>
      </c>
      <c r="C52" s="2" t="s">
        <v>284</v>
      </c>
      <c r="D52" s="2" t="s">
        <v>285</v>
      </c>
      <c r="E52" s="2" t="s">
        <v>147</v>
      </c>
      <c r="F52" s="2" t="s">
        <v>148</v>
      </c>
      <c r="G52" s="5">
        <v>4317</v>
      </c>
      <c r="H52" s="5">
        <v>15</v>
      </c>
      <c r="I52" s="5">
        <v>3670</v>
      </c>
      <c r="J52" s="5">
        <v>3</v>
      </c>
      <c r="K52" s="2" t="s">
        <v>26</v>
      </c>
      <c r="L52" s="2" t="s">
        <v>103</v>
      </c>
      <c r="M52" s="4">
        <v>4.3</v>
      </c>
      <c r="N52" s="5">
        <v>220</v>
      </c>
      <c r="O52" s="3">
        <v>45802</v>
      </c>
      <c r="P52" s="2" t="s">
        <v>40</v>
      </c>
      <c r="Q52" s="2" t="s">
        <v>65</v>
      </c>
      <c r="R52" s="2" t="s">
        <v>104</v>
      </c>
      <c r="S52" s="2" t="s">
        <v>105</v>
      </c>
      <c r="T52" s="2" t="s">
        <v>43</v>
      </c>
    </row>
    <row r="53" spans="1:20" ht="12.5" x14ac:dyDescent="0.25">
      <c r="A53" s="2" t="s">
        <v>286</v>
      </c>
      <c r="B53" s="2" t="s">
        <v>287</v>
      </c>
      <c r="C53" s="2" t="s">
        <v>288</v>
      </c>
      <c r="D53" s="2" t="s">
        <v>289</v>
      </c>
      <c r="E53" s="2" t="s">
        <v>55</v>
      </c>
      <c r="F53" s="2" t="s">
        <v>38</v>
      </c>
      <c r="G53" s="5">
        <v>2064</v>
      </c>
      <c r="H53" s="5">
        <v>40</v>
      </c>
      <c r="I53" s="5">
        <v>1239</v>
      </c>
      <c r="J53" s="5">
        <v>1</v>
      </c>
      <c r="K53" s="2">
        <v>44</v>
      </c>
      <c r="L53" s="2" t="s">
        <v>73</v>
      </c>
      <c r="M53" s="4">
        <v>4.9000000000000004</v>
      </c>
      <c r="N53" s="5">
        <v>61</v>
      </c>
      <c r="O53" s="3">
        <v>45838</v>
      </c>
      <c r="P53" s="2" t="s">
        <v>28</v>
      </c>
      <c r="Q53" s="2" t="s">
        <v>78</v>
      </c>
      <c r="R53" s="2" t="s">
        <v>83</v>
      </c>
      <c r="S53" s="2" t="s">
        <v>83</v>
      </c>
      <c r="T53" s="2" t="s">
        <v>32</v>
      </c>
    </row>
    <row r="54" spans="1:20" ht="12.5" x14ac:dyDescent="0.25">
      <c r="A54" s="2" t="s">
        <v>290</v>
      </c>
      <c r="B54" s="2" t="s">
        <v>291</v>
      </c>
      <c r="C54" s="2" t="s">
        <v>292</v>
      </c>
      <c r="D54" s="2" t="s">
        <v>293</v>
      </c>
      <c r="E54" s="2" t="s">
        <v>247</v>
      </c>
      <c r="F54" s="2" t="s">
        <v>248</v>
      </c>
      <c r="G54" s="5">
        <v>1715</v>
      </c>
      <c r="H54" s="5">
        <v>25</v>
      </c>
      <c r="I54" s="5">
        <v>1287</v>
      </c>
      <c r="J54" s="5">
        <v>3</v>
      </c>
      <c r="K54" s="2">
        <v>42</v>
      </c>
      <c r="L54" s="2" t="s">
        <v>27</v>
      </c>
      <c r="M54" s="4">
        <v>5</v>
      </c>
      <c r="N54" s="5">
        <v>55</v>
      </c>
      <c r="O54" s="3">
        <v>45848</v>
      </c>
      <c r="P54" s="2" t="s">
        <v>57</v>
      </c>
      <c r="Q54" s="2" t="s">
        <v>29</v>
      </c>
      <c r="R54" s="2" t="s">
        <v>185</v>
      </c>
      <c r="S54" s="2" t="s">
        <v>186</v>
      </c>
      <c r="T54" s="2" t="s">
        <v>32</v>
      </c>
    </row>
    <row r="55" spans="1:20" ht="12.5" x14ac:dyDescent="0.25">
      <c r="A55" s="2" t="s">
        <v>294</v>
      </c>
      <c r="B55" s="2" t="s">
        <v>295</v>
      </c>
      <c r="C55" s="2" t="s">
        <v>296</v>
      </c>
      <c r="D55" s="2" t="s">
        <v>297</v>
      </c>
      <c r="E55" s="2" t="s">
        <v>147</v>
      </c>
      <c r="F55" s="2" t="s">
        <v>148</v>
      </c>
      <c r="G55" s="5">
        <v>4414</v>
      </c>
      <c r="H55" s="5">
        <v>35</v>
      </c>
      <c r="I55" s="5">
        <v>2870</v>
      </c>
      <c r="J55" s="5">
        <v>2</v>
      </c>
      <c r="K55" s="2">
        <v>40</v>
      </c>
      <c r="L55" s="2" t="s">
        <v>168</v>
      </c>
      <c r="M55" s="4">
        <v>4.3</v>
      </c>
      <c r="N55" s="5">
        <v>15</v>
      </c>
      <c r="O55" s="3">
        <v>45829</v>
      </c>
      <c r="P55" s="2" t="s">
        <v>40</v>
      </c>
      <c r="Q55" s="2" t="s">
        <v>29</v>
      </c>
      <c r="R55" s="2" t="s">
        <v>89</v>
      </c>
      <c r="S55" s="2" t="s">
        <v>90</v>
      </c>
      <c r="T55" s="2" t="s">
        <v>43</v>
      </c>
    </row>
    <row r="56" spans="1:20" ht="12.5" x14ac:dyDescent="0.25">
      <c r="A56" s="2" t="s">
        <v>298</v>
      </c>
      <c r="B56" s="2" t="s">
        <v>299</v>
      </c>
      <c r="C56" s="2" t="s">
        <v>300</v>
      </c>
      <c r="D56" s="2" t="s">
        <v>301</v>
      </c>
      <c r="E56" s="2" t="s">
        <v>48</v>
      </c>
      <c r="F56" s="2" t="s">
        <v>25</v>
      </c>
      <c r="G56" s="5">
        <v>1566</v>
      </c>
      <c r="H56" s="5">
        <v>25</v>
      </c>
      <c r="I56" s="5">
        <v>1175</v>
      </c>
      <c r="J56" s="5">
        <v>1</v>
      </c>
      <c r="K56" s="2" t="s">
        <v>56</v>
      </c>
      <c r="L56" s="2" t="s">
        <v>168</v>
      </c>
      <c r="M56" s="4">
        <v>4.9000000000000004</v>
      </c>
      <c r="N56" s="5">
        <v>220</v>
      </c>
      <c r="O56" s="3">
        <v>45801</v>
      </c>
      <c r="P56" s="2" t="s">
        <v>57</v>
      </c>
      <c r="Q56" s="2" t="s">
        <v>29</v>
      </c>
      <c r="R56" s="2" t="s">
        <v>41</v>
      </c>
      <c r="S56" s="2" t="s">
        <v>42</v>
      </c>
      <c r="T56" s="2" t="s">
        <v>32</v>
      </c>
    </row>
    <row r="57" spans="1:20" ht="12.5" x14ac:dyDescent="0.25">
      <c r="A57" s="2" t="s">
        <v>302</v>
      </c>
      <c r="B57" s="2" t="s">
        <v>303</v>
      </c>
      <c r="C57" s="2" t="s">
        <v>304</v>
      </c>
      <c r="D57" s="2" t="s">
        <v>305</v>
      </c>
      <c r="E57" s="2" t="s">
        <v>132</v>
      </c>
      <c r="F57" s="2" t="s">
        <v>38</v>
      </c>
      <c r="G57" s="5">
        <v>3647</v>
      </c>
      <c r="H57" s="5">
        <v>30</v>
      </c>
      <c r="I57" s="5">
        <v>2553</v>
      </c>
      <c r="J57" s="5">
        <v>2</v>
      </c>
      <c r="K57" s="2" t="s">
        <v>163</v>
      </c>
      <c r="L57" s="2" t="s">
        <v>209</v>
      </c>
      <c r="M57" s="4">
        <v>5</v>
      </c>
      <c r="N57" s="5">
        <v>159</v>
      </c>
      <c r="O57" s="3">
        <v>45793</v>
      </c>
      <c r="P57" s="2" t="s">
        <v>40</v>
      </c>
      <c r="Q57" s="2" t="s">
        <v>78</v>
      </c>
      <c r="R57" s="2" t="s">
        <v>41</v>
      </c>
      <c r="S57" s="2" t="s">
        <v>42</v>
      </c>
      <c r="T57" s="2" t="s">
        <v>203</v>
      </c>
    </row>
    <row r="58" spans="1:20" ht="12.5" x14ac:dyDescent="0.25">
      <c r="A58" s="2" t="s">
        <v>306</v>
      </c>
      <c r="B58" s="2" t="s">
        <v>307</v>
      </c>
      <c r="C58" s="2" t="s">
        <v>308</v>
      </c>
      <c r="D58" s="2" t="s">
        <v>309</v>
      </c>
      <c r="E58" s="2" t="s">
        <v>147</v>
      </c>
      <c r="F58" s="2" t="s">
        <v>148</v>
      </c>
      <c r="G58" s="5">
        <v>4903</v>
      </c>
      <c r="H58" s="5">
        <v>35</v>
      </c>
      <c r="I58" s="5">
        <v>3187</v>
      </c>
      <c r="J58" s="5">
        <v>3</v>
      </c>
      <c r="K58" s="2">
        <v>42</v>
      </c>
      <c r="L58" s="2" t="s">
        <v>39</v>
      </c>
      <c r="M58" s="4">
        <v>3.8</v>
      </c>
      <c r="N58" s="5">
        <v>98</v>
      </c>
      <c r="O58" s="3">
        <v>45771</v>
      </c>
      <c r="P58" s="2" t="s">
        <v>57</v>
      </c>
      <c r="Q58" s="2" t="s">
        <v>78</v>
      </c>
      <c r="R58" s="2" t="s">
        <v>104</v>
      </c>
      <c r="S58" s="2" t="s">
        <v>105</v>
      </c>
      <c r="T58" s="2" t="s">
        <v>32</v>
      </c>
    </row>
    <row r="59" spans="1:20" ht="12.5" x14ac:dyDescent="0.25">
      <c r="A59" s="2" t="s">
        <v>310</v>
      </c>
      <c r="B59" s="2" t="s">
        <v>311</v>
      </c>
      <c r="C59" s="2" t="s">
        <v>241</v>
      </c>
      <c r="D59" s="2" t="s">
        <v>312</v>
      </c>
      <c r="E59" s="2" t="s">
        <v>247</v>
      </c>
      <c r="F59" s="2" t="s">
        <v>248</v>
      </c>
      <c r="G59" s="5">
        <v>4841</v>
      </c>
      <c r="H59" s="5">
        <v>20</v>
      </c>
      <c r="I59" s="5">
        <v>3873</v>
      </c>
      <c r="J59" s="5">
        <v>2</v>
      </c>
      <c r="K59" s="2">
        <v>42</v>
      </c>
      <c r="L59" s="2" t="s">
        <v>209</v>
      </c>
      <c r="M59" s="4">
        <v>3.7</v>
      </c>
      <c r="N59" s="5">
        <v>175</v>
      </c>
      <c r="O59" s="3">
        <v>45770</v>
      </c>
      <c r="P59" s="2" t="s">
        <v>28</v>
      </c>
      <c r="Q59" s="2" t="s">
        <v>65</v>
      </c>
      <c r="R59" s="2" t="s">
        <v>66</v>
      </c>
      <c r="S59" s="2" t="s">
        <v>67</v>
      </c>
      <c r="T59" s="2" t="s">
        <v>32</v>
      </c>
    </row>
    <row r="60" spans="1:20" ht="12.5" x14ac:dyDescent="0.25">
      <c r="A60" s="2" t="s">
        <v>313</v>
      </c>
      <c r="B60" s="2" t="s">
        <v>314</v>
      </c>
      <c r="C60" s="2" t="s">
        <v>315</v>
      </c>
      <c r="D60" s="2" t="s">
        <v>316</v>
      </c>
      <c r="E60" s="2" t="s">
        <v>55</v>
      </c>
      <c r="F60" s="2" t="s">
        <v>38</v>
      </c>
      <c r="G60" s="5">
        <v>1037</v>
      </c>
      <c r="H60" s="5">
        <v>30</v>
      </c>
      <c r="I60" s="5">
        <v>726</v>
      </c>
      <c r="J60" s="5">
        <v>3</v>
      </c>
      <c r="K60" s="2" t="s">
        <v>226</v>
      </c>
      <c r="L60" s="2" t="s">
        <v>39</v>
      </c>
      <c r="M60" s="4">
        <v>3.7</v>
      </c>
      <c r="N60" s="5">
        <v>18</v>
      </c>
      <c r="O60" s="3">
        <v>45828</v>
      </c>
      <c r="P60" s="2" t="s">
        <v>28</v>
      </c>
      <c r="Q60" s="2" t="s">
        <v>29</v>
      </c>
      <c r="R60" s="2" t="s">
        <v>30</v>
      </c>
      <c r="S60" s="2" t="s">
        <v>31</v>
      </c>
      <c r="T60" s="2" t="s">
        <v>32</v>
      </c>
    </row>
    <row r="61" spans="1:20" ht="12.5" x14ac:dyDescent="0.25">
      <c r="A61" s="2" t="s">
        <v>317</v>
      </c>
      <c r="B61" s="2" t="s">
        <v>318</v>
      </c>
      <c r="C61" s="2" t="s">
        <v>319</v>
      </c>
      <c r="D61" s="2" t="s">
        <v>320</v>
      </c>
      <c r="E61" s="2" t="s">
        <v>48</v>
      </c>
      <c r="F61" s="2" t="s">
        <v>25</v>
      </c>
      <c r="G61" s="5">
        <v>989</v>
      </c>
      <c r="H61" s="5">
        <v>30</v>
      </c>
      <c r="I61" s="5">
        <v>693</v>
      </c>
      <c r="J61" s="5">
        <v>1</v>
      </c>
      <c r="K61" s="2" t="s">
        <v>32</v>
      </c>
      <c r="L61" s="2" t="s">
        <v>27</v>
      </c>
      <c r="M61" s="4">
        <v>3.9</v>
      </c>
      <c r="N61" s="5">
        <v>37</v>
      </c>
      <c r="O61" s="3">
        <v>45792</v>
      </c>
      <c r="P61" s="2" t="s">
        <v>28</v>
      </c>
      <c r="Q61" s="2" t="s">
        <v>65</v>
      </c>
      <c r="R61" s="2" t="s">
        <v>104</v>
      </c>
      <c r="S61" s="2" t="s">
        <v>105</v>
      </c>
      <c r="T61" s="2" t="s">
        <v>32</v>
      </c>
    </row>
    <row r="62" spans="1:20" ht="12.5" x14ac:dyDescent="0.25">
      <c r="A62" s="2" t="s">
        <v>321</v>
      </c>
      <c r="B62" s="2" t="s">
        <v>232</v>
      </c>
      <c r="C62" s="2" t="s">
        <v>322</v>
      </c>
      <c r="D62" s="2" t="s">
        <v>323</v>
      </c>
      <c r="E62" s="2" t="s">
        <v>208</v>
      </c>
      <c r="F62" s="2" t="s">
        <v>117</v>
      </c>
      <c r="G62" s="5">
        <v>2866</v>
      </c>
      <c r="H62" s="5">
        <v>15</v>
      </c>
      <c r="I62" s="5">
        <v>2437</v>
      </c>
      <c r="J62" s="5">
        <v>2</v>
      </c>
      <c r="K62" s="2">
        <v>44</v>
      </c>
      <c r="L62" s="2" t="s">
        <v>64</v>
      </c>
      <c r="M62" s="4">
        <v>4.5999999999999996</v>
      </c>
      <c r="N62" s="5">
        <v>167</v>
      </c>
      <c r="O62" s="3">
        <v>45783</v>
      </c>
      <c r="P62" s="2" t="s">
        <v>57</v>
      </c>
      <c r="Q62" s="2" t="s">
        <v>65</v>
      </c>
      <c r="R62" s="2" t="s">
        <v>58</v>
      </c>
      <c r="S62" s="2" t="s">
        <v>59</v>
      </c>
      <c r="T62" s="2" t="s">
        <v>32</v>
      </c>
    </row>
    <row r="63" spans="1:20" ht="12.5" x14ac:dyDescent="0.25">
      <c r="A63" s="2" t="s">
        <v>324</v>
      </c>
      <c r="B63" s="2" t="s">
        <v>325</v>
      </c>
      <c r="C63" s="2" t="s">
        <v>326</v>
      </c>
      <c r="D63" s="2" t="s">
        <v>327</v>
      </c>
      <c r="E63" s="2" t="s">
        <v>208</v>
      </c>
      <c r="F63" s="2" t="s">
        <v>117</v>
      </c>
      <c r="G63" s="5">
        <v>4671</v>
      </c>
      <c r="H63" s="5">
        <v>20</v>
      </c>
      <c r="I63" s="5">
        <v>3737</v>
      </c>
      <c r="J63" s="5">
        <v>3</v>
      </c>
      <c r="K63" s="2" t="s">
        <v>163</v>
      </c>
      <c r="L63" s="2" t="s">
        <v>39</v>
      </c>
      <c r="M63" s="4">
        <v>3.9</v>
      </c>
      <c r="N63" s="5">
        <v>48</v>
      </c>
      <c r="O63" s="3">
        <v>45840</v>
      </c>
      <c r="P63" s="2" t="s">
        <v>28</v>
      </c>
      <c r="Q63" s="2" t="s">
        <v>29</v>
      </c>
      <c r="R63" s="2" t="s">
        <v>89</v>
      </c>
      <c r="S63" s="2" t="s">
        <v>90</v>
      </c>
      <c r="T63" s="2" t="s">
        <v>32</v>
      </c>
    </row>
    <row r="64" spans="1:20" ht="12.5" x14ac:dyDescent="0.25">
      <c r="A64" s="2" t="s">
        <v>328</v>
      </c>
      <c r="B64" s="2" t="s">
        <v>329</v>
      </c>
      <c r="C64" s="2" t="s">
        <v>330</v>
      </c>
      <c r="D64" s="2" t="s">
        <v>331</v>
      </c>
      <c r="E64" s="2" t="s">
        <v>37</v>
      </c>
      <c r="F64" s="2" t="s">
        <v>38</v>
      </c>
      <c r="G64" s="5">
        <v>4620</v>
      </c>
      <c r="H64" s="5">
        <v>15</v>
      </c>
      <c r="I64" s="5">
        <v>3927</v>
      </c>
      <c r="J64" s="5">
        <v>1</v>
      </c>
      <c r="K64" s="2" t="s">
        <v>226</v>
      </c>
      <c r="L64" s="2" t="s">
        <v>73</v>
      </c>
      <c r="M64" s="4">
        <v>4.2</v>
      </c>
      <c r="N64" s="5">
        <v>57</v>
      </c>
      <c r="O64" s="3">
        <v>45857</v>
      </c>
      <c r="P64" s="2" t="s">
        <v>57</v>
      </c>
      <c r="Q64" s="2" t="s">
        <v>65</v>
      </c>
      <c r="R64" s="2" t="s">
        <v>58</v>
      </c>
      <c r="S64" s="2" t="s">
        <v>59</v>
      </c>
      <c r="T64" s="2" t="s">
        <v>32</v>
      </c>
    </row>
    <row r="65" spans="1:20" ht="12.5" x14ac:dyDescent="0.25">
      <c r="A65" s="2" t="s">
        <v>332</v>
      </c>
      <c r="B65" s="2" t="s">
        <v>333</v>
      </c>
      <c r="C65" s="2" t="s">
        <v>334</v>
      </c>
      <c r="D65" s="2" t="s">
        <v>335</v>
      </c>
      <c r="E65" s="2" t="s">
        <v>116</v>
      </c>
      <c r="F65" s="2" t="s">
        <v>117</v>
      </c>
      <c r="G65" s="5">
        <v>3540</v>
      </c>
      <c r="H65" s="5">
        <v>10</v>
      </c>
      <c r="I65" s="5">
        <v>3186</v>
      </c>
      <c r="J65" s="5">
        <v>3</v>
      </c>
      <c r="K65" s="2">
        <v>44</v>
      </c>
      <c r="L65" s="2" t="s">
        <v>73</v>
      </c>
      <c r="M65" s="4">
        <v>4.0999999999999996</v>
      </c>
      <c r="N65" s="5">
        <v>144</v>
      </c>
      <c r="O65" s="3">
        <v>45784</v>
      </c>
      <c r="P65" s="2" t="s">
        <v>28</v>
      </c>
      <c r="Q65" s="2" t="s">
        <v>78</v>
      </c>
      <c r="R65" s="2" t="s">
        <v>83</v>
      </c>
      <c r="S65" s="2" t="s">
        <v>83</v>
      </c>
      <c r="T65" s="2" t="s">
        <v>32</v>
      </c>
    </row>
    <row r="66" spans="1:20" ht="12.5" x14ac:dyDescent="0.25">
      <c r="A66" s="2" t="s">
        <v>336</v>
      </c>
      <c r="B66" s="2" t="s">
        <v>337</v>
      </c>
      <c r="C66" s="2" t="s">
        <v>338</v>
      </c>
      <c r="D66" s="2" t="s">
        <v>339</v>
      </c>
      <c r="E66" s="2" t="s">
        <v>132</v>
      </c>
      <c r="F66" s="2" t="s">
        <v>38</v>
      </c>
      <c r="G66" s="5">
        <v>871</v>
      </c>
      <c r="H66" s="5">
        <v>15</v>
      </c>
      <c r="I66" s="5">
        <v>741</v>
      </c>
      <c r="J66" s="5">
        <v>2</v>
      </c>
      <c r="K66" s="2" t="s">
        <v>163</v>
      </c>
      <c r="L66" s="2" t="s">
        <v>209</v>
      </c>
      <c r="M66" s="4">
        <v>4.2</v>
      </c>
      <c r="N66" s="5">
        <v>72</v>
      </c>
      <c r="O66" s="3">
        <v>45806</v>
      </c>
      <c r="P66" s="2" t="s">
        <v>57</v>
      </c>
      <c r="Q66" s="2" t="s">
        <v>29</v>
      </c>
      <c r="R66" s="2" t="s">
        <v>89</v>
      </c>
      <c r="S66" s="2" t="s">
        <v>90</v>
      </c>
      <c r="T66" s="2" t="s">
        <v>32</v>
      </c>
    </row>
    <row r="67" spans="1:20" ht="12.5" x14ac:dyDescent="0.25">
      <c r="A67" s="2" t="s">
        <v>340</v>
      </c>
      <c r="B67" s="2" t="s">
        <v>341</v>
      </c>
      <c r="C67" s="2" t="s">
        <v>342</v>
      </c>
      <c r="D67" s="2" t="s">
        <v>343</v>
      </c>
      <c r="E67" s="2" t="s">
        <v>147</v>
      </c>
      <c r="F67" s="2" t="s">
        <v>148</v>
      </c>
      <c r="G67" s="5">
        <v>4276</v>
      </c>
      <c r="H67" s="5">
        <v>35</v>
      </c>
      <c r="I67" s="5">
        <v>2780</v>
      </c>
      <c r="J67" s="5">
        <v>2</v>
      </c>
      <c r="K67" s="2" t="s">
        <v>261</v>
      </c>
      <c r="L67" s="2" t="s">
        <v>103</v>
      </c>
      <c r="M67" s="4">
        <v>4.5999999999999996</v>
      </c>
      <c r="N67" s="5">
        <v>122</v>
      </c>
      <c r="O67" s="3">
        <v>45858</v>
      </c>
      <c r="P67" s="2" t="s">
        <v>57</v>
      </c>
      <c r="Q67" s="2" t="s">
        <v>29</v>
      </c>
      <c r="R67" s="2" t="s">
        <v>185</v>
      </c>
      <c r="S67" s="2" t="s">
        <v>186</v>
      </c>
      <c r="T67" s="2" t="s">
        <v>32</v>
      </c>
    </row>
    <row r="68" spans="1:20" ht="12.5" x14ac:dyDescent="0.25">
      <c r="A68" s="2" t="s">
        <v>344</v>
      </c>
      <c r="B68" s="2" t="s">
        <v>345</v>
      </c>
      <c r="C68" s="2" t="s">
        <v>346</v>
      </c>
      <c r="D68" s="2" t="s">
        <v>347</v>
      </c>
      <c r="E68" s="2" t="s">
        <v>247</v>
      </c>
      <c r="F68" s="2" t="s">
        <v>248</v>
      </c>
      <c r="G68" s="5">
        <v>1949</v>
      </c>
      <c r="H68" s="5">
        <v>35</v>
      </c>
      <c r="I68" s="5">
        <v>1267</v>
      </c>
      <c r="J68" s="5">
        <v>3</v>
      </c>
      <c r="K68" s="2" t="s">
        <v>226</v>
      </c>
      <c r="L68" s="2" t="s">
        <v>49</v>
      </c>
      <c r="M68" s="4">
        <v>4.5999999999999996</v>
      </c>
      <c r="N68" s="5">
        <v>12</v>
      </c>
      <c r="O68" s="3">
        <v>45835</v>
      </c>
      <c r="P68" s="2" t="s">
        <v>40</v>
      </c>
      <c r="Q68" s="2" t="s">
        <v>78</v>
      </c>
      <c r="R68" s="2" t="s">
        <v>83</v>
      </c>
      <c r="S68" s="2" t="s">
        <v>83</v>
      </c>
      <c r="T68" s="2" t="s">
        <v>134</v>
      </c>
    </row>
    <row r="69" spans="1:20" ht="12.5" x14ac:dyDescent="0.25">
      <c r="A69" s="2" t="s">
        <v>348</v>
      </c>
      <c r="B69" s="2" t="s">
        <v>349</v>
      </c>
      <c r="C69" s="2" t="s">
        <v>350</v>
      </c>
      <c r="D69" s="2" t="s">
        <v>351</v>
      </c>
      <c r="E69" s="2" t="s">
        <v>55</v>
      </c>
      <c r="F69" s="2" t="s">
        <v>38</v>
      </c>
      <c r="G69" s="5">
        <v>3805</v>
      </c>
      <c r="H69" s="5">
        <v>25</v>
      </c>
      <c r="I69" s="5">
        <v>2854</v>
      </c>
      <c r="J69" s="5">
        <v>2</v>
      </c>
      <c r="K69" s="2" t="s">
        <v>26</v>
      </c>
      <c r="L69" s="2" t="s">
        <v>103</v>
      </c>
      <c r="M69" s="4">
        <v>4</v>
      </c>
      <c r="N69" s="5">
        <v>153</v>
      </c>
      <c r="O69" s="3">
        <v>45809</v>
      </c>
      <c r="P69" s="2" t="s">
        <v>40</v>
      </c>
      <c r="Q69" s="2" t="s">
        <v>29</v>
      </c>
      <c r="R69" s="2" t="s">
        <v>149</v>
      </c>
      <c r="S69" s="2" t="s">
        <v>150</v>
      </c>
      <c r="T69" s="2" t="s">
        <v>50</v>
      </c>
    </row>
    <row r="70" spans="1:20" ht="12.5" x14ac:dyDescent="0.25">
      <c r="A70" s="2" t="s">
        <v>352</v>
      </c>
      <c r="B70" s="2" t="s">
        <v>353</v>
      </c>
      <c r="C70" s="2" t="s">
        <v>354</v>
      </c>
      <c r="D70" s="2" t="s">
        <v>355</v>
      </c>
      <c r="E70" s="2" t="s">
        <v>48</v>
      </c>
      <c r="F70" s="2" t="s">
        <v>25</v>
      </c>
      <c r="G70" s="5">
        <v>4829</v>
      </c>
      <c r="H70" s="5">
        <v>40</v>
      </c>
      <c r="I70" s="5">
        <v>2898</v>
      </c>
      <c r="J70" s="5">
        <v>1</v>
      </c>
      <c r="K70" s="2" t="s">
        <v>26</v>
      </c>
      <c r="L70" s="2" t="s">
        <v>49</v>
      </c>
      <c r="M70" s="4">
        <v>3.8</v>
      </c>
      <c r="N70" s="5">
        <v>10</v>
      </c>
      <c r="O70" s="3">
        <v>45796</v>
      </c>
      <c r="P70" s="2" t="s">
        <v>28</v>
      </c>
      <c r="Q70" s="2" t="s">
        <v>29</v>
      </c>
      <c r="R70" s="2" t="s">
        <v>104</v>
      </c>
      <c r="S70" s="2" t="s">
        <v>105</v>
      </c>
      <c r="T70" s="2" t="s">
        <v>32</v>
      </c>
    </row>
    <row r="71" spans="1:20" ht="12.5" x14ac:dyDescent="0.25">
      <c r="A71" s="2" t="s">
        <v>356</v>
      </c>
      <c r="B71" s="2" t="s">
        <v>357</v>
      </c>
      <c r="C71" s="2" t="s">
        <v>358</v>
      </c>
      <c r="D71" s="2" t="s">
        <v>359</v>
      </c>
      <c r="E71" s="2" t="s">
        <v>122</v>
      </c>
      <c r="F71" s="2" t="s">
        <v>123</v>
      </c>
      <c r="G71" s="5">
        <v>1593</v>
      </c>
      <c r="H71" s="5">
        <v>15</v>
      </c>
      <c r="I71" s="5">
        <v>1355</v>
      </c>
      <c r="J71" s="5">
        <v>3</v>
      </c>
      <c r="K71" s="2">
        <v>40</v>
      </c>
      <c r="L71" s="2" t="s">
        <v>88</v>
      </c>
      <c r="M71" s="4">
        <v>4.2</v>
      </c>
      <c r="N71" s="5">
        <v>159</v>
      </c>
      <c r="O71" s="3">
        <v>45780</v>
      </c>
      <c r="P71" s="2" t="s">
        <v>28</v>
      </c>
      <c r="Q71" s="2" t="s">
        <v>29</v>
      </c>
      <c r="R71" s="2" t="s">
        <v>110</v>
      </c>
      <c r="S71" s="2" t="s">
        <v>111</v>
      </c>
      <c r="T71" s="2" t="s">
        <v>32</v>
      </c>
    </row>
    <row r="72" spans="1:20" ht="12.5" x14ac:dyDescent="0.25">
      <c r="A72" s="2" t="s">
        <v>360</v>
      </c>
      <c r="B72" s="2" t="s">
        <v>361</v>
      </c>
      <c r="C72" s="2" t="s">
        <v>362</v>
      </c>
      <c r="D72" s="2" t="s">
        <v>363</v>
      </c>
      <c r="E72" s="2" t="s">
        <v>37</v>
      </c>
      <c r="F72" s="2" t="s">
        <v>38</v>
      </c>
      <c r="G72" s="5">
        <v>4540</v>
      </c>
      <c r="H72" s="5">
        <v>40</v>
      </c>
      <c r="I72" s="5">
        <v>2724</v>
      </c>
      <c r="J72" s="5">
        <v>2</v>
      </c>
      <c r="K72" s="2" t="s">
        <v>32</v>
      </c>
      <c r="L72" s="2" t="s">
        <v>49</v>
      </c>
      <c r="M72" s="4">
        <v>4.9000000000000004</v>
      </c>
      <c r="N72" s="5">
        <v>112</v>
      </c>
      <c r="O72" s="3">
        <v>45795</v>
      </c>
      <c r="P72" s="2" t="s">
        <v>57</v>
      </c>
      <c r="Q72" s="2" t="s">
        <v>29</v>
      </c>
      <c r="R72" s="2" t="s">
        <v>58</v>
      </c>
      <c r="S72" s="2" t="s">
        <v>59</v>
      </c>
      <c r="T72" s="2" t="s">
        <v>32</v>
      </c>
    </row>
    <row r="73" spans="1:20" ht="12.5" x14ac:dyDescent="0.25">
      <c r="A73" s="2" t="s">
        <v>364</v>
      </c>
      <c r="B73" s="2" t="s">
        <v>365</v>
      </c>
      <c r="C73" s="2" t="s">
        <v>366</v>
      </c>
      <c r="D73" s="2" t="s">
        <v>367</v>
      </c>
      <c r="E73" s="2" t="s">
        <v>37</v>
      </c>
      <c r="F73" s="2" t="s">
        <v>38</v>
      </c>
      <c r="G73" s="5">
        <v>2318</v>
      </c>
      <c r="H73" s="5">
        <v>15</v>
      </c>
      <c r="I73" s="5">
        <v>1971</v>
      </c>
      <c r="J73" s="5">
        <v>1</v>
      </c>
      <c r="K73" s="2" t="s">
        <v>163</v>
      </c>
      <c r="L73" s="2" t="s">
        <v>64</v>
      </c>
      <c r="M73" s="4">
        <v>4.8</v>
      </c>
      <c r="N73" s="5">
        <v>233</v>
      </c>
      <c r="O73" s="3">
        <v>45855</v>
      </c>
      <c r="P73" s="2" t="s">
        <v>28</v>
      </c>
      <c r="Q73" s="2" t="s">
        <v>78</v>
      </c>
      <c r="R73" s="2" t="s">
        <v>30</v>
      </c>
      <c r="S73" s="2" t="s">
        <v>31</v>
      </c>
      <c r="T73" s="2" t="s">
        <v>32</v>
      </c>
    </row>
    <row r="74" spans="1:20" ht="12.5" x14ac:dyDescent="0.25">
      <c r="A74" s="2" t="s">
        <v>368</v>
      </c>
      <c r="B74" s="2" t="s">
        <v>369</v>
      </c>
      <c r="C74" s="2" t="s">
        <v>370</v>
      </c>
      <c r="D74" s="2" t="s">
        <v>371</v>
      </c>
      <c r="E74" s="2" t="s">
        <v>48</v>
      </c>
      <c r="F74" s="2" t="s">
        <v>25</v>
      </c>
      <c r="G74" s="5">
        <v>4109</v>
      </c>
      <c r="H74" s="5">
        <v>25</v>
      </c>
      <c r="I74" s="5">
        <v>3082</v>
      </c>
      <c r="J74" s="5">
        <v>2</v>
      </c>
      <c r="K74" s="2" t="s">
        <v>72</v>
      </c>
      <c r="L74" s="2" t="s">
        <v>88</v>
      </c>
      <c r="M74" s="4">
        <v>4.5999999999999996</v>
      </c>
      <c r="N74" s="5">
        <v>212</v>
      </c>
      <c r="O74" s="3">
        <v>45790</v>
      </c>
      <c r="P74" s="2" t="s">
        <v>28</v>
      </c>
      <c r="Q74" s="2" t="s">
        <v>29</v>
      </c>
      <c r="R74" s="2" t="s">
        <v>104</v>
      </c>
      <c r="S74" s="2" t="s">
        <v>105</v>
      </c>
      <c r="T74" s="2" t="s">
        <v>32</v>
      </c>
    </row>
    <row r="75" spans="1:20" ht="12.5" x14ac:dyDescent="0.25">
      <c r="A75" s="2" t="s">
        <v>372</v>
      </c>
      <c r="B75" s="2" t="s">
        <v>34</v>
      </c>
      <c r="C75" s="2" t="s">
        <v>373</v>
      </c>
      <c r="D75" s="2" t="s">
        <v>374</v>
      </c>
      <c r="E75" s="2" t="s">
        <v>24</v>
      </c>
      <c r="F75" s="2" t="s">
        <v>25</v>
      </c>
      <c r="G75" s="5">
        <v>3011</v>
      </c>
      <c r="H75" s="5">
        <v>25</v>
      </c>
      <c r="I75" s="5">
        <v>2259</v>
      </c>
      <c r="J75" s="5">
        <v>1</v>
      </c>
      <c r="K75" s="2" t="s">
        <v>32</v>
      </c>
      <c r="L75" s="2" t="s">
        <v>39</v>
      </c>
      <c r="M75" s="4">
        <v>3.8</v>
      </c>
      <c r="N75" s="5">
        <v>156</v>
      </c>
      <c r="O75" s="3">
        <v>45855</v>
      </c>
      <c r="P75" s="2" t="s">
        <v>57</v>
      </c>
      <c r="Q75" s="2" t="s">
        <v>65</v>
      </c>
      <c r="R75" s="2" t="s">
        <v>104</v>
      </c>
      <c r="S75" s="2" t="s">
        <v>105</v>
      </c>
      <c r="T75" s="2" t="s">
        <v>32</v>
      </c>
    </row>
    <row r="76" spans="1:20" ht="12.5" x14ac:dyDescent="0.25">
      <c r="A76" s="2" t="s">
        <v>375</v>
      </c>
      <c r="B76" s="2" t="s">
        <v>376</v>
      </c>
      <c r="C76" s="2" t="s">
        <v>377</v>
      </c>
      <c r="D76" s="2" t="s">
        <v>378</v>
      </c>
      <c r="E76" s="2" t="s">
        <v>147</v>
      </c>
      <c r="F76" s="2" t="s">
        <v>148</v>
      </c>
      <c r="G76" s="5">
        <v>3928</v>
      </c>
      <c r="H76" s="5">
        <v>20</v>
      </c>
      <c r="I76" s="5">
        <v>3143</v>
      </c>
      <c r="J76" s="5">
        <v>3</v>
      </c>
      <c r="K76" s="2">
        <v>44</v>
      </c>
      <c r="L76" s="2" t="s">
        <v>168</v>
      </c>
      <c r="M76" s="4">
        <v>4</v>
      </c>
      <c r="N76" s="5">
        <v>277</v>
      </c>
      <c r="O76" s="3">
        <v>45801</v>
      </c>
      <c r="P76" s="2" t="s">
        <v>40</v>
      </c>
      <c r="Q76" s="2" t="s">
        <v>78</v>
      </c>
      <c r="R76" s="2" t="s">
        <v>89</v>
      </c>
      <c r="S76" s="2" t="s">
        <v>90</v>
      </c>
      <c r="T76" s="2" t="s">
        <v>32</v>
      </c>
    </row>
    <row r="77" spans="1:20" ht="12.5" x14ac:dyDescent="0.25">
      <c r="A77" s="2" t="s">
        <v>379</v>
      </c>
      <c r="B77" s="2" t="s">
        <v>380</v>
      </c>
      <c r="C77" s="2" t="s">
        <v>381</v>
      </c>
      <c r="D77" s="2" t="s">
        <v>382</v>
      </c>
      <c r="E77" s="2" t="s">
        <v>116</v>
      </c>
      <c r="F77" s="2" t="s">
        <v>117</v>
      </c>
      <c r="G77" s="5">
        <v>4967</v>
      </c>
      <c r="H77" s="5">
        <v>10</v>
      </c>
      <c r="I77" s="5">
        <v>4471</v>
      </c>
      <c r="J77" s="5">
        <v>3</v>
      </c>
      <c r="K77" s="2">
        <v>42</v>
      </c>
      <c r="L77" s="2" t="s">
        <v>64</v>
      </c>
      <c r="M77" s="4">
        <v>4.3</v>
      </c>
      <c r="N77" s="5">
        <v>153</v>
      </c>
      <c r="O77" s="3">
        <v>45793</v>
      </c>
      <c r="P77" s="2" t="s">
        <v>28</v>
      </c>
      <c r="Q77" s="2" t="s">
        <v>65</v>
      </c>
      <c r="R77" s="2" t="s">
        <v>104</v>
      </c>
      <c r="S77" s="2" t="s">
        <v>105</v>
      </c>
      <c r="T77" s="2" t="s">
        <v>32</v>
      </c>
    </row>
    <row r="78" spans="1:20" ht="12.5" x14ac:dyDescent="0.25">
      <c r="A78" s="2" t="s">
        <v>383</v>
      </c>
      <c r="B78" s="2" t="s">
        <v>384</v>
      </c>
      <c r="C78" s="2" t="s">
        <v>385</v>
      </c>
      <c r="D78" s="2" t="s">
        <v>386</v>
      </c>
      <c r="E78" s="2" t="s">
        <v>122</v>
      </c>
      <c r="F78" s="2" t="s">
        <v>123</v>
      </c>
      <c r="G78" s="5">
        <v>2405</v>
      </c>
      <c r="H78" s="5">
        <v>25</v>
      </c>
      <c r="I78" s="5">
        <v>1804</v>
      </c>
      <c r="J78" s="5">
        <v>1</v>
      </c>
      <c r="K78" s="2" t="s">
        <v>261</v>
      </c>
      <c r="L78" s="2" t="s">
        <v>39</v>
      </c>
      <c r="M78" s="4">
        <v>4</v>
      </c>
      <c r="N78" s="5">
        <v>278</v>
      </c>
      <c r="O78" s="3">
        <v>45791</v>
      </c>
      <c r="P78" s="2" t="s">
        <v>28</v>
      </c>
      <c r="Q78" s="2" t="s">
        <v>78</v>
      </c>
      <c r="R78" s="2" t="s">
        <v>185</v>
      </c>
      <c r="S78" s="2" t="s">
        <v>186</v>
      </c>
      <c r="T78" s="2" t="s">
        <v>32</v>
      </c>
    </row>
    <row r="79" spans="1:20" ht="12.5" x14ac:dyDescent="0.25">
      <c r="A79" s="2" t="s">
        <v>387</v>
      </c>
      <c r="B79" s="2" t="s">
        <v>388</v>
      </c>
      <c r="C79" s="2" t="s">
        <v>389</v>
      </c>
      <c r="D79" s="2" t="s">
        <v>390</v>
      </c>
      <c r="E79" s="2" t="s">
        <v>247</v>
      </c>
      <c r="F79" s="2" t="s">
        <v>248</v>
      </c>
      <c r="G79" s="5">
        <v>1392</v>
      </c>
      <c r="H79" s="5">
        <v>15</v>
      </c>
      <c r="I79" s="5">
        <v>1184</v>
      </c>
      <c r="J79" s="5">
        <v>2</v>
      </c>
      <c r="K79" s="2" t="s">
        <v>26</v>
      </c>
      <c r="L79" s="2" t="s">
        <v>103</v>
      </c>
      <c r="M79" s="4">
        <v>3.9</v>
      </c>
      <c r="N79" s="5">
        <v>93</v>
      </c>
      <c r="O79" s="3">
        <v>45854</v>
      </c>
      <c r="P79" s="2" t="s">
        <v>57</v>
      </c>
      <c r="Q79" s="2" t="s">
        <v>29</v>
      </c>
      <c r="R79" s="2" t="s">
        <v>30</v>
      </c>
      <c r="S79" s="2" t="s">
        <v>31</v>
      </c>
      <c r="T79" s="2" t="s">
        <v>32</v>
      </c>
    </row>
    <row r="80" spans="1:20" ht="12.5" x14ac:dyDescent="0.25">
      <c r="A80" s="2" t="s">
        <v>391</v>
      </c>
      <c r="B80" s="2" t="s">
        <v>392</v>
      </c>
      <c r="C80" s="2" t="s">
        <v>393</v>
      </c>
      <c r="D80" s="2" t="s">
        <v>394</v>
      </c>
      <c r="E80" s="2" t="s">
        <v>55</v>
      </c>
      <c r="F80" s="2" t="s">
        <v>38</v>
      </c>
      <c r="G80" s="5">
        <v>3990</v>
      </c>
      <c r="H80" s="5">
        <v>20</v>
      </c>
      <c r="I80" s="5">
        <v>3192</v>
      </c>
      <c r="J80" s="5">
        <v>3</v>
      </c>
      <c r="K80" s="2" t="s">
        <v>56</v>
      </c>
      <c r="L80" s="2" t="s">
        <v>73</v>
      </c>
      <c r="M80" s="4">
        <v>4.5</v>
      </c>
      <c r="N80" s="5">
        <v>113</v>
      </c>
      <c r="O80" s="3">
        <v>45829</v>
      </c>
      <c r="P80" s="2" t="s">
        <v>40</v>
      </c>
      <c r="Q80" s="2" t="s">
        <v>78</v>
      </c>
      <c r="R80" s="2" t="s">
        <v>104</v>
      </c>
      <c r="S80" s="2" t="s">
        <v>105</v>
      </c>
      <c r="T80" s="2" t="s">
        <v>43</v>
      </c>
    </row>
    <row r="81" spans="1:20" ht="12.5" x14ac:dyDescent="0.25">
      <c r="A81" s="2" t="s">
        <v>395</v>
      </c>
      <c r="B81" s="2" t="s">
        <v>396</v>
      </c>
      <c r="C81" s="2" t="s">
        <v>397</v>
      </c>
      <c r="D81" s="2" t="s">
        <v>398</v>
      </c>
      <c r="E81" s="2" t="s">
        <v>48</v>
      </c>
      <c r="F81" s="2" t="s">
        <v>25</v>
      </c>
      <c r="G81" s="5">
        <v>2783</v>
      </c>
      <c r="H81" s="5">
        <v>25</v>
      </c>
      <c r="I81" s="5">
        <v>2088</v>
      </c>
      <c r="J81" s="5">
        <v>1</v>
      </c>
      <c r="K81" s="2" t="s">
        <v>261</v>
      </c>
      <c r="L81" s="2" t="s">
        <v>168</v>
      </c>
      <c r="M81" s="4">
        <v>3.9</v>
      </c>
      <c r="N81" s="5">
        <v>226</v>
      </c>
      <c r="O81" s="3">
        <v>45816</v>
      </c>
      <c r="P81" s="2" t="s">
        <v>57</v>
      </c>
      <c r="Q81" s="2" t="s">
        <v>65</v>
      </c>
      <c r="R81" s="2" t="s">
        <v>89</v>
      </c>
      <c r="S81" s="2" t="s">
        <v>90</v>
      </c>
      <c r="T81" s="2" t="s">
        <v>32</v>
      </c>
    </row>
    <row r="82" spans="1:20" ht="12.5" x14ac:dyDescent="0.25">
      <c r="A82" s="2" t="s">
        <v>399</v>
      </c>
      <c r="B82" s="2" t="s">
        <v>400</v>
      </c>
      <c r="C82" s="2" t="s">
        <v>401</v>
      </c>
      <c r="D82" s="2" t="s">
        <v>402</v>
      </c>
      <c r="E82" s="2" t="s">
        <v>48</v>
      </c>
      <c r="F82" s="2" t="s">
        <v>25</v>
      </c>
      <c r="G82" s="5">
        <v>2247</v>
      </c>
      <c r="H82" s="5">
        <v>25</v>
      </c>
      <c r="I82" s="5">
        <v>1686</v>
      </c>
      <c r="J82" s="5">
        <v>1</v>
      </c>
      <c r="K82" s="2">
        <v>42</v>
      </c>
      <c r="L82" s="2" t="s">
        <v>168</v>
      </c>
      <c r="M82" s="4">
        <v>3.7</v>
      </c>
      <c r="N82" s="5">
        <v>265</v>
      </c>
      <c r="O82" s="3">
        <v>45796</v>
      </c>
      <c r="P82" s="2" t="s">
        <v>57</v>
      </c>
      <c r="Q82" s="2" t="s">
        <v>29</v>
      </c>
      <c r="R82" s="2" t="s">
        <v>104</v>
      </c>
      <c r="S82" s="2" t="s">
        <v>105</v>
      </c>
      <c r="T82" s="2" t="s">
        <v>32</v>
      </c>
    </row>
    <row r="83" spans="1:20" ht="12.5" x14ac:dyDescent="0.25">
      <c r="A83" s="2" t="s">
        <v>403</v>
      </c>
      <c r="B83" s="2" t="s">
        <v>404</v>
      </c>
      <c r="C83" s="2" t="s">
        <v>405</v>
      </c>
      <c r="D83" s="2" t="s">
        <v>406</v>
      </c>
      <c r="E83" s="2" t="s">
        <v>208</v>
      </c>
      <c r="F83" s="2" t="s">
        <v>117</v>
      </c>
      <c r="G83" s="5">
        <v>2234</v>
      </c>
      <c r="H83" s="5">
        <v>10</v>
      </c>
      <c r="I83" s="5">
        <v>2011</v>
      </c>
      <c r="J83" s="5">
        <v>2</v>
      </c>
      <c r="K83" s="2">
        <v>42</v>
      </c>
      <c r="L83" s="2" t="s">
        <v>27</v>
      </c>
      <c r="M83" s="4">
        <v>3.9</v>
      </c>
      <c r="N83" s="5">
        <v>131</v>
      </c>
      <c r="O83" s="3">
        <v>45795</v>
      </c>
      <c r="P83" s="2" t="s">
        <v>40</v>
      </c>
      <c r="Q83" s="2" t="s">
        <v>29</v>
      </c>
      <c r="R83" s="2" t="s">
        <v>30</v>
      </c>
      <c r="S83" s="2" t="s">
        <v>31</v>
      </c>
      <c r="T83" s="2" t="s">
        <v>32</v>
      </c>
    </row>
    <row r="84" spans="1:20" ht="12.5" x14ac:dyDescent="0.25">
      <c r="A84" s="2" t="s">
        <v>407</v>
      </c>
      <c r="B84" s="2" t="s">
        <v>408</v>
      </c>
      <c r="C84" s="2" t="s">
        <v>409</v>
      </c>
      <c r="D84" s="2" t="s">
        <v>410</v>
      </c>
      <c r="E84" s="2" t="s">
        <v>147</v>
      </c>
      <c r="F84" s="2" t="s">
        <v>148</v>
      </c>
      <c r="G84" s="5">
        <v>1726</v>
      </c>
      <c r="H84" s="5">
        <v>20</v>
      </c>
      <c r="I84" s="5">
        <v>1381</v>
      </c>
      <c r="J84" s="5">
        <v>1</v>
      </c>
      <c r="K84" s="2" t="s">
        <v>261</v>
      </c>
      <c r="L84" s="2" t="s">
        <v>209</v>
      </c>
      <c r="M84" s="4">
        <v>3.9</v>
      </c>
      <c r="N84" s="5">
        <v>113</v>
      </c>
      <c r="O84" s="3">
        <v>45774</v>
      </c>
      <c r="P84" s="2" t="s">
        <v>40</v>
      </c>
      <c r="Q84" s="2" t="s">
        <v>78</v>
      </c>
      <c r="R84" s="2" t="s">
        <v>58</v>
      </c>
      <c r="S84" s="2" t="s">
        <v>59</v>
      </c>
      <c r="T84" s="2" t="s">
        <v>32</v>
      </c>
    </row>
    <row r="85" spans="1:20" ht="12.5" x14ac:dyDescent="0.25">
      <c r="A85" s="2" t="s">
        <v>411</v>
      </c>
      <c r="B85" s="2" t="s">
        <v>412</v>
      </c>
      <c r="C85" s="2" t="s">
        <v>413</v>
      </c>
      <c r="D85" s="2" t="s">
        <v>414</v>
      </c>
      <c r="E85" s="2" t="s">
        <v>122</v>
      </c>
      <c r="F85" s="2" t="s">
        <v>123</v>
      </c>
      <c r="G85" s="5">
        <v>3200</v>
      </c>
      <c r="H85" s="5">
        <v>10</v>
      </c>
      <c r="I85" s="5">
        <v>2880</v>
      </c>
      <c r="J85" s="5">
        <v>2</v>
      </c>
      <c r="K85" s="2" t="s">
        <v>226</v>
      </c>
      <c r="L85" s="2" t="s">
        <v>103</v>
      </c>
      <c r="M85" s="4">
        <v>4.8</v>
      </c>
      <c r="N85" s="5">
        <v>299</v>
      </c>
      <c r="O85" s="3">
        <v>45832</v>
      </c>
      <c r="P85" s="2" t="s">
        <v>28</v>
      </c>
      <c r="Q85" s="2" t="s">
        <v>29</v>
      </c>
      <c r="R85" s="2" t="s">
        <v>83</v>
      </c>
      <c r="S85" s="2" t="s">
        <v>83</v>
      </c>
      <c r="T85" s="2" t="s">
        <v>32</v>
      </c>
    </row>
    <row r="86" spans="1:20" ht="12.5" x14ac:dyDescent="0.25">
      <c r="A86" s="2" t="s">
        <v>415</v>
      </c>
      <c r="B86" s="2" t="s">
        <v>416</v>
      </c>
      <c r="C86" s="2" t="s">
        <v>417</v>
      </c>
      <c r="D86" s="2" t="s">
        <v>418</v>
      </c>
      <c r="E86" s="2" t="s">
        <v>37</v>
      </c>
      <c r="F86" s="2" t="s">
        <v>38</v>
      </c>
      <c r="G86" s="5">
        <v>3878</v>
      </c>
      <c r="H86" s="5">
        <v>15</v>
      </c>
      <c r="I86" s="5">
        <v>3297</v>
      </c>
      <c r="J86" s="5">
        <v>2</v>
      </c>
      <c r="K86" s="2" t="s">
        <v>26</v>
      </c>
      <c r="L86" s="2" t="s">
        <v>73</v>
      </c>
      <c r="M86" s="4">
        <v>3.8</v>
      </c>
      <c r="N86" s="5">
        <v>223</v>
      </c>
      <c r="O86" s="3">
        <v>45813</v>
      </c>
      <c r="P86" s="2" t="s">
        <v>28</v>
      </c>
      <c r="Q86" s="2" t="s">
        <v>29</v>
      </c>
      <c r="R86" s="2" t="s">
        <v>66</v>
      </c>
      <c r="S86" s="2" t="s">
        <v>67</v>
      </c>
      <c r="T86" s="2" t="s">
        <v>32</v>
      </c>
    </row>
    <row r="87" spans="1:20" ht="12.5" x14ac:dyDescent="0.25">
      <c r="A87" s="2" t="s">
        <v>419</v>
      </c>
      <c r="B87" s="2" t="s">
        <v>420</v>
      </c>
      <c r="C87" s="2" t="s">
        <v>421</v>
      </c>
      <c r="D87" s="2" t="s">
        <v>422</v>
      </c>
      <c r="E87" s="2" t="s">
        <v>147</v>
      </c>
      <c r="F87" s="2" t="s">
        <v>148</v>
      </c>
      <c r="G87" s="5">
        <v>2461</v>
      </c>
      <c r="H87" s="5">
        <v>35</v>
      </c>
      <c r="I87" s="5">
        <v>1600</v>
      </c>
      <c r="J87" s="5">
        <v>3</v>
      </c>
      <c r="K87" s="2" t="s">
        <v>226</v>
      </c>
      <c r="L87" s="2" t="s">
        <v>27</v>
      </c>
      <c r="M87" s="4">
        <v>4.2</v>
      </c>
      <c r="N87" s="5">
        <v>286</v>
      </c>
      <c r="O87" s="3">
        <v>45770</v>
      </c>
      <c r="P87" s="2" t="s">
        <v>57</v>
      </c>
      <c r="Q87" s="2" t="s">
        <v>65</v>
      </c>
      <c r="R87" s="2" t="s">
        <v>66</v>
      </c>
      <c r="S87" s="2" t="s">
        <v>67</v>
      </c>
      <c r="T87" s="2" t="s">
        <v>32</v>
      </c>
    </row>
    <row r="88" spans="1:20" ht="12.5" x14ac:dyDescent="0.25">
      <c r="A88" s="2" t="s">
        <v>423</v>
      </c>
      <c r="B88" s="2" t="s">
        <v>424</v>
      </c>
      <c r="C88" s="2" t="s">
        <v>425</v>
      </c>
      <c r="D88" s="2" t="s">
        <v>426</v>
      </c>
      <c r="E88" s="2" t="s">
        <v>55</v>
      </c>
      <c r="F88" s="2" t="s">
        <v>38</v>
      </c>
      <c r="G88" s="5">
        <v>1745</v>
      </c>
      <c r="H88" s="5">
        <v>35</v>
      </c>
      <c r="I88" s="5">
        <v>1135</v>
      </c>
      <c r="J88" s="5">
        <v>3</v>
      </c>
      <c r="K88" s="2">
        <v>42</v>
      </c>
      <c r="L88" s="2" t="s">
        <v>27</v>
      </c>
      <c r="M88" s="4">
        <v>4.8</v>
      </c>
      <c r="N88" s="5">
        <v>93</v>
      </c>
      <c r="O88" s="3">
        <v>45786</v>
      </c>
      <c r="P88" s="2" t="s">
        <v>28</v>
      </c>
      <c r="Q88" s="2" t="s">
        <v>78</v>
      </c>
      <c r="R88" s="2" t="s">
        <v>149</v>
      </c>
      <c r="S88" s="2" t="s">
        <v>150</v>
      </c>
      <c r="T88" s="2" t="s">
        <v>32</v>
      </c>
    </row>
    <row r="89" spans="1:20" ht="12.5" x14ac:dyDescent="0.25">
      <c r="A89" s="2" t="s">
        <v>427</v>
      </c>
      <c r="B89" s="2" t="s">
        <v>428</v>
      </c>
      <c r="C89" s="2" t="s">
        <v>429</v>
      </c>
      <c r="D89" s="2" t="s">
        <v>430</v>
      </c>
      <c r="E89" s="2" t="s">
        <v>132</v>
      </c>
      <c r="F89" s="2" t="s">
        <v>38</v>
      </c>
      <c r="G89" s="5">
        <v>2830</v>
      </c>
      <c r="H89" s="5">
        <v>20</v>
      </c>
      <c r="I89" s="5">
        <v>2264</v>
      </c>
      <c r="J89" s="5">
        <v>2</v>
      </c>
      <c r="K89" s="2" t="s">
        <v>72</v>
      </c>
      <c r="L89" s="2" t="s">
        <v>73</v>
      </c>
      <c r="M89" s="4">
        <v>5</v>
      </c>
      <c r="N89" s="5">
        <v>269</v>
      </c>
      <c r="O89" s="3">
        <v>45807</v>
      </c>
      <c r="P89" s="2" t="s">
        <v>40</v>
      </c>
      <c r="Q89" s="2" t="s">
        <v>29</v>
      </c>
      <c r="R89" s="2" t="s">
        <v>149</v>
      </c>
      <c r="S89" s="2" t="s">
        <v>150</v>
      </c>
      <c r="T89" s="2" t="s">
        <v>134</v>
      </c>
    </row>
    <row r="90" spans="1:20" ht="12.5" x14ac:dyDescent="0.25">
      <c r="A90" s="2" t="s">
        <v>431</v>
      </c>
      <c r="B90" s="2" t="s">
        <v>432</v>
      </c>
      <c r="C90" s="2" t="s">
        <v>433</v>
      </c>
      <c r="D90" s="2" t="s">
        <v>434</v>
      </c>
      <c r="E90" s="2" t="s">
        <v>116</v>
      </c>
      <c r="F90" s="2" t="s">
        <v>117</v>
      </c>
      <c r="G90" s="5">
        <v>1090</v>
      </c>
      <c r="H90" s="5">
        <v>40</v>
      </c>
      <c r="I90" s="5">
        <v>654</v>
      </c>
      <c r="J90" s="5">
        <v>3</v>
      </c>
      <c r="K90" s="2">
        <v>40</v>
      </c>
      <c r="L90" s="2" t="s">
        <v>88</v>
      </c>
      <c r="M90" s="4">
        <v>3.7</v>
      </c>
      <c r="N90" s="5">
        <v>19</v>
      </c>
      <c r="O90" s="3">
        <v>45830</v>
      </c>
      <c r="P90" s="2" t="s">
        <v>40</v>
      </c>
      <c r="Q90" s="2" t="s">
        <v>29</v>
      </c>
      <c r="R90" s="2" t="s">
        <v>104</v>
      </c>
      <c r="S90" s="2" t="s">
        <v>105</v>
      </c>
      <c r="T90" s="2" t="s">
        <v>32</v>
      </c>
    </row>
    <row r="91" spans="1:20" ht="12.5" x14ac:dyDescent="0.25">
      <c r="A91" s="2" t="s">
        <v>435</v>
      </c>
      <c r="B91" s="2" t="s">
        <v>436</v>
      </c>
      <c r="C91" s="2" t="s">
        <v>437</v>
      </c>
      <c r="D91" s="2" t="s">
        <v>438</v>
      </c>
      <c r="E91" s="2" t="s">
        <v>48</v>
      </c>
      <c r="F91" s="2" t="s">
        <v>25</v>
      </c>
      <c r="G91" s="5">
        <v>2775</v>
      </c>
      <c r="H91" s="5">
        <v>40</v>
      </c>
      <c r="I91" s="5">
        <v>1665</v>
      </c>
      <c r="J91" s="5">
        <v>1</v>
      </c>
      <c r="K91" s="2" t="s">
        <v>56</v>
      </c>
      <c r="L91" s="2" t="s">
        <v>27</v>
      </c>
      <c r="M91" s="4">
        <v>4.8</v>
      </c>
      <c r="N91" s="5">
        <v>46</v>
      </c>
      <c r="O91" s="3">
        <v>45825</v>
      </c>
      <c r="P91" s="2" t="s">
        <v>57</v>
      </c>
      <c r="Q91" s="2" t="s">
        <v>65</v>
      </c>
      <c r="R91" s="2" t="s">
        <v>149</v>
      </c>
      <c r="S91" s="2" t="s">
        <v>150</v>
      </c>
      <c r="T91" s="2" t="s">
        <v>32</v>
      </c>
    </row>
    <row r="92" spans="1:20" ht="12.5" x14ac:dyDescent="0.25">
      <c r="A92" s="2" t="s">
        <v>439</v>
      </c>
      <c r="B92" s="2" t="s">
        <v>440</v>
      </c>
      <c r="C92" s="2" t="s">
        <v>441</v>
      </c>
      <c r="D92" s="2" t="s">
        <v>442</v>
      </c>
      <c r="E92" s="2" t="s">
        <v>116</v>
      </c>
      <c r="F92" s="2" t="s">
        <v>117</v>
      </c>
      <c r="G92" s="5">
        <v>2726</v>
      </c>
      <c r="H92" s="5">
        <v>25</v>
      </c>
      <c r="I92" s="5">
        <v>2045</v>
      </c>
      <c r="J92" s="5">
        <v>3</v>
      </c>
      <c r="K92" s="2" t="s">
        <v>226</v>
      </c>
      <c r="L92" s="2" t="s">
        <v>168</v>
      </c>
      <c r="M92" s="4">
        <v>4.9000000000000004</v>
      </c>
      <c r="N92" s="5">
        <v>119</v>
      </c>
      <c r="O92" s="3">
        <v>45784</v>
      </c>
      <c r="P92" s="2" t="s">
        <v>40</v>
      </c>
      <c r="Q92" s="2" t="s">
        <v>78</v>
      </c>
      <c r="R92" s="2" t="s">
        <v>89</v>
      </c>
      <c r="S92" s="2" t="s">
        <v>90</v>
      </c>
      <c r="T92" s="2" t="s">
        <v>32</v>
      </c>
    </row>
    <row r="93" spans="1:20" ht="12.5" x14ac:dyDescent="0.25">
      <c r="A93" s="2" t="s">
        <v>443</v>
      </c>
      <c r="B93" s="2" t="s">
        <v>444</v>
      </c>
      <c r="C93" s="2" t="s">
        <v>445</v>
      </c>
      <c r="D93" s="2" t="s">
        <v>446</v>
      </c>
      <c r="E93" s="2" t="s">
        <v>147</v>
      </c>
      <c r="F93" s="2" t="s">
        <v>148</v>
      </c>
      <c r="G93" s="5">
        <v>4594</v>
      </c>
      <c r="H93" s="5">
        <v>20</v>
      </c>
      <c r="I93" s="5">
        <v>3676</v>
      </c>
      <c r="J93" s="5">
        <v>3</v>
      </c>
      <c r="K93" s="2">
        <v>42</v>
      </c>
      <c r="L93" s="2" t="s">
        <v>27</v>
      </c>
      <c r="M93" s="4">
        <v>4.8</v>
      </c>
      <c r="N93" s="5">
        <v>188</v>
      </c>
      <c r="O93" s="3">
        <v>45828</v>
      </c>
      <c r="P93" s="2" t="s">
        <v>40</v>
      </c>
      <c r="Q93" s="2" t="s">
        <v>29</v>
      </c>
      <c r="R93" s="2" t="s">
        <v>30</v>
      </c>
      <c r="S93" s="2" t="s">
        <v>31</v>
      </c>
      <c r="T93" s="2" t="s">
        <v>134</v>
      </c>
    </row>
    <row r="94" spans="1:20" ht="12.5" x14ac:dyDescent="0.25">
      <c r="A94" s="2" t="s">
        <v>447</v>
      </c>
      <c r="B94" s="2" t="s">
        <v>448</v>
      </c>
      <c r="C94" s="2" t="s">
        <v>449</v>
      </c>
      <c r="D94" s="2" t="s">
        <v>450</v>
      </c>
      <c r="E94" s="2" t="s">
        <v>147</v>
      </c>
      <c r="F94" s="2" t="s">
        <v>148</v>
      </c>
      <c r="G94" s="5">
        <v>4405</v>
      </c>
      <c r="H94" s="5">
        <v>20</v>
      </c>
      <c r="I94" s="5">
        <v>3524</v>
      </c>
      <c r="J94" s="5">
        <v>2</v>
      </c>
      <c r="K94" s="2" t="s">
        <v>226</v>
      </c>
      <c r="L94" s="2" t="s">
        <v>88</v>
      </c>
      <c r="M94" s="4">
        <v>3.7</v>
      </c>
      <c r="N94" s="5">
        <v>91</v>
      </c>
      <c r="O94" s="3">
        <v>45804</v>
      </c>
      <c r="P94" s="2" t="s">
        <v>40</v>
      </c>
      <c r="Q94" s="2" t="s">
        <v>29</v>
      </c>
      <c r="R94" s="2" t="s">
        <v>66</v>
      </c>
      <c r="S94" s="2" t="s">
        <v>67</v>
      </c>
      <c r="T94" s="2" t="s">
        <v>43</v>
      </c>
    </row>
    <row r="95" spans="1:20" ht="12.5" x14ac:dyDescent="0.25">
      <c r="A95" s="2" t="s">
        <v>451</v>
      </c>
      <c r="B95" s="2" t="s">
        <v>452</v>
      </c>
      <c r="C95" s="2" t="s">
        <v>453</v>
      </c>
      <c r="D95" s="2" t="s">
        <v>454</v>
      </c>
      <c r="E95" s="2" t="s">
        <v>122</v>
      </c>
      <c r="F95" s="2" t="s">
        <v>123</v>
      </c>
      <c r="G95" s="5">
        <v>3280</v>
      </c>
      <c r="H95" s="5">
        <v>35</v>
      </c>
      <c r="I95" s="5">
        <v>2132</v>
      </c>
      <c r="J95" s="5">
        <v>3</v>
      </c>
      <c r="K95" s="2" t="s">
        <v>72</v>
      </c>
      <c r="L95" s="2" t="s">
        <v>73</v>
      </c>
      <c r="M95" s="4">
        <v>4</v>
      </c>
      <c r="N95" s="5">
        <v>142</v>
      </c>
      <c r="O95" s="3">
        <v>45790</v>
      </c>
      <c r="P95" s="2" t="s">
        <v>40</v>
      </c>
      <c r="Q95" s="2" t="s">
        <v>65</v>
      </c>
      <c r="R95" s="2" t="s">
        <v>104</v>
      </c>
      <c r="S95" s="2" t="s">
        <v>105</v>
      </c>
      <c r="T95" s="2" t="s">
        <v>50</v>
      </c>
    </row>
    <row r="96" spans="1:20" ht="12.5" x14ac:dyDescent="0.25">
      <c r="A96" s="2" t="s">
        <v>455</v>
      </c>
      <c r="B96" s="2" t="s">
        <v>456</v>
      </c>
      <c r="C96" s="2" t="s">
        <v>457</v>
      </c>
      <c r="D96" s="2" t="s">
        <v>458</v>
      </c>
      <c r="E96" s="2" t="s">
        <v>247</v>
      </c>
      <c r="F96" s="2" t="s">
        <v>248</v>
      </c>
      <c r="G96" s="5">
        <v>1195</v>
      </c>
      <c r="H96" s="5">
        <v>30</v>
      </c>
      <c r="I96" s="5">
        <v>837</v>
      </c>
      <c r="J96" s="5">
        <v>3</v>
      </c>
      <c r="K96" s="2" t="s">
        <v>72</v>
      </c>
      <c r="L96" s="2" t="s">
        <v>39</v>
      </c>
      <c r="M96" s="4">
        <v>4.3</v>
      </c>
      <c r="N96" s="5">
        <v>238</v>
      </c>
      <c r="O96" s="3">
        <v>45853</v>
      </c>
      <c r="P96" s="2" t="s">
        <v>28</v>
      </c>
      <c r="Q96" s="2" t="s">
        <v>65</v>
      </c>
      <c r="R96" s="2" t="s">
        <v>30</v>
      </c>
      <c r="S96" s="2" t="s">
        <v>31</v>
      </c>
      <c r="T96" s="2" t="s">
        <v>32</v>
      </c>
    </row>
    <row r="97" spans="1:20" ht="12.5" x14ac:dyDescent="0.25">
      <c r="A97" s="2" t="s">
        <v>459</v>
      </c>
      <c r="B97" s="2" t="s">
        <v>460</v>
      </c>
      <c r="C97" s="2" t="s">
        <v>461</v>
      </c>
      <c r="D97" s="2" t="s">
        <v>462</v>
      </c>
      <c r="E97" s="2" t="s">
        <v>55</v>
      </c>
      <c r="F97" s="2" t="s">
        <v>38</v>
      </c>
      <c r="G97" s="5">
        <v>4462</v>
      </c>
      <c r="H97" s="5">
        <v>10</v>
      </c>
      <c r="I97" s="5">
        <v>4016</v>
      </c>
      <c r="J97" s="5">
        <v>1</v>
      </c>
      <c r="K97" s="2" t="s">
        <v>72</v>
      </c>
      <c r="L97" s="2" t="s">
        <v>73</v>
      </c>
      <c r="M97" s="4">
        <v>4</v>
      </c>
      <c r="N97" s="5">
        <v>50</v>
      </c>
      <c r="O97" s="3">
        <v>45774</v>
      </c>
      <c r="P97" s="2" t="s">
        <v>28</v>
      </c>
      <c r="Q97" s="2" t="s">
        <v>78</v>
      </c>
      <c r="R97" s="2" t="s">
        <v>83</v>
      </c>
      <c r="S97" s="2" t="s">
        <v>83</v>
      </c>
      <c r="T97" s="2" t="s">
        <v>32</v>
      </c>
    </row>
    <row r="98" spans="1:20" ht="12.5" x14ac:dyDescent="0.25">
      <c r="A98" s="2" t="s">
        <v>463</v>
      </c>
      <c r="B98" s="2" t="s">
        <v>464</v>
      </c>
      <c r="C98" s="2" t="s">
        <v>465</v>
      </c>
      <c r="D98" s="2" t="s">
        <v>466</v>
      </c>
      <c r="E98" s="2" t="s">
        <v>48</v>
      </c>
      <c r="F98" s="2" t="s">
        <v>25</v>
      </c>
      <c r="G98" s="5">
        <v>1988</v>
      </c>
      <c r="H98" s="5">
        <v>10</v>
      </c>
      <c r="I98" s="5">
        <v>1790</v>
      </c>
      <c r="J98" s="5">
        <v>2</v>
      </c>
      <c r="K98" s="2">
        <v>40</v>
      </c>
      <c r="L98" s="2" t="s">
        <v>168</v>
      </c>
      <c r="M98" s="4">
        <v>3.6</v>
      </c>
      <c r="N98" s="5">
        <v>172</v>
      </c>
      <c r="O98" s="3">
        <v>45806</v>
      </c>
      <c r="P98" s="2" t="s">
        <v>57</v>
      </c>
      <c r="Q98" s="2" t="s">
        <v>78</v>
      </c>
      <c r="R98" s="2" t="s">
        <v>110</v>
      </c>
      <c r="S98" s="2" t="s">
        <v>111</v>
      </c>
      <c r="T98" s="2" t="s">
        <v>32</v>
      </c>
    </row>
    <row r="99" spans="1:20" ht="12.5" x14ac:dyDescent="0.25">
      <c r="A99" s="2" t="s">
        <v>467</v>
      </c>
      <c r="B99" s="2" t="s">
        <v>468</v>
      </c>
      <c r="C99" s="2" t="s">
        <v>469</v>
      </c>
      <c r="D99" s="2" t="s">
        <v>470</v>
      </c>
      <c r="E99" s="2" t="s">
        <v>116</v>
      </c>
      <c r="F99" s="2" t="s">
        <v>117</v>
      </c>
      <c r="G99" s="5">
        <v>3716</v>
      </c>
      <c r="H99" s="5">
        <v>40</v>
      </c>
      <c r="I99" s="5">
        <v>2230</v>
      </c>
      <c r="J99" s="5">
        <v>2</v>
      </c>
      <c r="K99" s="2">
        <v>40</v>
      </c>
      <c r="L99" s="2" t="s">
        <v>49</v>
      </c>
      <c r="M99" s="4">
        <v>4.9000000000000004</v>
      </c>
      <c r="N99" s="5">
        <v>174</v>
      </c>
      <c r="O99" s="3">
        <v>45784</v>
      </c>
      <c r="P99" s="2" t="s">
        <v>57</v>
      </c>
      <c r="Q99" s="2" t="s">
        <v>29</v>
      </c>
      <c r="R99" s="2" t="s">
        <v>149</v>
      </c>
      <c r="S99" s="2" t="s">
        <v>150</v>
      </c>
      <c r="T99" s="2" t="s">
        <v>32</v>
      </c>
    </row>
    <row r="100" spans="1:20" ht="12.5" x14ac:dyDescent="0.25">
      <c r="A100" s="2" t="s">
        <v>471</v>
      </c>
      <c r="B100" s="2" t="s">
        <v>472</v>
      </c>
      <c r="C100" s="2" t="s">
        <v>473</v>
      </c>
      <c r="D100" s="2" t="s">
        <v>474</v>
      </c>
      <c r="E100" s="2" t="s">
        <v>247</v>
      </c>
      <c r="F100" s="2" t="s">
        <v>248</v>
      </c>
      <c r="G100" s="5">
        <v>2796</v>
      </c>
      <c r="H100" s="5">
        <v>20</v>
      </c>
      <c r="I100" s="5">
        <v>2237</v>
      </c>
      <c r="J100" s="5">
        <v>3</v>
      </c>
      <c r="K100" s="2" t="s">
        <v>226</v>
      </c>
      <c r="L100" s="2" t="s">
        <v>39</v>
      </c>
      <c r="M100" s="4">
        <v>4.2</v>
      </c>
      <c r="N100" s="5">
        <v>128</v>
      </c>
      <c r="O100" s="3">
        <v>45843</v>
      </c>
      <c r="P100" s="2" t="s">
        <v>40</v>
      </c>
      <c r="Q100" s="2" t="s">
        <v>65</v>
      </c>
      <c r="R100" s="2" t="s">
        <v>30</v>
      </c>
      <c r="S100" s="2" t="s">
        <v>31</v>
      </c>
      <c r="T100" s="2" t="s">
        <v>203</v>
      </c>
    </row>
    <row r="101" spans="1:20" ht="12.5" x14ac:dyDescent="0.25">
      <c r="A101" s="2" t="s">
        <v>475</v>
      </c>
      <c r="B101" s="2" t="s">
        <v>34</v>
      </c>
      <c r="C101" s="2" t="s">
        <v>476</v>
      </c>
      <c r="D101" s="2" t="s">
        <v>477</v>
      </c>
      <c r="E101" s="2" t="s">
        <v>48</v>
      </c>
      <c r="F101" s="2" t="s">
        <v>25</v>
      </c>
      <c r="G101" s="5">
        <v>2687</v>
      </c>
      <c r="H101" s="5">
        <v>25</v>
      </c>
      <c r="I101" s="5">
        <v>2016</v>
      </c>
      <c r="J101" s="5">
        <v>2</v>
      </c>
      <c r="K101" s="2" t="s">
        <v>26</v>
      </c>
      <c r="L101" s="2" t="s">
        <v>168</v>
      </c>
      <c r="M101" s="4">
        <v>4.7</v>
      </c>
      <c r="N101" s="5">
        <v>219</v>
      </c>
      <c r="O101" s="3">
        <v>45781</v>
      </c>
      <c r="P101" s="2" t="s">
        <v>28</v>
      </c>
      <c r="Q101" s="2" t="s">
        <v>78</v>
      </c>
      <c r="R101" s="2" t="s">
        <v>58</v>
      </c>
      <c r="S101" s="2" t="s">
        <v>59</v>
      </c>
      <c r="T101" s="2" t="s">
        <v>32</v>
      </c>
    </row>
    <row r="102" spans="1:20" ht="12.5" x14ac:dyDescent="0.25">
      <c r="A102" s="2" t="s">
        <v>478</v>
      </c>
      <c r="B102" s="2" t="s">
        <v>479</v>
      </c>
      <c r="C102" s="2" t="s">
        <v>480</v>
      </c>
      <c r="D102" s="2" t="s">
        <v>481</v>
      </c>
      <c r="E102" s="2" t="s">
        <v>37</v>
      </c>
      <c r="F102" s="2" t="s">
        <v>38</v>
      </c>
      <c r="G102" s="5">
        <v>1776</v>
      </c>
      <c r="H102" s="5">
        <v>40</v>
      </c>
      <c r="I102" s="5">
        <v>1066</v>
      </c>
      <c r="J102" s="5">
        <v>1</v>
      </c>
      <c r="K102" s="2">
        <v>40</v>
      </c>
      <c r="L102" s="2" t="s">
        <v>73</v>
      </c>
      <c r="M102" s="4">
        <v>3.9</v>
      </c>
      <c r="N102" s="5">
        <v>71</v>
      </c>
      <c r="O102" s="3">
        <v>45847</v>
      </c>
      <c r="P102" s="2" t="s">
        <v>40</v>
      </c>
      <c r="Q102" s="2" t="s">
        <v>29</v>
      </c>
      <c r="R102" s="2" t="s">
        <v>30</v>
      </c>
      <c r="S102" s="2" t="s">
        <v>31</v>
      </c>
      <c r="T102" s="2" t="s">
        <v>203</v>
      </c>
    </row>
    <row r="103" spans="1:20" ht="12.5" x14ac:dyDescent="0.25">
      <c r="A103" s="2" t="s">
        <v>482</v>
      </c>
      <c r="B103" s="2" t="s">
        <v>483</v>
      </c>
      <c r="C103" s="2" t="s">
        <v>484</v>
      </c>
      <c r="D103" s="2" t="s">
        <v>485</v>
      </c>
      <c r="E103" s="2" t="s">
        <v>37</v>
      </c>
      <c r="F103" s="2" t="s">
        <v>38</v>
      </c>
      <c r="G103" s="5">
        <v>2910</v>
      </c>
      <c r="H103" s="5">
        <v>20</v>
      </c>
      <c r="I103" s="5">
        <v>2328</v>
      </c>
      <c r="J103" s="5">
        <v>3</v>
      </c>
      <c r="K103" s="2" t="s">
        <v>32</v>
      </c>
      <c r="L103" s="2" t="s">
        <v>39</v>
      </c>
      <c r="M103" s="4">
        <v>4.5999999999999996</v>
      </c>
      <c r="N103" s="5">
        <v>52</v>
      </c>
      <c r="O103" s="3">
        <v>45795</v>
      </c>
      <c r="P103" s="2" t="s">
        <v>40</v>
      </c>
      <c r="Q103" s="2" t="s">
        <v>29</v>
      </c>
      <c r="R103" s="2" t="s">
        <v>58</v>
      </c>
      <c r="S103" s="2" t="s">
        <v>59</v>
      </c>
      <c r="T103" s="2" t="s">
        <v>32</v>
      </c>
    </row>
    <row r="104" spans="1:20" ht="12.5" x14ac:dyDescent="0.25">
      <c r="A104" s="2" t="s">
        <v>486</v>
      </c>
      <c r="B104" s="2" t="s">
        <v>487</v>
      </c>
      <c r="C104" s="2" t="s">
        <v>488</v>
      </c>
      <c r="D104" s="2" t="s">
        <v>489</v>
      </c>
      <c r="E104" s="2" t="s">
        <v>247</v>
      </c>
      <c r="F104" s="2" t="s">
        <v>248</v>
      </c>
      <c r="G104" s="5">
        <v>3446</v>
      </c>
      <c r="H104" s="5">
        <v>10</v>
      </c>
      <c r="I104" s="5">
        <v>3102</v>
      </c>
      <c r="J104" s="5">
        <v>3</v>
      </c>
      <c r="K104" s="2">
        <v>40</v>
      </c>
      <c r="L104" s="2" t="s">
        <v>49</v>
      </c>
      <c r="M104" s="4">
        <v>4.2</v>
      </c>
      <c r="N104" s="5">
        <v>211</v>
      </c>
      <c r="O104" s="3">
        <v>45782</v>
      </c>
      <c r="P104" s="2" t="s">
        <v>28</v>
      </c>
      <c r="Q104" s="2" t="s">
        <v>65</v>
      </c>
      <c r="R104" s="2" t="s">
        <v>41</v>
      </c>
      <c r="S104" s="2" t="s">
        <v>42</v>
      </c>
      <c r="T104" s="2" t="s">
        <v>32</v>
      </c>
    </row>
    <row r="105" spans="1:20" ht="12.5" x14ac:dyDescent="0.25">
      <c r="A105" s="2" t="s">
        <v>490</v>
      </c>
      <c r="B105" s="2" t="s">
        <v>491</v>
      </c>
      <c r="C105" s="2" t="s">
        <v>492</v>
      </c>
      <c r="D105" s="2" t="s">
        <v>493</v>
      </c>
      <c r="E105" s="2" t="s">
        <v>55</v>
      </c>
      <c r="F105" s="2" t="s">
        <v>38</v>
      </c>
      <c r="G105" s="5">
        <v>633</v>
      </c>
      <c r="H105" s="5">
        <v>40</v>
      </c>
      <c r="I105" s="5">
        <v>380</v>
      </c>
      <c r="J105" s="5">
        <v>3</v>
      </c>
      <c r="K105" s="2" t="s">
        <v>32</v>
      </c>
      <c r="L105" s="2" t="s">
        <v>64</v>
      </c>
      <c r="M105" s="4">
        <v>4.8</v>
      </c>
      <c r="N105" s="5">
        <v>135</v>
      </c>
      <c r="O105" s="3">
        <v>45777</v>
      </c>
      <c r="P105" s="2" t="s">
        <v>40</v>
      </c>
      <c r="Q105" s="2" t="s">
        <v>65</v>
      </c>
      <c r="R105" s="2" t="s">
        <v>66</v>
      </c>
      <c r="S105" s="2" t="s">
        <v>67</v>
      </c>
      <c r="T105" s="2" t="s">
        <v>134</v>
      </c>
    </row>
    <row r="106" spans="1:20" ht="12.5" x14ac:dyDescent="0.25">
      <c r="A106" s="2" t="s">
        <v>494</v>
      </c>
      <c r="B106" s="2" t="s">
        <v>495</v>
      </c>
      <c r="C106" s="2" t="s">
        <v>496</v>
      </c>
      <c r="D106" s="2" t="s">
        <v>497</v>
      </c>
      <c r="E106" s="2" t="s">
        <v>147</v>
      </c>
      <c r="F106" s="2" t="s">
        <v>148</v>
      </c>
      <c r="G106" s="5">
        <v>1424</v>
      </c>
      <c r="H106" s="5">
        <v>20</v>
      </c>
      <c r="I106" s="5">
        <v>1140</v>
      </c>
      <c r="J106" s="5">
        <v>3</v>
      </c>
      <c r="K106" s="2" t="s">
        <v>163</v>
      </c>
      <c r="L106" s="2" t="s">
        <v>209</v>
      </c>
      <c r="M106" s="4">
        <v>3.6</v>
      </c>
      <c r="N106" s="5">
        <v>297</v>
      </c>
      <c r="O106" s="3">
        <v>45838</v>
      </c>
      <c r="P106" s="2" t="s">
        <v>57</v>
      </c>
      <c r="Q106" s="2" t="s">
        <v>65</v>
      </c>
      <c r="R106" s="2" t="s">
        <v>104</v>
      </c>
      <c r="S106" s="2" t="s">
        <v>105</v>
      </c>
      <c r="T106" s="2" t="s">
        <v>32</v>
      </c>
    </row>
    <row r="107" spans="1:20" ht="12.5" x14ac:dyDescent="0.25">
      <c r="A107" s="2" t="s">
        <v>498</v>
      </c>
      <c r="B107" s="2" t="s">
        <v>499</v>
      </c>
      <c r="C107" s="2" t="s">
        <v>500</v>
      </c>
      <c r="D107" s="2" t="s">
        <v>501</v>
      </c>
      <c r="E107" s="2" t="s">
        <v>132</v>
      </c>
      <c r="F107" s="2" t="s">
        <v>38</v>
      </c>
      <c r="G107" s="5">
        <v>1997</v>
      </c>
      <c r="H107" s="5">
        <v>10</v>
      </c>
      <c r="I107" s="5">
        <v>1798</v>
      </c>
      <c r="J107" s="5">
        <v>3</v>
      </c>
      <c r="K107" s="2" t="s">
        <v>32</v>
      </c>
      <c r="L107" s="2" t="s">
        <v>133</v>
      </c>
      <c r="M107" s="4">
        <v>3.9</v>
      </c>
      <c r="N107" s="5">
        <v>207</v>
      </c>
      <c r="O107" s="3">
        <v>45842</v>
      </c>
      <c r="P107" s="2" t="s">
        <v>28</v>
      </c>
      <c r="Q107" s="2" t="s">
        <v>65</v>
      </c>
      <c r="R107" s="2" t="s">
        <v>41</v>
      </c>
      <c r="S107" s="2" t="s">
        <v>42</v>
      </c>
      <c r="T107" s="2" t="s">
        <v>32</v>
      </c>
    </row>
    <row r="108" spans="1:20" ht="12.5" x14ac:dyDescent="0.25">
      <c r="A108" s="2" t="s">
        <v>502</v>
      </c>
      <c r="B108" s="2" t="s">
        <v>503</v>
      </c>
      <c r="C108" s="2" t="s">
        <v>504</v>
      </c>
      <c r="D108" s="2" t="s">
        <v>505</v>
      </c>
      <c r="E108" s="2" t="s">
        <v>24</v>
      </c>
      <c r="F108" s="2" t="s">
        <v>25</v>
      </c>
      <c r="G108" s="5">
        <v>2585</v>
      </c>
      <c r="H108" s="5">
        <v>35</v>
      </c>
      <c r="I108" s="5">
        <v>1681</v>
      </c>
      <c r="J108" s="5">
        <v>3</v>
      </c>
      <c r="K108" s="2">
        <v>44</v>
      </c>
      <c r="L108" s="2" t="s">
        <v>103</v>
      </c>
      <c r="M108" s="4">
        <v>4.8</v>
      </c>
      <c r="N108" s="5">
        <v>153</v>
      </c>
      <c r="O108" s="3">
        <v>45769</v>
      </c>
      <c r="P108" s="2" t="s">
        <v>28</v>
      </c>
      <c r="Q108" s="2" t="s">
        <v>65</v>
      </c>
      <c r="R108" s="2" t="s">
        <v>58</v>
      </c>
      <c r="S108" s="2" t="s">
        <v>59</v>
      </c>
      <c r="T108" s="2" t="s">
        <v>32</v>
      </c>
    </row>
    <row r="109" spans="1:20" ht="12.5" x14ac:dyDescent="0.25">
      <c r="A109" s="2" t="s">
        <v>506</v>
      </c>
      <c r="B109" s="2" t="s">
        <v>507</v>
      </c>
      <c r="C109" s="2" t="s">
        <v>508</v>
      </c>
      <c r="D109" s="2" t="s">
        <v>509</v>
      </c>
      <c r="E109" s="2" t="s">
        <v>37</v>
      </c>
      <c r="F109" s="2" t="s">
        <v>38</v>
      </c>
      <c r="G109" s="5">
        <v>2116</v>
      </c>
      <c r="H109" s="5">
        <v>10</v>
      </c>
      <c r="I109" s="5">
        <v>1905</v>
      </c>
      <c r="J109" s="5">
        <v>2</v>
      </c>
      <c r="K109" s="2" t="s">
        <v>56</v>
      </c>
      <c r="L109" s="2" t="s">
        <v>88</v>
      </c>
      <c r="M109" s="4">
        <v>4.5</v>
      </c>
      <c r="N109" s="5">
        <v>215</v>
      </c>
      <c r="O109" s="3">
        <v>45802</v>
      </c>
      <c r="P109" s="2" t="s">
        <v>40</v>
      </c>
      <c r="Q109" s="2" t="s">
        <v>29</v>
      </c>
      <c r="R109" s="2" t="s">
        <v>30</v>
      </c>
      <c r="S109" s="2" t="s">
        <v>31</v>
      </c>
      <c r="T109" s="2" t="s">
        <v>43</v>
      </c>
    </row>
    <row r="110" spans="1:20" ht="12.5" x14ac:dyDescent="0.25">
      <c r="A110" s="2" t="s">
        <v>510</v>
      </c>
      <c r="B110" s="2" t="s">
        <v>178</v>
      </c>
      <c r="C110" s="2" t="s">
        <v>511</v>
      </c>
      <c r="D110" s="2" t="s">
        <v>512</v>
      </c>
      <c r="E110" s="2" t="s">
        <v>48</v>
      </c>
      <c r="F110" s="2" t="s">
        <v>25</v>
      </c>
      <c r="G110" s="5">
        <v>2890</v>
      </c>
      <c r="H110" s="5">
        <v>35</v>
      </c>
      <c r="I110" s="5">
        <v>1879</v>
      </c>
      <c r="J110" s="5">
        <v>2</v>
      </c>
      <c r="K110" s="2" t="s">
        <v>56</v>
      </c>
      <c r="L110" s="2" t="s">
        <v>88</v>
      </c>
      <c r="M110" s="4">
        <v>4.7</v>
      </c>
      <c r="N110" s="5">
        <v>65</v>
      </c>
      <c r="O110" s="3">
        <v>45772</v>
      </c>
      <c r="P110" s="2" t="s">
        <v>40</v>
      </c>
      <c r="Q110" s="2" t="s">
        <v>78</v>
      </c>
      <c r="R110" s="2" t="s">
        <v>83</v>
      </c>
      <c r="S110" s="2" t="s">
        <v>83</v>
      </c>
      <c r="T110" s="2" t="s">
        <v>43</v>
      </c>
    </row>
    <row r="111" spans="1:20" ht="12.5" x14ac:dyDescent="0.25">
      <c r="A111" s="2" t="s">
        <v>513</v>
      </c>
      <c r="B111" s="2" t="s">
        <v>514</v>
      </c>
      <c r="C111" s="2" t="s">
        <v>515</v>
      </c>
      <c r="D111" s="2" t="s">
        <v>516</v>
      </c>
      <c r="E111" s="2" t="s">
        <v>247</v>
      </c>
      <c r="F111" s="2" t="s">
        <v>248</v>
      </c>
      <c r="G111" s="5">
        <v>4592</v>
      </c>
      <c r="H111" s="5">
        <v>35</v>
      </c>
      <c r="I111" s="5">
        <v>2985</v>
      </c>
      <c r="J111" s="5">
        <v>2</v>
      </c>
      <c r="K111" s="2" t="s">
        <v>261</v>
      </c>
      <c r="L111" s="2" t="s">
        <v>103</v>
      </c>
      <c r="M111" s="4">
        <v>4.2</v>
      </c>
      <c r="N111" s="5">
        <v>264</v>
      </c>
      <c r="O111" s="3">
        <v>45845</v>
      </c>
      <c r="P111" s="2" t="s">
        <v>57</v>
      </c>
      <c r="Q111" s="2" t="s">
        <v>65</v>
      </c>
      <c r="R111" s="2" t="s">
        <v>41</v>
      </c>
      <c r="S111" s="2" t="s">
        <v>42</v>
      </c>
      <c r="T111" s="2" t="s">
        <v>32</v>
      </c>
    </row>
    <row r="112" spans="1:20" ht="12.5" x14ac:dyDescent="0.25">
      <c r="A112" s="2" t="s">
        <v>517</v>
      </c>
      <c r="B112" s="2" t="s">
        <v>518</v>
      </c>
      <c r="C112" s="2" t="s">
        <v>519</v>
      </c>
      <c r="D112" s="2" t="s">
        <v>520</v>
      </c>
      <c r="E112" s="2" t="s">
        <v>55</v>
      </c>
      <c r="F112" s="2" t="s">
        <v>38</v>
      </c>
      <c r="G112" s="5">
        <v>4234</v>
      </c>
      <c r="H112" s="5">
        <v>40</v>
      </c>
      <c r="I112" s="5">
        <v>2541</v>
      </c>
      <c r="J112" s="5">
        <v>3</v>
      </c>
      <c r="K112" s="2" t="s">
        <v>226</v>
      </c>
      <c r="L112" s="2" t="s">
        <v>64</v>
      </c>
      <c r="M112" s="4">
        <v>4.0999999999999996</v>
      </c>
      <c r="N112" s="5">
        <v>269</v>
      </c>
      <c r="O112" s="3">
        <v>45851</v>
      </c>
      <c r="P112" s="2" t="s">
        <v>40</v>
      </c>
      <c r="Q112" s="2" t="s">
        <v>29</v>
      </c>
      <c r="R112" s="2" t="s">
        <v>66</v>
      </c>
      <c r="S112" s="2" t="s">
        <v>67</v>
      </c>
      <c r="T112" s="2" t="s">
        <v>43</v>
      </c>
    </row>
    <row r="113" spans="1:20" ht="12.5" x14ac:dyDescent="0.25">
      <c r="A113" s="2" t="s">
        <v>521</v>
      </c>
      <c r="B113" s="2" t="s">
        <v>522</v>
      </c>
      <c r="C113" s="2" t="s">
        <v>523</v>
      </c>
      <c r="D113" s="2" t="s">
        <v>524</v>
      </c>
      <c r="E113" s="2" t="s">
        <v>132</v>
      </c>
      <c r="F113" s="2" t="s">
        <v>38</v>
      </c>
      <c r="G113" s="5">
        <v>4417</v>
      </c>
      <c r="H113" s="5">
        <v>25</v>
      </c>
      <c r="I113" s="5">
        <v>3313</v>
      </c>
      <c r="J113" s="5">
        <v>2</v>
      </c>
      <c r="K113" s="2" t="s">
        <v>56</v>
      </c>
      <c r="L113" s="2" t="s">
        <v>49</v>
      </c>
      <c r="M113" s="4">
        <v>3.6</v>
      </c>
      <c r="N113" s="5">
        <v>286</v>
      </c>
      <c r="O113" s="3">
        <v>45838</v>
      </c>
      <c r="P113" s="2" t="s">
        <v>28</v>
      </c>
      <c r="Q113" s="2" t="s">
        <v>65</v>
      </c>
      <c r="R113" s="2" t="s">
        <v>110</v>
      </c>
      <c r="S113" s="2" t="s">
        <v>111</v>
      </c>
      <c r="T113" s="2" t="s">
        <v>32</v>
      </c>
    </row>
    <row r="114" spans="1:20" ht="12.5" x14ac:dyDescent="0.25">
      <c r="A114" s="2" t="s">
        <v>525</v>
      </c>
      <c r="B114" s="2" t="s">
        <v>96</v>
      </c>
      <c r="C114" s="2" t="s">
        <v>526</v>
      </c>
      <c r="D114" s="2" t="s">
        <v>527</v>
      </c>
      <c r="E114" s="2" t="s">
        <v>116</v>
      </c>
      <c r="F114" s="2" t="s">
        <v>117</v>
      </c>
      <c r="G114" s="5">
        <v>4806</v>
      </c>
      <c r="H114" s="5">
        <v>30</v>
      </c>
      <c r="I114" s="5">
        <v>3365</v>
      </c>
      <c r="J114" s="5">
        <v>3</v>
      </c>
      <c r="K114" s="2" t="s">
        <v>56</v>
      </c>
      <c r="L114" s="2" t="s">
        <v>133</v>
      </c>
      <c r="M114" s="4">
        <v>4.4000000000000004</v>
      </c>
      <c r="N114" s="5">
        <v>42</v>
      </c>
      <c r="O114" s="3">
        <v>45833</v>
      </c>
      <c r="P114" s="2" t="s">
        <v>28</v>
      </c>
      <c r="Q114" s="2" t="s">
        <v>65</v>
      </c>
      <c r="R114" s="2" t="s">
        <v>104</v>
      </c>
      <c r="S114" s="2" t="s">
        <v>105</v>
      </c>
      <c r="T114" s="2" t="s">
        <v>32</v>
      </c>
    </row>
    <row r="115" spans="1:20" ht="12.5" x14ac:dyDescent="0.25">
      <c r="A115" s="2" t="s">
        <v>528</v>
      </c>
      <c r="B115" s="2" t="s">
        <v>529</v>
      </c>
      <c r="C115" s="2" t="s">
        <v>530</v>
      </c>
      <c r="D115" s="2" t="s">
        <v>531</v>
      </c>
      <c r="E115" s="2" t="s">
        <v>48</v>
      </c>
      <c r="F115" s="2" t="s">
        <v>25</v>
      </c>
      <c r="G115" s="5">
        <v>2121</v>
      </c>
      <c r="H115" s="5">
        <v>30</v>
      </c>
      <c r="I115" s="5">
        <v>1485</v>
      </c>
      <c r="J115" s="5">
        <v>3</v>
      </c>
      <c r="K115" s="2" t="s">
        <v>163</v>
      </c>
      <c r="L115" s="2" t="s">
        <v>209</v>
      </c>
      <c r="M115" s="4">
        <v>4.4000000000000004</v>
      </c>
      <c r="N115" s="5">
        <v>242</v>
      </c>
      <c r="O115" s="3">
        <v>45799</v>
      </c>
      <c r="P115" s="2" t="s">
        <v>57</v>
      </c>
      <c r="Q115" s="2" t="s">
        <v>78</v>
      </c>
      <c r="R115" s="2" t="s">
        <v>30</v>
      </c>
      <c r="S115" s="2" t="s">
        <v>31</v>
      </c>
      <c r="T115" s="2" t="s">
        <v>32</v>
      </c>
    </row>
    <row r="116" spans="1:20" ht="12.5" x14ac:dyDescent="0.25">
      <c r="A116" s="2" t="s">
        <v>532</v>
      </c>
      <c r="B116" s="2" t="s">
        <v>456</v>
      </c>
      <c r="C116" s="2" t="s">
        <v>533</v>
      </c>
      <c r="D116" s="2" t="s">
        <v>534</v>
      </c>
      <c r="E116" s="2" t="s">
        <v>247</v>
      </c>
      <c r="F116" s="2" t="s">
        <v>248</v>
      </c>
      <c r="G116" s="5">
        <v>2657</v>
      </c>
      <c r="H116" s="5">
        <v>10</v>
      </c>
      <c r="I116" s="5">
        <v>2392</v>
      </c>
      <c r="J116" s="5">
        <v>2</v>
      </c>
      <c r="K116" s="2" t="s">
        <v>163</v>
      </c>
      <c r="L116" s="2" t="s">
        <v>88</v>
      </c>
      <c r="M116" s="4">
        <v>4</v>
      </c>
      <c r="N116" s="5">
        <v>246</v>
      </c>
      <c r="O116" s="3">
        <v>45774</v>
      </c>
      <c r="P116" s="2" t="s">
        <v>40</v>
      </c>
      <c r="Q116" s="2" t="s">
        <v>65</v>
      </c>
      <c r="R116" s="2" t="s">
        <v>66</v>
      </c>
      <c r="S116" s="2" t="s">
        <v>67</v>
      </c>
      <c r="T116" s="2" t="s">
        <v>134</v>
      </c>
    </row>
    <row r="117" spans="1:20" ht="12.5" x14ac:dyDescent="0.25">
      <c r="A117" s="2" t="s">
        <v>535</v>
      </c>
      <c r="B117" s="2" t="s">
        <v>536</v>
      </c>
      <c r="C117" s="2" t="s">
        <v>537</v>
      </c>
      <c r="D117" s="2" t="s">
        <v>538</v>
      </c>
      <c r="E117" s="2" t="s">
        <v>55</v>
      </c>
      <c r="F117" s="2" t="s">
        <v>38</v>
      </c>
      <c r="G117" s="5">
        <v>1835</v>
      </c>
      <c r="H117" s="5">
        <v>10</v>
      </c>
      <c r="I117" s="5">
        <v>1652</v>
      </c>
      <c r="J117" s="5">
        <v>1</v>
      </c>
      <c r="K117" s="2" t="s">
        <v>32</v>
      </c>
      <c r="L117" s="2" t="s">
        <v>73</v>
      </c>
      <c r="M117" s="4">
        <v>3.9</v>
      </c>
      <c r="N117" s="5">
        <v>242</v>
      </c>
      <c r="O117" s="3">
        <v>45793</v>
      </c>
      <c r="P117" s="2" t="s">
        <v>40</v>
      </c>
      <c r="Q117" s="2" t="s">
        <v>65</v>
      </c>
      <c r="R117" s="2" t="s">
        <v>110</v>
      </c>
      <c r="S117" s="2" t="s">
        <v>111</v>
      </c>
      <c r="T117" s="2" t="s">
        <v>203</v>
      </c>
    </row>
    <row r="118" spans="1:20" ht="12.5" x14ac:dyDescent="0.25">
      <c r="A118" s="2" t="s">
        <v>539</v>
      </c>
      <c r="B118" s="2" t="s">
        <v>540</v>
      </c>
      <c r="C118" s="2" t="s">
        <v>541</v>
      </c>
      <c r="D118" s="2" t="s">
        <v>542</v>
      </c>
      <c r="E118" s="2" t="s">
        <v>24</v>
      </c>
      <c r="F118" s="2" t="s">
        <v>25</v>
      </c>
      <c r="G118" s="5">
        <v>4681</v>
      </c>
      <c r="H118" s="5">
        <v>30</v>
      </c>
      <c r="I118" s="5">
        <v>3277</v>
      </c>
      <c r="J118" s="5">
        <v>2</v>
      </c>
      <c r="K118" s="2" t="s">
        <v>56</v>
      </c>
      <c r="L118" s="2" t="s">
        <v>49</v>
      </c>
      <c r="M118" s="4">
        <v>4.9000000000000004</v>
      </c>
      <c r="N118" s="5">
        <v>276</v>
      </c>
      <c r="O118" s="3">
        <v>45775</v>
      </c>
      <c r="P118" s="2" t="s">
        <v>57</v>
      </c>
      <c r="Q118" s="2" t="s">
        <v>29</v>
      </c>
      <c r="R118" s="2" t="s">
        <v>83</v>
      </c>
      <c r="S118" s="2" t="s">
        <v>83</v>
      </c>
      <c r="T118" s="2" t="s">
        <v>32</v>
      </c>
    </row>
    <row r="119" spans="1:20" ht="12.5" x14ac:dyDescent="0.25">
      <c r="A119" s="2" t="s">
        <v>543</v>
      </c>
      <c r="B119" s="2" t="s">
        <v>211</v>
      </c>
      <c r="C119" s="2" t="s">
        <v>544</v>
      </c>
      <c r="D119" s="2" t="s">
        <v>545</v>
      </c>
      <c r="E119" s="2" t="s">
        <v>132</v>
      </c>
      <c r="F119" s="2" t="s">
        <v>38</v>
      </c>
      <c r="G119" s="5">
        <v>3893</v>
      </c>
      <c r="H119" s="5">
        <v>40</v>
      </c>
      <c r="I119" s="5">
        <v>2336</v>
      </c>
      <c r="J119" s="5">
        <v>2</v>
      </c>
      <c r="K119" s="2" t="s">
        <v>226</v>
      </c>
      <c r="L119" s="2" t="s">
        <v>103</v>
      </c>
      <c r="M119" s="4">
        <v>4.4000000000000004</v>
      </c>
      <c r="N119" s="5">
        <v>246</v>
      </c>
      <c r="O119" s="3">
        <v>45788</v>
      </c>
      <c r="P119" s="2" t="s">
        <v>28</v>
      </c>
      <c r="Q119" s="2" t="s">
        <v>29</v>
      </c>
      <c r="R119" s="2" t="s">
        <v>110</v>
      </c>
      <c r="S119" s="2" t="s">
        <v>111</v>
      </c>
      <c r="T119" s="2" t="s">
        <v>32</v>
      </c>
    </row>
    <row r="120" spans="1:20" ht="12.5" x14ac:dyDescent="0.25">
      <c r="A120" s="2" t="s">
        <v>546</v>
      </c>
      <c r="B120" s="2" t="s">
        <v>75</v>
      </c>
      <c r="C120" s="2" t="s">
        <v>547</v>
      </c>
      <c r="D120" s="2" t="s">
        <v>548</v>
      </c>
      <c r="E120" s="2" t="s">
        <v>132</v>
      </c>
      <c r="F120" s="2" t="s">
        <v>38</v>
      </c>
      <c r="G120" s="5">
        <v>850</v>
      </c>
      <c r="H120" s="5">
        <v>40</v>
      </c>
      <c r="I120" s="5">
        <v>510</v>
      </c>
      <c r="J120" s="5">
        <v>2</v>
      </c>
      <c r="K120" s="2">
        <v>42</v>
      </c>
      <c r="L120" s="2" t="s">
        <v>133</v>
      </c>
      <c r="M120" s="4">
        <v>4</v>
      </c>
      <c r="N120" s="5">
        <v>180</v>
      </c>
      <c r="O120" s="3">
        <v>45807</v>
      </c>
      <c r="P120" s="2" t="s">
        <v>40</v>
      </c>
      <c r="Q120" s="2" t="s">
        <v>78</v>
      </c>
      <c r="R120" s="2" t="s">
        <v>58</v>
      </c>
      <c r="S120" s="2" t="s">
        <v>59</v>
      </c>
      <c r="T120" s="2" t="s">
        <v>32</v>
      </c>
    </row>
    <row r="121" spans="1:20" ht="12.5" x14ac:dyDescent="0.25">
      <c r="A121" s="2" t="s">
        <v>549</v>
      </c>
      <c r="B121" s="2" t="s">
        <v>550</v>
      </c>
      <c r="C121" s="2" t="s">
        <v>551</v>
      </c>
      <c r="D121" s="2" t="s">
        <v>552</v>
      </c>
      <c r="E121" s="2" t="s">
        <v>24</v>
      </c>
      <c r="F121" s="2" t="s">
        <v>25</v>
      </c>
      <c r="G121" s="5">
        <v>873</v>
      </c>
      <c r="H121" s="5">
        <v>25</v>
      </c>
      <c r="I121" s="5">
        <v>655</v>
      </c>
      <c r="J121" s="5">
        <v>1</v>
      </c>
      <c r="K121" s="2" t="s">
        <v>32</v>
      </c>
      <c r="L121" s="2" t="s">
        <v>64</v>
      </c>
      <c r="M121" s="4">
        <v>4.3</v>
      </c>
      <c r="N121" s="5">
        <v>149</v>
      </c>
      <c r="O121" s="3">
        <v>45780</v>
      </c>
      <c r="P121" s="2" t="s">
        <v>57</v>
      </c>
      <c r="Q121" s="2" t="s">
        <v>65</v>
      </c>
      <c r="R121" s="2" t="s">
        <v>58</v>
      </c>
      <c r="S121" s="2" t="s">
        <v>59</v>
      </c>
      <c r="T121" s="2" t="s">
        <v>32</v>
      </c>
    </row>
    <row r="122" spans="1:20" ht="12.5" x14ac:dyDescent="0.25">
      <c r="A122" s="2" t="s">
        <v>553</v>
      </c>
      <c r="B122" s="2" t="s">
        <v>554</v>
      </c>
      <c r="C122" s="2" t="s">
        <v>555</v>
      </c>
      <c r="D122" s="2" t="s">
        <v>556</v>
      </c>
      <c r="E122" s="2" t="s">
        <v>48</v>
      </c>
      <c r="F122" s="2" t="s">
        <v>25</v>
      </c>
      <c r="G122" s="5">
        <v>2106</v>
      </c>
      <c r="H122" s="5">
        <v>25</v>
      </c>
      <c r="I122" s="5">
        <v>1580</v>
      </c>
      <c r="J122" s="5">
        <v>1</v>
      </c>
      <c r="K122" s="2" t="s">
        <v>26</v>
      </c>
      <c r="L122" s="2" t="s">
        <v>168</v>
      </c>
      <c r="M122" s="4">
        <v>5</v>
      </c>
      <c r="N122" s="5">
        <v>80</v>
      </c>
      <c r="O122" s="3">
        <v>45809</v>
      </c>
      <c r="P122" s="2" t="s">
        <v>28</v>
      </c>
      <c r="Q122" s="2" t="s">
        <v>78</v>
      </c>
      <c r="R122" s="2" t="s">
        <v>104</v>
      </c>
      <c r="S122" s="2" t="s">
        <v>105</v>
      </c>
      <c r="T122" s="2" t="s">
        <v>32</v>
      </c>
    </row>
    <row r="123" spans="1:20" ht="12.5" x14ac:dyDescent="0.25">
      <c r="A123" s="2" t="s">
        <v>557</v>
      </c>
      <c r="B123" s="2" t="s">
        <v>558</v>
      </c>
      <c r="C123" s="2" t="s">
        <v>559</v>
      </c>
      <c r="D123" s="2" t="s">
        <v>560</v>
      </c>
      <c r="E123" s="2" t="s">
        <v>247</v>
      </c>
      <c r="F123" s="2" t="s">
        <v>248</v>
      </c>
      <c r="G123" s="5">
        <v>4527</v>
      </c>
      <c r="H123" s="5">
        <v>35</v>
      </c>
      <c r="I123" s="5">
        <v>2943</v>
      </c>
      <c r="J123" s="5">
        <v>1</v>
      </c>
      <c r="K123" s="2" t="s">
        <v>56</v>
      </c>
      <c r="L123" s="2" t="s">
        <v>64</v>
      </c>
      <c r="M123" s="4">
        <v>4.9000000000000004</v>
      </c>
      <c r="N123" s="5">
        <v>152</v>
      </c>
      <c r="O123" s="3">
        <v>45822</v>
      </c>
      <c r="P123" s="2" t="s">
        <v>57</v>
      </c>
      <c r="Q123" s="2" t="s">
        <v>65</v>
      </c>
      <c r="R123" s="2" t="s">
        <v>149</v>
      </c>
      <c r="S123" s="2" t="s">
        <v>150</v>
      </c>
      <c r="T123" s="2" t="s">
        <v>32</v>
      </c>
    </row>
    <row r="124" spans="1:20" ht="12.5" x14ac:dyDescent="0.25">
      <c r="A124" s="2" t="s">
        <v>561</v>
      </c>
      <c r="B124" s="2" t="s">
        <v>562</v>
      </c>
      <c r="C124" s="2" t="s">
        <v>563</v>
      </c>
      <c r="D124" s="2" t="s">
        <v>564</v>
      </c>
      <c r="E124" s="2" t="s">
        <v>132</v>
      </c>
      <c r="F124" s="2" t="s">
        <v>38</v>
      </c>
      <c r="G124" s="5">
        <v>1611</v>
      </c>
      <c r="H124" s="5">
        <v>10</v>
      </c>
      <c r="I124" s="5">
        <v>1450</v>
      </c>
      <c r="J124" s="5">
        <v>3</v>
      </c>
      <c r="K124" s="2">
        <v>42</v>
      </c>
      <c r="L124" s="2" t="s">
        <v>27</v>
      </c>
      <c r="M124" s="4">
        <v>4.3</v>
      </c>
      <c r="N124" s="5">
        <v>68</v>
      </c>
      <c r="O124" s="3">
        <v>45774</v>
      </c>
      <c r="P124" s="2" t="s">
        <v>40</v>
      </c>
      <c r="Q124" s="2" t="s">
        <v>29</v>
      </c>
      <c r="R124" s="2" t="s">
        <v>30</v>
      </c>
      <c r="S124" s="2" t="s">
        <v>31</v>
      </c>
      <c r="T124" s="2" t="s">
        <v>134</v>
      </c>
    </row>
    <row r="125" spans="1:20" ht="12.5" x14ac:dyDescent="0.25">
      <c r="A125" s="2" t="s">
        <v>565</v>
      </c>
      <c r="B125" s="2" t="s">
        <v>566</v>
      </c>
      <c r="C125" s="2" t="s">
        <v>567</v>
      </c>
      <c r="D125" s="2" t="s">
        <v>568</v>
      </c>
      <c r="E125" s="2" t="s">
        <v>24</v>
      </c>
      <c r="F125" s="2" t="s">
        <v>25</v>
      </c>
      <c r="G125" s="5">
        <v>2874</v>
      </c>
      <c r="H125" s="5">
        <v>40</v>
      </c>
      <c r="I125" s="5">
        <v>1725</v>
      </c>
      <c r="J125" s="5">
        <v>1</v>
      </c>
      <c r="K125" s="2" t="s">
        <v>163</v>
      </c>
      <c r="L125" s="2" t="s">
        <v>49</v>
      </c>
      <c r="M125" s="4">
        <v>4.3</v>
      </c>
      <c r="N125" s="5">
        <v>98</v>
      </c>
      <c r="O125" s="3">
        <v>45799</v>
      </c>
      <c r="P125" s="2" t="s">
        <v>57</v>
      </c>
      <c r="Q125" s="2" t="s">
        <v>78</v>
      </c>
      <c r="R125" s="2" t="s">
        <v>83</v>
      </c>
      <c r="S125" s="2" t="s">
        <v>83</v>
      </c>
      <c r="T125" s="2" t="s">
        <v>32</v>
      </c>
    </row>
    <row r="126" spans="1:20" ht="12.5" x14ac:dyDescent="0.25">
      <c r="A126" s="2" t="s">
        <v>569</v>
      </c>
      <c r="B126" s="2" t="s">
        <v>570</v>
      </c>
      <c r="C126" s="2" t="s">
        <v>571</v>
      </c>
      <c r="D126" s="2" t="s">
        <v>572</v>
      </c>
      <c r="E126" s="2" t="s">
        <v>116</v>
      </c>
      <c r="F126" s="2" t="s">
        <v>117</v>
      </c>
      <c r="G126" s="5">
        <v>2412</v>
      </c>
      <c r="H126" s="5">
        <v>25</v>
      </c>
      <c r="I126" s="5">
        <v>1809</v>
      </c>
      <c r="J126" s="5">
        <v>1</v>
      </c>
      <c r="K126" s="2" t="s">
        <v>72</v>
      </c>
      <c r="L126" s="2" t="s">
        <v>73</v>
      </c>
      <c r="M126" s="4">
        <v>4.2</v>
      </c>
      <c r="N126" s="5">
        <v>270</v>
      </c>
      <c r="O126" s="3">
        <v>45857</v>
      </c>
      <c r="P126" s="2" t="s">
        <v>57</v>
      </c>
      <c r="Q126" s="2" t="s">
        <v>78</v>
      </c>
      <c r="R126" s="2" t="s">
        <v>149</v>
      </c>
      <c r="S126" s="2" t="s">
        <v>150</v>
      </c>
      <c r="T126" s="2" t="s">
        <v>32</v>
      </c>
    </row>
    <row r="127" spans="1:20" ht="12.5" x14ac:dyDescent="0.25">
      <c r="A127" s="2" t="s">
        <v>573</v>
      </c>
      <c r="B127" s="2" t="s">
        <v>472</v>
      </c>
      <c r="C127" s="2" t="s">
        <v>574</v>
      </c>
      <c r="D127" s="2" t="s">
        <v>575</v>
      </c>
      <c r="E127" s="2" t="s">
        <v>147</v>
      </c>
      <c r="F127" s="2" t="s">
        <v>148</v>
      </c>
      <c r="G127" s="5">
        <v>3890</v>
      </c>
      <c r="H127" s="5">
        <v>40</v>
      </c>
      <c r="I127" s="5">
        <v>2334</v>
      </c>
      <c r="J127" s="5">
        <v>1</v>
      </c>
      <c r="K127" s="2" t="s">
        <v>163</v>
      </c>
      <c r="L127" s="2" t="s">
        <v>88</v>
      </c>
      <c r="M127" s="4">
        <v>4.0999999999999996</v>
      </c>
      <c r="N127" s="5">
        <v>234</v>
      </c>
      <c r="O127" s="3">
        <v>45819</v>
      </c>
      <c r="P127" s="2" t="s">
        <v>57</v>
      </c>
      <c r="Q127" s="2" t="s">
        <v>29</v>
      </c>
      <c r="R127" s="2" t="s">
        <v>89</v>
      </c>
      <c r="S127" s="2" t="s">
        <v>90</v>
      </c>
      <c r="T127" s="2" t="s">
        <v>32</v>
      </c>
    </row>
    <row r="128" spans="1:20" ht="12.5" x14ac:dyDescent="0.25">
      <c r="A128" s="2" t="s">
        <v>576</v>
      </c>
      <c r="B128" s="2" t="s">
        <v>577</v>
      </c>
      <c r="C128" s="2" t="s">
        <v>578</v>
      </c>
      <c r="D128" s="2" t="s">
        <v>579</v>
      </c>
      <c r="E128" s="2" t="s">
        <v>132</v>
      </c>
      <c r="F128" s="2" t="s">
        <v>38</v>
      </c>
      <c r="G128" s="5">
        <v>4254</v>
      </c>
      <c r="H128" s="5">
        <v>15</v>
      </c>
      <c r="I128" s="5">
        <v>3616</v>
      </c>
      <c r="J128" s="5">
        <v>1</v>
      </c>
      <c r="K128" s="2" t="s">
        <v>163</v>
      </c>
      <c r="L128" s="2" t="s">
        <v>73</v>
      </c>
      <c r="M128" s="4">
        <v>4.8</v>
      </c>
      <c r="N128" s="5">
        <v>278</v>
      </c>
      <c r="O128" s="3">
        <v>45778</v>
      </c>
      <c r="P128" s="2" t="s">
        <v>57</v>
      </c>
      <c r="Q128" s="2" t="s">
        <v>29</v>
      </c>
      <c r="R128" s="2" t="s">
        <v>83</v>
      </c>
      <c r="S128" s="2" t="s">
        <v>83</v>
      </c>
      <c r="T128" s="2" t="s">
        <v>32</v>
      </c>
    </row>
    <row r="129" spans="1:20" ht="12.5" x14ac:dyDescent="0.25">
      <c r="A129" s="2" t="s">
        <v>580</v>
      </c>
      <c r="B129" s="2" t="s">
        <v>581</v>
      </c>
      <c r="C129" s="2" t="s">
        <v>582</v>
      </c>
      <c r="D129" s="2" t="s">
        <v>583</v>
      </c>
      <c r="E129" s="2" t="s">
        <v>122</v>
      </c>
      <c r="F129" s="2" t="s">
        <v>123</v>
      </c>
      <c r="G129" s="5">
        <v>3160</v>
      </c>
      <c r="H129" s="5">
        <v>15</v>
      </c>
      <c r="I129" s="5">
        <v>2686</v>
      </c>
      <c r="J129" s="5">
        <v>2</v>
      </c>
      <c r="K129" s="2">
        <v>40</v>
      </c>
      <c r="L129" s="2" t="s">
        <v>133</v>
      </c>
      <c r="M129" s="4">
        <v>4</v>
      </c>
      <c r="N129" s="5">
        <v>174</v>
      </c>
      <c r="O129" s="3">
        <v>45824</v>
      </c>
      <c r="P129" s="2" t="s">
        <v>57</v>
      </c>
      <c r="Q129" s="2" t="s">
        <v>78</v>
      </c>
      <c r="R129" s="2" t="s">
        <v>185</v>
      </c>
      <c r="S129" s="2" t="s">
        <v>186</v>
      </c>
      <c r="T129" s="2" t="s">
        <v>32</v>
      </c>
    </row>
    <row r="130" spans="1:20" ht="12.5" x14ac:dyDescent="0.25">
      <c r="A130" s="2" t="s">
        <v>584</v>
      </c>
      <c r="B130" s="2" t="s">
        <v>585</v>
      </c>
      <c r="C130" s="2" t="s">
        <v>586</v>
      </c>
      <c r="D130" s="2" t="s">
        <v>587</v>
      </c>
      <c r="E130" s="2" t="s">
        <v>247</v>
      </c>
      <c r="F130" s="2" t="s">
        <v>248</v>
      </c>
      <c r="G130" s="5">
        <v>4941</v>
      </c>
      <c r="H130" s="5">
        <v>40</v>
      </c>
      <c r="I130" s="5">
        <v>2965</v>
      </c>
      <c r="J130" s="5">
        <v>3</v>
      </c>
      <c r="K130" s="2">
        <v>42</v>
      </c>
      <c r="L130" s="2" t="s">
        <v>209</v>
      </c>
      <c r="M130" s="4">
        <v>4.5</v>
      </c>
      <c r="N130" s="5">
        <v>238</v>
      </c>
      <c r="O130" s="3">
        <v>45848</v>
      </c>
      <c r="P130" s="2" t="s">
        <v>57</v>
      </c>
      <c r="Q130" s="2" t="s">
        <v>78</v>
      </c>
      <c r="R130" s="2" t="s">
        <v>104</v>
      </c>
      <c r="S130" s="2" t="s">
        <v>105</v>
      </c>
      <c r="T130" s="2" t="s">
        <v>32</v>
      </c>
    </row>
    <row r="131" spans="1:20" ht="12.5" x14ac:dyDescent="0.25">
      <c r="A131" s="2" t="s">
        <v>588</v>
      </c>
      <c r="B131" s="2" t="s">
        <v>589</v>
      </c>
      <c r="C131" s="2" t="s">
        <v>590</v>
      </c>
      <c r="D131" s="2" t="s">
        <v>591</v>
      </c>
      <c r="E131" s="2" t="s">
        <v>37</v>
      </c>
      <c r="F131" s="2" t="s">
        <v>38</v>
      </c>
      <c r="G131" s="5">
        <v>1255</v>
      </c>
      <c r="H131" s="5">
        <v>15</v>
      </c>
      <c r="I131" s="5">
        <v>1067</v>
      </c>
      <c r="J131" s="5">
        <v>1</v>
      </c>
      <c r="K131" s="2" t="s">
        <v>226</v>
      </c>
      <c r="L131" s="2" t="s">
        <v>64</v>
      </c>
      <c r="M131" s="4">
        <v>4.5999999999999996</v>
      </c>
      <c r="N131" s="5">
        <v>129</v>
      </c>
      <c r="O131" s="3">
        <v>45821</v>
      </c>
      <c r="P131" s="2" t="s">
        <v>40</v>
      </c>
      <c r="Q131" s="2" t="s">
        <v>29</v>
      </c>
      <c r="R131" s="2" t="s">
        <v>58</v>
      </c>
      <c r="S131" s="2" t="s">
        <v>59</v>
      </c>
      <c r="T131" s="2" t="s">
        <v>50</v>
      </c>
    </row>
    <row r="132" spans="1:20" ht="12.5" x14ac:dyDescent="0.25">
      <c r="A132" s="2" t="s">
        <v>592</v>
      </c>
      <c r="B132" s="2" t="s">
        <v>593</v>
      </c>
      <c r="C132" s="2" t="s">
        <v>130</v>
      </c>
      <c r="D132" s="2" t="s">
        <v>594</v>
      </c>
      <c r="E132" s="2" t="s">
        <v>122</v>
      </c>
      <c r="F132" s="2" t="s">
        <v>123</v>
      </c>
      <c r="G132" s="5">
        <v>3753</v>
      </c>
      <c r="H132" s="5">
        <v>15</v>
      </c>
      <c r="I132" s="5">
        <v>3191</v>
      </c>
      <c r="J132" s="5">
        <v>3</v>
      </c>
      <c r="K132" s="2" t="s">
        <v>56</v>
      </c>
      <c r="L132" s="2" t="s">
        <v>168</v>
      </c>
      <c r="M132" s="4">
        <v>3.6</v>
      </c>
      <c r="N132" s="5">
        <v>241</v>
      </c>
      <c r="O132" s="3">
        <v>45846</v>
      </c>
      <c r="P132" s="2" t="s">
        <v>40</v>
      </c>
      <c r="Q132" s="2" t="s">
        <v>65</v>
      </c>
      <c r="R132" s="2" t="s">
        <v>110</v>
      </c>
      <c r="S132" s="2" t="s">
        <v>111</v>
      </c>
      <c r="T132" s="2" t="s">
        <v>203</v>
      </c>
    </row>
    <row r="133" spans="1:20" ht="12.5" x14ac:dyDescent="0.25">
      <c r="A133" s="2" t="s">
        <v>595</v>
      </c>
      <c r="B133" s="2" t="s">
        <v>357</v>
      </c>
      <c r="C133" s="2" t="s">
        <v>596</v>
      </c>
      <c r="D133" s="2" t="s">
        <v>597</v>
      </c>
      <c r="E133" s="2" t="s">
        <v>122</v>
      </c>
      <c r="F133" s="2" t="s">
        <v>123</v>
      </c>
      <c r="G133" s="5">
        <v>2048</v>
      </c>
      <c r="H133" s="5">
        <v>15</v>
      </c>
      <c r="I133" s="5">
        <v>1741</v>
      </c>
      <c r="J133" s="5">
        <v>1</v>
      </c>
      <c r="K133" s="2">
        <v>42</v>
      </c>
      <c r="L133" s="2" t="s">
        <v>64</v>
      </c>
      <c r="M133" s="4">
        <v>4.3</v>
      </c>
      <c r="N133" s="5">
        <v>123</v>
      </c>
      <c r="O133" s="3">
        <v>45827</v>
      </c>
      <c r="P133" s="2" t="s">
        <v>28</v>
      </c>
      <c r="Q133" s="2" t="s">
        <v>65</v>
      </c>
      <c r="R133" s="2" t="s">
        <v>83</v>
      </c>
      <c r="S133" s="2" t="s">
        <v>83</v>
      </c>
      <c r="T133" s="2" t="s">
        <v>32</v>
      </c>
    </row>
    <row r="134" spans="1:20" ht="12.5" x14ac:dyDescent="0.25">
      <c r="A134" s="2" t="s">
        <v>598</v>
      </c>
      <c r="B134" s="2" t="s">
        <v>599</v>
      </c>
      <c r="C134" s="2" t="s">
        <v>600</v>
      </c>
      <c r="D134" s="2" t="s">
        <v>601</v>
      </c>
      <c r="E134" s="2" t="s">
        <v>116</v>
      </c>
      <c r="F134" s="2" t="s">
        <v>117</v>
      </c>
      <c r="G134" s="5">
        <v>3547</v>
      </c>
      <c r="H134" s="5">
        <v>35</v>
      </c>
      <c r="I134" s="5">
        <v>2306</v>
      </c>
      <c r="J134" s="5">
        <v>3</v>
      </c>
      <c r="K134" s="2" t="s">
        <v>32</v>
      </c>
      <c r="L134" s="2" t="s">
        <v>209</v>
      </c>
      <c r="M134" s="4">
        <v>4.7</v>
      </c>
      <c r="N134" s="5">
        <v>295</v>
      </c>
      <c r="O134" s="3">
        <v>45789</v>
      </c>
      <c r="P134" s="2" t="s">
        <v>40</v>
      </c>
      <c r="Q134" s="2" t="s">
        <v>29</v>
      </c>
      <c r="R134" s="2" t="s">
        <v>83</v>
      </c>
      <c r="S134" s="2" t="s">
        <v>83</v>
      </c>
      <c r="T134" s="2" t="s">
        <v>134</v>
      </c>
    </row>
    <row r="135" spans="1:20" ht="12.5" x14ac:dyDescent="0.25">
      <c r="A135" s="2" t="s">
        <v>602</v>
      </c>
      <c r="B135" s="2" t="s">
        <v>603</v>
      </c>
      <c r="C135" s="2" t="s">
        <v>604</v>
      </c>
      <c r="D135" s="2" t="s">
        <v>605</v>
      </c>
      <c r="E135" s="2" t="s">
        <v>147</v>
      </c>
      <c r="F135" s="2" t="s">
        <v>148</v>
      </c>
      <c r="G135" s="5">
        <v>2466</v>
      </c>
      <c r="H135" s="5">
        <v>20</v>
      </c>
      <c r="I135" s="5">
        <v>1973</v>
      </c>
      <c r="J135" s="5">
        <v>1</v>
      </c>
      <c r="K135" s="2" t="s">
        <v>26</v>
      </c>
      <c r="L135" s="2" t="s">
        <v>103</v>
      </c>
      <c r="M135" s="4">
        <v>4.7</v>
      </c>
      <c r="N135" s="5">
        <v>25</v>
      </c>
      <c r="O135" s="3">
        <v>45820</v>
      </c>
      <c r="P135" s="2" t="s">
        <v>28</v>
      </c>
      <c r="Q135" s="2" t="s">
        <v>29</v>
      </c>
      <c r="R135" s="2" t="s">
        <v>30</v>
      </c>
      <c r="S135" s="2" t="s">
        <v>31</v>
      </c>
      <c r="T135" s="2" t="s">
        <v>32</v>
      </c>
    </row>
    <row r="136" spans="1:20" ht="12.5" x14ac:dyDescent="0.25">
      <c r="A136" s="2" t="s">
        <v>606</v>
      </c>
      <c r="B136" s="2" t="s">
        <v>607</v>
      </c>
      <c r="C136" s="2" t="s">
        <v>608</v>
      </c>
      <c r="D136" s="2" t="s">
        <v>609</v>
      </c>
      <c r="E136" s="2" t="s">
        <v>122</v>
      </c>
      <c r="F136" s="2" t="s">
        <v>123</v>
      </c>
      <c r="G136" s="5">
        <v>4294</v>
      </c>
      <c r="H136" s="5">
        <v>25</v>
      </c>
      <c r="I136" s="5">
        <v>3221</v>
      </c>
      <c r="J136" s="5">
        <v>2</v>
      </c>
      <c r="K136" s="2" t="s">
        <v>26</v>
      </c>
      <c r="L136" s="2" t="s">
        <v>103</v>
      </c>
      <c r="M136" s="4">
        <v>4.5</v>
      </c>
      <c r="N136" s="5">
        <v>232</v>
      </c>
      <c r="O136" s="3">
        <v>45792</v>
      </c>
      <c r="P136" s="2" t="s">
        <v>28</v>
      </c>
      <c r="Q136" s="2" t="s">
        <v>78</v>
      </c>
      <c r="R136" s="2" t="s">
        <v>41</v>
      </c>
      <c r="S136" s="2" t="s">
        <v>42</v>
      </c>
      <c r="T136" s="2" t="s">
        <v>32</v>
      </c>
    </row>
    <row r="137" spans="1:20" ht="12.5" x14ac:dyDescent="0.25">
      <c r="A137" s="2" t="s">
        <v>610</v>
      </c>
      <c r="B137" s="2" t="s">
        <v>611</v>
      </c>
      <c r="C137" s="2" t="s">
        <v>612</v>
      </c>
      <c r="D137" s="2" t="s">
        <v>613</v>
      </c>
      <c r="E137" s="2" t="s">
        <v>147</v>
      </c>
      <c r="F137" s="2" t="s">
        <v>148</v>
      </c>
      <c r="G137" s="5">
        <v>4286</v>
      </c>
      <c r="H137" s="5">
        <v>10</v>
      </c>
      <c r="I137" s="5">
        <v>3858</v>
      </c>
      <c r="J137" s="5">
        <v>3</v>
      </c>
      <c r="K137" s="2">
        <v>40</v>
      </c>
      <c r="L137" s="2" t="s">
        <v>133</v>
      </c>
      <c r="M137" s="4">
        <v>4.7</v>
      </c>
      <c r="N137" s="5">
        <v>107</v>
      </c>
      <c r="O137" s="3">
        <v>45827</v>
      </c>
      <c r="P137" s="2" t="s">
        <v>57</v>
      </c>
      <c r="Q137" s="2" t="s">
        <v>78</v>
      </c>
      <c r="R137" s="2" t="s">
        <v>89</v>
      </c>
      <c r="S137" s="2" t="s">
        <v>90</v>
      </c>
      <c r="T137" s="2" t="s">
        <v>32</v>
      </c>
    </row>
    <row r="138" spans="1:20" ht="12.5" x14ac:dyDescent="0.25">
      <c r="A138" s="2" t="s">
        <v>614</v>
      </c>
      <c r="B138" s="2" t="s">
        <v>589</v>
      </c>
      <c r="C138" s="2" t="s">
        <v>615</v>
      </c>
      <c r="D138" s="2" t="s">
        <v>616</v>
      </c>
      <c r="E138" s="2" t="s">
        <v>247</v>
      </c>
      <c r="F138" s="2" t="s">
        <v>248</v>
      </c>
      <c r="G138" s="5">
        <v>1592</v>
      </c>
      <c r="H138" s="5">
        <v>10</v>
      </c>
      <c r="I138" s="5">
        <v>1433</v>
      </c>
      <c r="J138" s="5">
        <v>1</v>
      </c>
      <c r="K138" s="2" t="s">
        <v>72</v>
      </c>
      <c r="L138" s="2" t="s">
        <v>133</v>
      </c>
      <c r="M138" s="4">
        <v>4.8</v>
      </c>
      <c r="N138" s="5">
        <v>17</v>
      </c>
      <c r="O138" s="3">
        <v>45774</v>
      </c>
      <c r="P138" s="2" t="s">
        <v>40</v>
      </c>
      <c r="Q138" s="2" t="s">
        <v>65</v>
      </c>
      <c r="R138" s="2" t="s">
        <v>149</v>
      </c>
      <c r="S138" s="2" t="s">
        <v>150</v>
      </c>
      <c r="T138" s="2" t="s">
        <v>134</v>
      </c>
    </row>
    <row r="139" spans="1:20" ht="12.5" x14ac:dyDescent="0.25">
      <c r="A139" s="2" t="s">
        <v>617</v>
      </c>
      <c r="B139" s="2" t="s">
        <v>618</v>
      </c>
      <c r="C139" s="2" t="s">
        <v>619</v>
      </c>
      <c r="D139" s="2" t="s">
        <v>620</v>
      </c>
      <c r="E139" s="2" t="s">
        <v>208</v>
      </c>
      <c r="F139" s="2" t="s">
        <v>117</v>
      </c>
      <c r="G139" s="5">
        <v>3202</v>
      </c>
      <c r="H139" s="5">
        <v>35</v>
      </c>
      <c r="I139" s="5">
        <v>2082</v>
      </c>
      <c r="J139" s="5">
        <v>1</v>
      </c>
      <c r="K139" s="2" t="s">
        <v>226</v>
      </c>
      <c r="L139" s="2" t="s">
        <v>88</v>
      </c>
      <c r="M139" s="4">
        <v>3.8</v>
      </c>
      <c r="N139" s="5">
        <v>191</v>
      </c>
      <c r="O139" s="3">
        <v>45828</v>
      </c>
      <c r="P139" s="2" t="s">
        <v>57</v>
      </c>
      <c r="Q139" s="2" t="s">
        <v>65</v>
      </c>
      <c r="R139" s="2" t="s">
        <v>83</v>
      </c>
      <c r="S139" s="2" t="s">
        <v>83</v>
      </c>
      <c r="T139" s="2" t="s">
        <v>32</v>
      </c>
    </row>
    <row r="140" spans="1:20" ht="12.5" x14ac:dyDescent="0.25">
      <c r="A140" s="2" t="s">
        <v>621</v>
      </c>
      <c r="B140" s="2" t="s">
        <v>622</v>
      </c>
      <c r="C140" s="2" t="s">
        <v>623</v>
      </c>
      <c r="D140" s="2" t="s">
        <v>624</v>
      </c>
      <c r="E140" s="2" t="s">
        <v>24</v>
      </c>
      <c r="F140" s="2" t="s">
        <v>25</v>
      </c>
      <c r="G140" s="5">
        <v>1909</v>
      </c>
      <c r="H140" s="5">
        <v>10</v>
      </c>
      <c r="I140" s="5">
        <v>1719</v>
      </c>
      <c r="J140" s="5">
        <v>2</v>
      </c>
      <c r="K140" s="2">
        <v>44</v>
      </c>
      <c r="L140" s="2" t="s">
        <v>39</v>
      </c>
      <c r="M140" s="4">
        <v>4.7</v>
      </c>
      <c r="N140" s="5">
        <v>238</v>
      </c>
      <c r="O140" s="3">
        <v>45816</v>
      </c>
      <c r="P140" s="2" t="s">
        <v>40</v>
      </c>
      <c r="Q140" s="2" t="s">
        <v>65</v>
      </c>
      <c r="R140" s="2" t="s">
        <v>104</v>
      </c>
      <c r="S140" s="2" t="s">
        <v>105</v>
      </c>
      <c r="T140" s="2" t="s">
        <v>50</v>
      </c>
    </row>
    <row r="141" spans="1:20" ht="12.5" x14ac:dyDescent="0.25">
      <c r="A141" s="2" t="s">
        <v>625</v>
      </c>
      <c r="B141" s="2" t="s">
        <v>626</v>
      </c>
      <c r="C141" s="2" t="s">
        <v>627</v>
      </c>
      <c r="D141" s="2" t="s">
        <v>628</v>
      </c>
      <c r="E141" s="2" t="s">
        <v>247</v>
      </c>
      <c r="F141" s="2" t="s">
        <v>248</v>
      </c>
      <c r="G141" s="5">
        <v>948</v>
      </c>
      <c r="H141" s="5">
        <v>40</v>
      </c>
      <c r="I141" s="5">
        <v>569</v>
      </c>
      <c r="J141" s="5">
        <v>1</v>
      </c>
      <c r="K141" s="2" t="s">
        <v>56</v>
      </c>
      <c r="L141" s="2" t="s">
        <v>209</v>
      </c>
      <c r="M141" s="4">
        <v>4.2</v>
      </c>
      <c r="N141" s="5">
        <v>45</v>
      </c>
      <c r="O141" s="3">
        <v>45788</v>
      </c>
      <c r="P141" s="2" t="s">
        <v>40</v>
      </c>
      <c r="Q141" s="2" t="s">
        <v>29</v>
      </c>
      <c r="R141" s="2" t="s">
        <v>89</v>
      </c>
      <c r="S141" s="2" t="s">
        <v>90</v>
      </c>
      <c r="T141" s="2" t="s">
        <v>50</v>
      </c>
    </row>
    <row r="142" spans="1:20" ht="12.5" x14ac:dyDescent="0.25">
      <c r="A142" s="2" t="s">
        <v>629</v>
      </c>
      <c r="B142" s="2" t="s">
        <v>630</v>
      </c>
      <c r="C142" s="2" t="s">
        <v>631</v>
      </c>
      <c r="D142" s="2" t="s">
        <v>632</v>
      </c>
      <c r="E142" s="2" t="s">
        <v>147</v>
      </c>
      <c r="F142" s="2" t="s">
        <v>148</v>
      </c>
      <c r="G142" s="5">
        <v>936</v>
      </c>
      <c r="H142" s="5">
        <v>35</v>
      </c>
      <c r="I142" s="5">
        <v>609</v>
      </c>
      <c r="J142" s="5">
        <v>3</v>
      </c>
      <c r="K142" s="2" t="s">
        <v>261</v>
      </c>
      <c r="L142" s="2" t="s">
        <v>64</v>
      </c>
      <c r="M142" s="4">
        <v>5</v>
      </c>
      <c r="N142" s="5">
        <v>114</v>
      </c>
      <c r="O142" s="3">
        <v>45810</v>
      </c>
      <c r="P142" s="2" t="s">
        <v>40</v>
      </c>
      <c r="Q142" s="2" t="s">
        <v>78</v>
      </c>
      <c r="R142" s="2" t="s">
        <v>89</v>
      </c>
      <c r="S142" s="2" t="s">
        <v>90</v>
      </c>
      <c r="T142" s="2" t="s">
        <v>43</v>
      </c>
    </row>
    <row r="143" spans="1:20" ht="12.5" x14ac:dyDescent="0.25">
      <c r="A143" s="2" t="s">
        <v>633</v>
      </c>
      <c r="B143" s="2" t="s">
        <v>634</v>
      </c>
      <c r="C143" s="2" t="s">
        <v>405</v>
      </c>
      <c r="D143" s="2" t="s">
        <v>635</v>
      </c>
      <c r="E143" s="2" t="s">
        <v>48</v>
      </c>
      <c r="F143" s="2" t="s">
        <v>25</v>
      </c>
      <c r="G143" s="5">
        <v>3969</v>
      </c>
      <c r="H143" s="5">
        <v>35</v>
      </c>
      <c r="I143" s="5">
        <v>2580</v>
      </c>
      <c r="J143" s="5">
        <v>3</v>
      </c>
      <c r="K143" s="2" t="s">
        <v>26</v>
      </c>
      <c r="L143" s="2" t="s">
        <v>133</v>
      </c>
      <c r="M143" s="4">
        <v>4.0999999999999996</v>
      </c>
      <c r="N143" s="5">
        <v>151</v>
      </c>
      <c r="O143" s="3">
        <v>45858</v>
      </c>
      <c r="P143" s="2" t="s">
        <v>40</v>
      </c>
      <c r="Q143" s="2" t="s">
        <v>65</v>
      </c>
      <c r="R143" s="2" t="s">
        <v>89</v>
      </c>
      <c r="S143" s="2" t="s">
        <v>90</v>
      </c>
      <c r="T143" s="2" t="s">
        <v>43</v>
      </c>
    </row>
    <row r="144" spans="1:20" ht="12.5" x14ac:dyDescent="0.25">
      <c r="A144" s="2" t="s">
        <v>636</v>
      </c>
      <c r="B144" s="2" t="s">
        <v>637</v>
      </c>
      <c r="C144" s="2" t="s">
        <v>638</v>
      </c>
      <c r="D144" s="2" t="s">
        <v>639</v>
      </c>
      <c r="E144" s="2" t="s">
        <v>55</v>
      </c>
      <c r="F144" s="2" t="s">
        <v>38</v>
      </c>
      <c r="G144" s="5">
        <v>3372</v>
      </c>
      <c r="H144" s="5">
        <v>35</v>
      </c>
      <c r="I144" s="5">
        <v>2192</v>
      </c>
      <c r="J144" s="5">
        <v>3</v>
      </c>
      <c r="K144" s="2" t="s">
        <v>32</v>
      </c>
      <c r="L144" s="2" t="s">
        <v>39</v>
      </c>
      <c r="M144" s="4">
        <v>4.7</v>
      </c>
      <c r="N144" s="5">
        <v>25</v>
      </c>
      <c r="O144" s="3">
        <v>45846</v>
      </c>
      <c r="P144" s="2" t="s">
        <v>57</v>
      </c>
      <c r="Q144" s="2" t="s">
        <v>78</v>
      </c>
      <c r="R144" s="2" t="s">
        <v>185</v>
      </c>
      <c r="S144" s="2" t="s">
        <v>186</v>
      </c>
      <c r="T144" s="2" t="s">
        <v>32</v>
      </c>
    </row>
    <row r="145" spans="1:20" ht="12.5" x14ac:dyDescent="0.25">
      <c r="A145" s="2" t="s">
        <v>640</v>
      </c>
      <c r="B145" s="2" t="s">
        <v>329</v>
      </c>
      <c r="C145" s="2" t="s">
        <v>641</v>
      </c>
      <c r="D145" s="2" t="s">
        <v>642</v>
      </c>
      <c r="E145" s="2" t="s">
        <v>116</v>
      </c>
      <c r="F145" s="2" t="s">
        <v>117</v>
      </c>
      <c r="G145" s="5">
        <v>1755</v>
      </c>
      <c r="H145" s="5">
        <v>40</v>
      </c>
      <c r="I145" s="5">
        <v>1053</v>
      </c>
      <c r="J145" s="5">
        <v>3</v>
      </c>
      <c r="K145" s="2">
        <v>42</v>
      </c>
      <c r="L145" s="2" t="s">
        <v>27</v>
      </c>
      <c r="M145" s="4">
        <v>4.3</v>
      </c>
      <c r="N145" s="5">
        <v>111</v>
      </c>
      <c r="O145" s="3">
        <v>45827</v>
      </c>
      <c r="P145" s="2" t="s">
        <v>57</v>
      </c>
      <c r="Q145" s="2" t="s">
        <v>78</v>
      </c>
      <c r="R145" s="2" t="s">
        <v>185</v>
      </c>
      <c r="S145" s="2" t="s">
        <v>186</v>
      </c>
      <c r="T145" s="2" t="s">
        <v>32</v>
      </c>
    </row>
    <row r="146" spans="1:20" ht="12.5" x14ac:dyDescent="0.25">
      <c r="A146" s="2" t="s">
        <v>643</v>
      </c>
      <c r="B146" s="2" t="s">
        <v>644</v>
      </c>
      <c r="C146" s="2" t="s">
        <v>645</v>
      </c>
      <c r="D146" s="2" t="s">
        <v>646</v>
      </c>
      <c r="E146" s="2" t="s">
        <v>24</v>
      </c>
      <c r="F146" s="2" t="s">
        <v>25</v>
      </c>
      <c r="G146" s="5">
        <v>3448</v>
      </c>
      <c r="H146" s="5">
        <v>30</v>
      </c>
      <c r="I146" s="5">
        <v>2414</v>
      </c>
      <c r="J146" s="5">
        <v>3</v>
      </c>
      <c r="K146" s="2">
        <v>42</v>
      </c>
      <c r="L146" s="2" t="s">
        <v>73</v>
      </c>
      <c r="M146" s="4">
        <v>4.0999999999999996</v>
      </c>
      <c r="N146" s="5">
        <v>181</v>
      </c>
      <c r="O146" s="3">
        <v>45819</v>
      </c>
      <c r="P146" s="2" t="s">
        <v>28</v>
      </c>
      <c r="Q146" s="2" t="s">
        <v>65</v>
      </c>
      <c r="R146" s="2" t="s">
        <v>104</v>
      </c>
      <c r="S146" s="2" t="s">
        <v>105</v>
      </c>
      <c r="T146" s="2" t="s">
        <v>32</v>
      </c>
    </row>
    <row r="147" spans="1:20" ht="12.5" x14ac:dyDescent="0.25">
      <c r="A147" s="2" t="s">
        <v>647</v>
      </c>
      <c r="B147" s="2" t="s">
        <v>648</v>
      </c>
      <c r="C147" s="2" t="s">
        <v>649</v>
      </c>
      <c r="D147" s="2" t="s">
        <v>650</v>
      </c>
      <c r="E147" s="2" t="s">
        <v>132</v>
      </c>
      <c r="F147" s="2" t="s">
        <v>38</v>
      </c>
      <c r="G147" s="5">
        <v>1018</v>
      </c>
      <c r="H147" s="5">
        <v>25</v>
      </c>
      <c r="I147" s="5">
        <v>764</v>
      </c>
      <c r="J147" s="5">
        <v>3</v>
      </c>
      <c r="K147" s="2">
        <v>40</v>
      </c>
      <c r="L147" s="2" t="s">
        <v>88</v>
      </c>
      <c r="M147" s="4">
        <v>4.3</v>
      </c>
      <c r="N147" s="5">
        <v>53</v>
      </c>
      <c r="O147" s="3">
        <v>45848</v>
      </c>
      <c r="P147" s="2" t="s">
        <v>28</v>
      </c>
      <c r="Q147" s="2" t="s">
        <v>78</v>
      </c>
      <c r="R147" s="2" t="s">
        <v>104</v>
      </c>
      <c r="S147" s="2" t="s">
        <v>105</v>
      </c>
      <c r="T147" s="2" t="s">
        <v>32</v>
      </c>
    </row>
    <row r="148" spans="1:20" ht="12.5" x14ac:dyDescent="0.25">
      <c r="A148" s="2" t="s">
        <v>651</v>
      </c>
      <c r="B148" s="2" t="s">
        <v>178</v>
      </c>
      <c r="C148" s="2" t="s">
        <v>652</v>
      </c>
      <c r="D148" s="2" t="s">
        <v>653</v>
      </c>
      <c r="E148" s="2" t="s">
        <v>48</v>
      </c>
      <c r="F148" s="2" t="s">
        <v>25</v>
      </c>
      <c r="G148" s="5">
        <v>4946</v>
      </c>
      <c r="H148" s="5">
        <v>35</v>
      </c>
      <c r="I148" s="5">
        <v>3215</v>
      </c>
      <c r="J148" s="5">
        <v>1</v>
      </c>
      <c r="K148" s="2" t="s">
        <v>26</v>
      </c>
      <c r="L148" s="2" t="s">
        <v>209</v>
      </c>
      <c r="M148" s="4">
        <v>4.4000000000000004</v>
      </c>
      <c r="N148" s="5">
        <v>155</v>
      </c>
      <c r="O148" s="3">
        <v>45816</v>
      </c>
      <c r="P148" s="2" t="s">
        <v>57</v>
      </c>
      <c r="Q148" s="2" t="s">
        <v>65</v>
      </c>
      <c r="R148" s="2" t="s">
        <v>30</v>
      </c>
      <c r="S148" s="2" t="s">
        <v>31</v>
      </c>
      <c r="T148" s="2" t="s">
        <v>32</v>
      </c>
    </row>
    <row r="149" spans="1:20" ht="12.5" x14ac:dyDescent="0.25">
      <c r="A149" s="2" t="s">
        <v>654</v>
      </c>
      <c r="B149" s="2" t="s">
        <v>655</v>
      </c>
      <c r="C149" s="2" t="s">
        <v>656</v>
      </c>
      <c r="D149" s="2" t="s">
        <v>657</v>
      </c>
      <c r="E149" s="2" t="s">
        <v>24</v>
      </c>
      <c r="F149" s="2" t="s">
        <v>25</v>
      </c>
      <c r="G149" s="5">
        <v>1763</v>
      </c>
      <c r="H149" s="5">
        <v>25</v>
      </c>
      <c r="I149" s="5">
        <v>1323</v>
      </c>
      <c r="J149" s="5">
        <v>1</v>
      </c>
      <c r="K149" s="2" t="s">
        <v>32</v>
      </c>
      <c r="L149" s="2" t="s">
        <v>73</v>
      </c>
      <c r="M149" s="4">
        <v>4.0999999999999996</v>
      </c>
      <c r="N149" s="5">
        <v>157</v>
      </c>
      <c r="O149" s="3">
        <v>45828</v>
      </c>
      <c r="P149" s="2" t="s">
        <v>28</v>
      </c>
      <c r="Q149" s="2" t="s">
        <v>78</v>
      </c>
      <c r="R149" s="2" t="s">
        <v>58</v>
      </c>
      <c r="S149" s="2" t="s">
        <v>59</v>
      </c>
      <c r="T149" s="2" t="s">
        <v>32</v>
      </c>
    </row>
    <row r="150" spans="1:20" ht="12.5" x14ac:dyDescent="0.25">
      <c r="A150" s="2" t="s">
        <v>658</v>
      </c>
      <c r="B150" s="2" t="s">
        <v>659</v>
      </c>
      <c r="C150" s="2" t="s">
        <v>660</v>
      </c>
      <c r="D150" s="2" t="s">
        <v>661</v>
      </c>
      <c r="E150" s="2" t="s">
        <v>208</v>
      </c>
      <c r="F150" s="2" t="s">
        <v>117</v>
      </c>
      <c r="G150" s="5">
        <v>2968</v>
      </c>
      <c r="H150" s="5">
        <v>30</v>
      </c>
      <c r="I150" s="5">
        <v>2078</v>
      </c>
      <c r="J150" s="5">
        <v>2</v>
      </c>
      <c r="K150" s="2" t="s">
        <v>56</v>
      </c>
      <c r="L150" s="2" t="s">
        <v>103</v>
      </c>
      <c r="M150" s="4">
        <v>3.9</v>
      </c>
      <c r="N150" s="5">
        <v>37</v>
      </c>
      <c r="O150" s="3">
        <v>45820</v>
      </c>
      <c r="P150" s="2" t="s">
        <v>40</v>
      </c>
      <c r="Q150" s="2" t="s">
        <v>29</v>
      </c>
      <c r="R150" s="2" t="s">
        <v>58</v>
      </c>
      <c r="S150" s="2" t="s">
        <v>59</v>
      </c>
      <c r="T150" s="2" t="s">
        <v>203</v>
      </c>
    </row>
    <row r="151" spans="1:20" ht="12.5" x14ac:dyDescent="0.25">
      <c r="A151" s="2" t="s">
        <v>662</v>
      </c>
      <c r="B151" s="2" t="s">
        <v>663</v>
      </c>
      <c r="C151" s="2" t="s">
        <v>664</v>
      </c>
      <c r="D151" s="2" t="s">
        <v>665</v>
      </c>
      <c r="E151" s="2" t="s">
        <v>48</v>
      </c>
      <c r="F151" s="2" t="s">
        <v>25</v>
      </c>
      <c r="G151" s="5">
        <v>1554</v>
      </c>
      <c r="H151" s="5">
        <v>15</v>
      </c>
      <c r="I151" s="5">
        <v>1321</v>
      </c>
      <c r="J151" s="5">
        <v>2</v>
      </c>
      <c r="K151" s="2" t="s">
        <v>226</v>
      </c>
      <c r="L151" s="2" t="s">
        <v>64</v>
      </c>
      <c r="M151" s="4">
        <v>3.7</v>
      </c>
      <c r="N151" s="5">
        <v>56</v>
      </c>
      <c r="O151" s="3">
        <v>45850</v>
      </c>
      <c r="P151" s="2" t="s">
        <v>57</v>
      </c>
      <c r="Q151" s="2" t="s">
        <v>29</v>
      </c>
      <c r="R151" s="2" t="s">
        <v>41</v>
      </c>
      <c r="S151" s="2" t="s">
        <v>42</v>
      </c>
      <c r="T151" s="2" t="s">
        <v>32</v>
      </c>
    </row>
    <row r="152" spans="1:20" ht="12.5" x14ac:dyDescent="0.25">
      <c r="A152" s="2" t="s">
        <v>666</v>
      </c>
      <c r="B152" s="2" t="s">
        <v>607</v>
      </c>
      <c r="C152" s="2" t="s">
        <v>667</v>
      </c>
      <c r="D152" s="2" t="s">
        <v>668</v>
      </c>
      <c r="E152" s="2" t="s">
        <v>24</v>
      </c>
      <c r="F152" s="2" t="s">
        <v>25</v>
      </c>
      <c r="G152" s="5">
        <v>2899</v>
      </c>
      <c r="H152" s="5">
        <v>25</v>
      </c>
      <c r="I152" s="5">
        <v>2175</v>
      </c>
      <c r="J152" s="5">
        <v>2</v>
      </c>
      <c r="K152" s="2" t="s">
        <v>163</v>
      </c>
      <c r="L152" s="2" t="s">
        <v>168</v>
      </c>
      <c r="M152" s="4">
        <v>4.5</v>
      </c>
      <c r="N152" s="5">
        <v>273</v>
      </c>
      <c r="O152" s="3">
        <v>45795</v>
      </c>
      <c r="P152" s="2" t="s">
        <v>40</v>
      </c>
      <c r="Q152" s="2" t="s">
        <v>78</v>
      </c>
      <c r="R152" s="2" t="s">
        <v>89</v>
      </c>
      <c r="S152" s="2" t="s">
        <v>90</v>
      </c>
      <c r="T152" s="2" t="s">
        <v>203</v>
      </c>
    </row>
    <row r="153" spans="1:20" ht="12.5" x14ac:dyDescent="0.25">
      <c r="A153" s="2" t="s">
        <v>669</v>
      </c>
      <c r="B153" s="2" t="s">
        <v>670</v>
      </c>
      <c r="C153" s="2" t="s">
        <v>671</v>
      </c>
      <c r="D153" s="2" t="s">
        <v>672</v>
      </c>
      <c r="E153" s="2" t="s">
        <v>37</v>
      </c>
      <c r="F153" s="2" t="s">
        <v>38</v>
      </c>
      <c r="G153" s="5">
        <v>1987</v>
      </c>
      <c r="H153" s="5">
        <v>30</v>
      </c>
      <c r="I153" s="5">
        <v>1391</v>
      </c>
      <c r="J153" s="5">
        <v>2</v>
      </c>
      <c r="K153" s="2">
        <v>42</v>
      </c>
      <c r="L153" s="2" t="s">
        <v>168</v>
      </c>
      <c r="M153" s="4">
        <v>4.0999999999999996</v>
      </c>
      <c r="N153" s="5">
        <v>271</v>
      </c>
      <c r="O153" s="3">
        <v>45822</v>
      </c>
      <c r="P153" s="2" t="s">
        <v>28</v>
      </c>
      <c r="Q153" s="2" t="s">
        <v>78</v>
      </c>
      <c r="R153" s="2" t="s">
        <v>185</v>
      </c>
      <c r="S153" s="2" t="s">
        <v>186</v>
      </c>
      <c r="T153" s="2" t="s">
        <v>32</v>
      </c>
    </row>
    <row r="154" spans="1:20" ht="12.5" x14ac:dyDescent="0.25">
      <c r="A154" s="2" t="s">
        <v>673</v>
      </c>
      <c r="B154" s="2" t="s">
        <v>637</v>
      </c>
      <c r="C154" s="2" t="s">
        <v>674</v>
      </c>
      <c r="D154" s="2" t="s">
        <v>675</v>
      </c>
      <c r="E154" s="2" t="s">
        <v>116</v>
      </c>
      <c r="F154" s="2" t="s">
        <v>117</v>
      </c>
      <c r="G154" s="5">
        <v>954</v>
      </c>
      <c r="H154" s="5">
        <v>30</v>
      </c>
      <c r="I154" s="5">
        <v>668</v>
      </c>
      <c r="J154" s="5">
        <v>1</v>
      </c>
      <c r="K154" s="2" t="s">
        <v>32</v>
      </c>
      <c r="L154" s="2" t="s">
        <v>103</v>
      </c>
      <c r="M154" s="4">
        <v>4.3</v>
      </c>
      <c r="N154" s="5">
        <v>72</v>
      </c>
      <c r="O154" s="3">
        <v>45839</v>
      </c>
      <c r="P154" s="2" t="s">
        <v>40</v>
      </c>
      <c r="Q154" s="2" t="s">
        <v>78</v>
      </c>
      <c r="R154" s="2" t="s">
        <v>41</v>
      </c>
      <c r="S154" s="2" t="s">
        <v>42</v>
      </c>
      <c r="T154" s="2" t="s">
        <v>43</v>
      </c>
    </row>
    <row r="155" spans="1:20" ht="12.5" x14ac:dyDescent="0.25">
      <c r="A155" s="2" t="s">
        <v>676</v>
      </c>
      <c r="B155" s="2" t="s">
        <v>677</v>
      </c>
      <c r="C155" s="2" t="s">
        <v>678</v>
      </c>
      <c r="D155" s="2" t="s">
        <v>679</v>
      </c>
      <c r="E155" s="2" t="s">
        <v>147</v>
      </c>
      <c r="F155" s="2" t="s">
        <v>148</v>
      </c>
      <c r="G155" s="5">
        <v>1695</v>
      </c>
      <c r="H155" s="5">
        <v>10</v>
      </c>
      <c r="I155" s="5">
        <v>1526</v>
      </c>
      <c r="J155" s="5">
        <v>3</v>
      </c>
      <c r="K155" s="2" t="s">
        <v>32</v>
      </c>
      <c r="L155" s="2" t="s">
        <v>49</v>
      </c>
      <c r="M155" s="4">
        <v>5</v>
      </c>
      <c r="N155" s="5">
        <v>252</v>
      </c>
      <c r="O155" s="3">
        <v>45812</v>
      </c>
      <c r="P155" s="2" t="s">
        <v>40</v>
      </c>
      <c r="Q155" s="2" t="s">
        <v>65</v>
      </c>
      <c r="R155" s="2" t="s">
        <v>58</v>
      </c>
      <c r="S155" s="2" t="s">
        <v>59</v>
      </c>
      <c r="T155" s="2" t="s">
        <v>134</v>
      </c>
    </row>
    <row r="156" spans="1:20" ht="12.5" x14ac:dyDescent="0.25">
      <c r="A156" s="2" t="s">
        <v>680</v>
      </c>
      <c r="B156" s="2" t="s">
        <v>681</v>
      </c>
      <c r="C156" s="2" t="s">
        <v>682</v>
      </c>
      <c r="D156" s="2" t="s">
        <v>683</v>
      </c>
      <c r="E156" s="2" t="s">
        <v>116</v>
      </c>
      <c r="F156" s="2" t="s">
        <v>117</v>
      </c>
      <c r="G156" s="5">
        <v>2838</v>
      </c>
      <c r="H156" s="5">
        <v>30</v>
      </c>
      <c r="I156" s="5">
        <v>1987</v>
      </c>
      <c r="J156" s="5">
        <v>2</v>
      </c>
      <c r="K156" s="2" t="s">
        <v>261</v>
      </c>
      <c r="L156" s="2" t="s">
        <v>88</v>
      </c>
      <c r="M156" s="4">
        <v>3.6</v>
      </c>
      <c r="N156" s="5">
        <v>159</v>
      </c>
      <c r="O156" s="3">
        <v>45799</v>
      </c>
      <c r="P156" s="2" t="s">
        <v>57</v>
      </c>
      <c r="Q156" s="2" t="s">
        <v>29</v>
      </c>
      <c r="R156" s="2" t="s">
        <v>149</v>
      </c>
      <c r="S156" s="2" t="s">
        <v>150</v>
      </c>
      <c r="T156" s="2" t="s">
        <v>32</v>
      </c>
    </row>
    <row r="157" spans="1:20" ht="12.5" x14ac:dyDescent="0.25">
      <c r="A157" s="2" t="s">
        <v>684</v>
      </c>
      <c r="B157" s="2" t="s">
        <v>685</v>
      </c>
      <c r="C157" s="2" t="s">
        <v>686</v>
      </c>
      <c r="D157" s="2" t="s">
        <v>687</v>
      </c>
      <c r="E157" s="2" t="s">
        <v>24</v>
      </c>
      <c r="F157" s="2" t="s">
        <v>25</v>
      </c>
      <c r="G157" s="5">
        <v>3559</v>
      </c>
      <c r="H157" s="5">
        <v>35</v>
      </c>
      <c r="I157" s="5">
        <v>2314</v>
      </c>
      <c r="J157" s="5">
        <v>3</v>
      </c>
      <c r="K157" s="2">
        <v>42</v>
      </c>
      <c r="L157" s="2" t="s">
        <v>133</v>
      </c>
      <c r="M157" s="4">
        <v>4.9000000000000004</v>
      </c>
      <c r="N157" s="5">
        <v>212</v>
      </c>
      <c r="O157" s="3">
        <v>45777</v>
      </c>
      <c r="P157" s="2" t="s">
        <v>28</v>
      </c>
      <c r="Q157" s="2" t="s">
        <v>78</v>
      </c>
      <c r="R157" s="2" t="s">
        <v>58</v>
      </c>
      <c r="S157" s="2" t="s">
        <v>59</v>
      </c>
      <c r="T157" s="2" t="s">
        <v>32</v>
      </c>
    </row>
    <row r="158" spans="1:20" ht="12.5" x14ac:dyDescent="0.25">
      <c r="A158" s="2" t="s">
        <v>688</v>
      </c>
      <c r="B158" s="2" t="s">
        <v>689</v>
      </c>
      <c r="C158" s="2" t="s">
        <v>690</v>
      </c>
      <c r="D158" s="2" t="s">
        <v>691</v>
      </c>
      <c r="E158" s="2" t="s">
        <v>24</v>
      </c>
      <c r="F158" s="2" t="s">
        <v>25</v>
      </c>
      <c r="G158" s="5">
        <v>1178</v>
      </c>
      <c r="H158" s="5">
        <v>10</v>
      </c>
      <c r="I158" s="5">
        <v>1061</v>
      </c>
      <c r="J158" s="5">
        <v>2</v>
      </c>
      <c r="K158" s="2">
        <v>40</v>
      </c>
      <c r="L158" s="2" t="s">
        <v>73</v>
      </c>
      <c r="M158" s="4">
        <v>4.3</v>
      </c>
      <c r="N158" s="5">
        <v>120</v>
      </c>
      <c r="O158" s="3">
        <v>45803</v>
      </c>
      <c r="P158" s="2" t="s">
        <v>28</v>
      </c>
      <c r="Q158" s="2" t="s">
        <v>29</v>
      </c>
      <c r="R158" s="2" t="s">
        <v>83</v>
      </c>
      <c r="S158" s="2" t="s">
        <v>83</v>
      </c>
      <c r="T158" s="2" t="s">
        <v>32</v>
      </c>
    </row>
    <row r="159" spans="1:20" ht="12.5" x14ac:dyDescent="0.25">
      <c r="A159" s="2" t="s">
        <v>692</v>
      </c>
      <c r="B159" s="2" t="s">
        <v>693</v>
      </c>
      <c r="C159" s="2" t="s">
        <v>694</v>
      </c>
      <c r="D159" s="2" t="s">
        <v>695</v>
      </c>
      <c r="E159" s="2" t="s">
        <v>122</v>
      </c>
      <c r="F159" s="2" t="s">
        <v>123</v>
      </c>
      <c r="G159" s="5">
        <v>4085</v>
      </c>
      <c r="H159" s="5">
        <v>30</v>
      </c>
      <c r="I159" s="5">
        <v>2860</v>
      </c>
      <c r="J159" s="5">
        <v>1</v>
      </c>
      <c r="K159" s="2" t="s">
        <v>261</v>
      </c>
      <c r="L159" s="2" t="s">
        <v>27</v>
      </c>
      <c r="M159" s="4">
        <v>4.7</v>
      </c>
      <c r="N159" s="5">
        <v>271</v>
      </c>
      <c r="O159" s="3">
        <v>45849</v>
      </c>
      <c r="P159" s="2" t="s">
        <v>28</v>
      </c>
      <c r="Q159" s="2" t="s">
        <v>65</v>
      </c>
      <c r="R159" s="2" t="s">
        <v>104</v>
      </c>
      <c r="S159" s="2" t="s">
        <v>105</v>
      </c>
      <c r="T159" s="2" t="s">
        <v>32</v>
      </c>
    </row>
    <row r="160" spans="1:20" ht="12.5" x14ac:dyDescent="0.25">
      <c r="A160" s="2" t="s">
        <v>696</v>
      </c>
      <c r="B160" s="2" t="s">
        <v>697</v>
      </c>
      <c r="C160" s="2" t="s">
        <v>698</v>
      </c>
      <c r="D160" s="2" t="s">
        <v>699</v>
      </c>
      <c r="E160" s="2" t="s">
        <v>122</v>
      </c>
      <c r="F160" s="2" t="s">
        <v>123</v>
      </c>
      <c r="G160" s="5">
        <v>4007</v>
      </c>
      <c r="H160" s="5">
        <v>25</v>
      </c>
      <c r="I160" s="5">
        <v>3006</v>
      </c>
      <c r="J160" s="5">
        <v>2</v>
      </c>
      <c r="K160" s="2" t="s">
        <v>26</v>
      </c>
      <c r="L160" s="2" t="s">
        <v>27</v>
      </c>
      <c r="M160" s="4">
        <v>3.7</v>
      </c>
      <c r="N160" s="5">
        <v>187</v>
      </c>
      <c r="O160" s="3">
        <v>45786</v>
      </c>
      <c r="P160" s="2" t="s">
        <v>28</v>
      </c>
      <c r="Q160" s="2" t="s">
        <v>29</v>
      </c>
      <c r="R160" s="2" t="s">
        <v>110</v>
      </c>
      <c r="S160" s="2" t="s">
        <v>111</v>
      </c>
      <c r="T160" s="2" t="s">
        <v>32</v>
      </c>
    </row>
    <row r="161" spans="1:20" ht="12.5" x14ac:dyDescent="0.25">
      <c r="A161" s="2" t="s">
        <v>700</v>
      </c>
      <c r="B161" s="2" t="s">
        <v>701</v>
      </c>
      <c r="C161" s="2" t="s">
        <v>702</v>
      </c>
      <c r="D161" s="2" t="s">
        <v>703</v>
      </c>
      <c r="E161" s="2" t="s">
        <v>132</v>
      </c>
      <c r="F161" s="2" t="s">
        <v>38</v>
      </c>
      <c r="G161" s="5">
        <v>3883</v>
      </c>
      <c r="H161" s="5">
        <v>35</v>
      </c>
      <c r="I161" s="5">
        <v>2524</v>
      </c>
      <c r="J161" s="5">
        <v>1</v>
      </c>
      <c r="K161" s="2" t="s">
        <v>72</v>
      </c>
      <c r="L161" s="2" t="s">
        <v>39</v>
      </c>
      <c r="M161" s="4">
        <v>4</v>
      </c>
      <c r="N161" s="5">
        <v>188</v>
      </c>
      <c r="O161" s="3">
        <v>45828</v>
      </c>
      <c r="P161" s="2" t="s">
        <v>57</v>
      </c>
      <c r="Q161" s="2" t="s">
        <v>78</v>
      </c>
      <c r="R161" s="2" t="s">
        <v>41</v>
      </c>
      <c r="S161" s="2" t="s">
        <v>42</v>
      </c>
      <c r="T161" s="2" t="s">
        <v>32</v>
      </c>
    </row>
    <row r="162" spans="1:20" ht="12.5" x14ac:dyDescent="0.25">
      <c r="A162" s="2" t="s">
        <v>704</v>
      </c>
      <c r="B162" s="2" t="s">
        <v>705</v>
      </c>
      <c r="C162" s="2" t="s">
        <v>706</v>
      </c>
      <c r="D162" s="2" t="s">
        <v>707</v>
      </c>
      <c r="E162" s="2" t="s">
        <v>37</v>
      </c>
      <c r="F162" s="2" t="s">
        <v>38</v>
      </c>
      <c r="G162" s="5">
        <v>2948</v>
      </c>
      <c r="H162" s="5">
        <v>10</v>
      </c>
      <c r="I162" s="5">
        <v>2654</v>
      </c>
      <c r="J162" s="5">
        <v>1</v>
      </c>
      <c r="K162" s="2">
        <v>40</v>
      </c>
      <c r="L162" s="2" t="s">
        <v>88</v>
      </c>
      <c r="M162" s="4">
        <v>5</v>
      </c>
      <c r="N162" s="5">
        <v>299</v>
      </c>
      <c r="O162" s="3">
        <v>45851</v>
      </c>
      <c r="P162" s="2" t="s">
        <v>57</v>
      </c>
      <c r="Q162" s="2" t="s">
        <v>65</v>
      </c>
      <c r="R162" s="2" t="s">
        <v>104</v>
      </c>
      <c r="S162" s="2" t="s">
        <v>105</v>
      </c>
      <c r="T162" s="2" t="s">
        <v>32</v>
      </c>
    </row>
    <row r="163" spans="1:20" ht="12.5" x14ac:dyDescent="0.25">
      <c r="A163" s="2" t="s">
        <v>708</v>
      </c>
      <c r="B163" s="2" t="s">
        <v>709</v>
      </c>
      <c r="C163" s="2" t="s">
        <v>710</v>
      </c>
      <c r="D163" s="2" t="s">
        <v>711</v>
      </c>
      <c r="E163" s="2" t="s">
        <v>116</v>
      </c>
      <c r="F163" s="2" t="s">
        <v>117</v>
      </c>
      <c r="G163" s="5">
        <v>1868</v>
      </c>
      <c r="H163" s="5">
        <v>10</v>
      </c>
      <c r="I163" s="5">
        <v>1682</v>
      </c>
      <c r="J163" s="5">
        <v>1</v>
      </c>
      <c r="K163" s="2" t="s">
        <v>56</v>
      </c>
      <c r="L163" s="2" t="s">
        <v>27</v>
      </c>
      <c r="M163" s="4">
        <v>4.5</v>
      </c>
      <c r="N163" s="5">
        <v>241</v>
      </c>
      <c r="O163" s="3">
        <v>45790</v>
      </c>
      <c r="P163" s="2" t="s">
        <v>28</v>
      </c>
      <c r="Q163" s="2" t="s">
        <v>29</v>
      </c>
      <c r="R163" s="2" t="s">
        <v>110</v>
      </c>
      <c r="S163" s="2" t="s">
        <v>111</v>
      </c>
      <c r="T163" s="2" t="s">
        <v>32</v>
      </c>
    </row>
    <row r="164" spans="1:20" ht="12.5" x14ac:dyDescent="0.25">
      <c r="A164" s="2" t="s">
        <v>712</v>
      </c>
      <c r="B164" s="2" t="s">
        <v>713</v>
      </c>
      <c r="C164" s="2" t="s">
        <v>714</v>
      </c>
      <c r="D164" s="2" t="s">
        <v>715</v>
      </c>
      <c r="E164" s="2" t="s">
        <v>48</v>
      </c>
      <c r="F164" s="2" t="s">
        <v>25</v>
      </c>
      <c r="G164" s="5">
        <v>1213</v>
      </c>
      <c r="H164" s="5">
        <v>20</v>
      </c>
      <c r="I164" s="5">
        <v>971</v>
      </c>
      <c r="J164" s="5">
        <v>1</v>
      </c>
      <c r="K164" s="2" t="s">
        <v>32</v>
      </c>
      <c r="L164" s="2" t="s">
        <v>73</v>
      </c>
      <c r="M164" s="4">
        <v>5</v>
      </c>
      <c r="N164" s="5">
        <v>147</v>
      </c>
      <c r="O164" s="3">
        <v>45789</v>
      </c>
      <c r="P164" s="2" t="s">
        <v>57</v>
      </c>
      <c r="Q164" s="2" t="s">
        <v>29</v>
      </c>
      <c r="R164" s="2" t="s">
        <v>110</v>
      </c>
      <c r="S164" s="2" t="s">
        <v>111</v>
      </c>
      <c r="T164" s="2" t="s">
        <v>32</v>
      </c>
    </row>
    <row r="165" spans="1:20" ht="12.5" x14ac:dyDescent="0.25">
      <c r="A165" s="2" t="s">
        <v>716</v>
      </c>
      <c r="B165" s="2" t="s">
        <v>717</v>
      </c>
      <c r="C165" s="2" t="s">
        <v>718</v>
      </c>
      <c r="D165" s="2" t="s">
        <v>719</v>
      </c>
      <c r="E165" s="2" t="s">
        <v>247</v>
      </c>
      <c r="F165" s="2" t="s">
        <v>248</v>
      </c>
      <c r="G165" s="5">
        <v>2587</v>
      </c>
      <c r="H165" s="5">
        <v>40</v>
      </c>
      <c r="I165" s="5">
        <v>1553</v>
      </c>
      <c r="J165" s="5">
        <v>2</v>
      </c>
      <c r="K165" s="2">
        <v>44</v>
      </c>
      <c r="L165" s="2" t="s">
        <v>64</v>
      </c>
      <c r="M165" s="4">
        <v>3.8</v>
      </c>
      <c r="N165" s="5">
        <v>294</v>
      </c>
      <c r="O165" s="3">
        <v>45849</v>
      </c>
      <c r="P165" s="2" t="s">
        <v>57</v>
      </c>
      <c r="Q165" s="2" t="s">
        <v>78</v>
      </c>
      <c r="R165" s="2" t="s">
        <v>30</v>
      </c>
      <c r="S165" s="2" t="s">
        <v>31</v>
      </c>
      <c r="T165" s="2" t="s">
        <v>32</v>
      </c>
    </row>
    <row r="166" spans="1:20" ht="12.5" x14ac:dyDescent="0.25">
      <c r="A166" s="2" t="s">
        <v>720</v>
      </c>
      <c r="B166" s="2" t="s">
        <v>721</v>
      </c>
      <c r="C166" s="2" t="s">
        <v>722</v>
      </c>
      <c r="D166" s="2" t="s">
        <v>723</v>
      </c>
      <c r="E166" s="2" t="s">
        <v>48</v>
      </c>
      <c r="F166" s="2" t="s">
        <v>25</v>
      </c>
      <c r="G166" s="5">
        <v>4193</v>
      </c>
      <c r="H166" s="5">
        <v>15</v>
      </c>
      <c r="I166" s="5">
        <v>3565</v>
      </c>
      <c r="J166" s="5">
        <v>3</v>
      </c>
      <c r="K166" s="2" t="s">
        <v>163</v>
      </c>
      <c r="L166" s="2" t="s">
        <v>39</v>
      </c>
      <c r="M166" s="4">
        <v>4.9000000000000004</v>
      </c>
      <c r="N166" s="5">
        <v>173</v>
      </c>
      <c r="O166" s="3">
        <v>45774</v>
      </c>
      <c r="P166" s="2" t="s">
        <v>40</v>
      </c>
      <c r="Q166" s="2" t="s">
        <v>29</v>
      </c>
      <c r="R166" s="2" t="s">
        <v>110</v>
      </c>
      <c r="S166" s="2" t="s">
        <v>111</v>
      </c>
      <c r="T166" s="2" t="s">
        <v>203</v>
      </c>
    </row>
    <row r="167" spans="1:20" ht="12.5" x14ac:dyDescent="0.25">
      <c r="A167" s="2" t="s">
        <v>724</v>
      </c>
      <c r="B167" s="2" t="s">
        <v>725</v>
      </c>
      <c r="C167" s="2" t="s">
        <v>726</v>
      </c>
      <c r="D167" s="2" t="s">
        <v>727</v>
      </c>
      <c r="E167" s="2" t="s">
        <v>55</v>
      </c>
      <c r="F167" s="2" t="s">
        <v>38</v>
      </c>
      <c r="G167" s="5">
        <v>4530</v>
      </c>
      <c r="H167" s="5">
        <v>15</v>
      </c>
      <c r="I167" s="5">
        <v>3851</v>
      </c>
      <c r="J167" s="5">
        <v>1</v>
      </c>
      <c r="K167" s="2">
        <v>40</v>
      </c>
      <c r="L167" s="2" t="s">
        <v>133</v>
      </c>
      <c r="M167" s="4">
        <v>4.0999999999999996</v>
      </c>
      <c r="N167" s="5">
        <v>63</v>
      </c>
      <c r="O167" s="3">
        <v>45850</v>
      </c>
      <c r="P167" s="2" t="s">
        <v>28</v>
      </c>
      <c r="Q167" s="2" t="s">
        <v>29</v>
      </c>
      <c r="R167" s="2" t="s">
        <v>110</v>
      </c>
      <c r="S167" s="2" t="s">
        <v>111</v>
      </c>
      <c r="T167" s="2" t="s">
        <v>32</v>
      </c>
    </row>
    <row r="168" spans="1:20" ht="12.5" x14ac:dyDescent="0.25">
      <c r="A168" s="2" t="s">
        <v>728</v>
      </c>
      <c r="B168" s="2" t="s">
        <v>729</v>
      </c>
      <c r="C168" s="2" t="s">
        <v>730</v>
      </c>
      <c r="D168" s="2" t="s">
        <v>731</v>
      </c>
      <c r="E168" s="2" t="s">
        <v>122</v>
      </c>
      <c r="F168" s="2" t="s">
        <v>123</v>
      </c>
      <c r="G168" s="5">
        <v>2949</v>
      </c>
      <c r="H168" s="5">
        <v>20</v>
      </c>
      <c r="I168" s="5">
        <v>2360</v>
      </c>
      <c r="J168" s="5">
        <v>3</v>
      </c>
      <c r="K168" s="2" t="s">
        <v>72</v>
      </c>
      <c r="L168" s="2" t="s">
        <v>73</v>
      </c>
      <c r="M168" s="4">
        <v>4.9000000000000004</v>
      </c>
      <c r="N168" s="5">
        <v>59</v>
      </c>
      <c r="O168" s="3">
        <v>45858</v>
      </c>
      <c r="P168" s="2" t="s">
        <v>40</v>
      </c>
      <c r="Q168" s="2" t="s">
        <v>65</v>
      </c>
      <c r="R168" s="2" t="s">
        <v>66</v>
      </c>
      <c r="S168" s="2" t="s">
        <v>67</v>
      </c>
      <c r="T168" s="2" t="s">
        <v>32</v>
      </c>
    </row>
    <row r="169" spans="1:20" ht="12.5" x14ac:dyDescent="0.25">
      <c r="A169" s="2" t="s">
        <v>732</v>
      </c>
      <c r="B169" s="2" t="s">
        <v>644</v>
      </c>
      <c r="C169" s="2" t="s">
        <v>733</v>
      </c>
      <c r="D169" s="2" t="s">
        <v>734</v>
      </c>
      <c r="E169" s="2" t="s">
        <v>208</v>
      </c>
      <c r="F169" s="2" t="s">
        <v>117</v>
      </c>
      <c r="G169" s="5">
        <v>1056</v>
      </c>
      <c r="H169" s="5">
        <v>10</v>
      </c>
      <c r="I169" s="5">
        <v>951</v>
      </c>
      <c r="J169" s="5">
        <v>2</v>
      </c>
      <c r="K169" s="2">
        <v>44</v>
      </c>
      <c r="L169" s="2" t="s">
        <v>73</v>
      </c>
      <c r="M169" s="4">
        <v>4.4000000000000004</v>
      </c>
      <c r="N169" s="5">
        <v>64</v>
      </c>
      <c r="O169" s="3">
        <v>45787</v>
      </c>
      <c r="P169" s="2" t="s">
        <v>57</v>
      </c>
      <c r="Q169" s="2" t="s">
        <v>78</v>
      </c>
      <c r="R169" s="2" t="s">
        <v>83</v>
      </c>
      <c r="S169" s="2" t="s">
        <v>83</v>
      </c>
      <c r="T169" s="2" t="s">
        <v>32</v>
      </c>
    </row>
    <row r="170" spans="1:20" ht="12.5" x14ac:dyDescent="0.25">
      <c r="A170" s="2" t="s">
        <v>735</v>
      </c>
      <c r="B170" s="2" t="s">
        <v>736</v>
      </c>
      <c r="C170" s="2" t="s">
        <v>737</v>
      </c>
      <c r="D170" s="2" t="s">
        <v>738</v>
      </c>
      <c r="E170" s="2" t="s">
        <v>116</v>
      </c>
      <c r="F170" s="2" t="s">
        <v>117</v>
      </c>
      <c r="G170" s="5">
        <v>2307</v>
      </c>
      <c r="H170" s="5">
        <v>25</v>
      </c>
      <c r="I170" s="5">
        <v>1731</v>
      </c>
      <c r="J170" s="5">
        <v>3</v>
      </c>
      <c r="K170" s="2">
        <v>42</v>
      </c>
      <c r="L170" s="2" t="s">
        <v>168</v>
      </c>
      <c r="M170" s="4">
        <v>4.9000000000000004</v>
      </c>
      <c r="N170" s="5">
        <v>19</v>
      </c>
      <c r="O170" s="3">
        <v>45841</v>
      </c>
      <c r="P170" s="2" t="s">
        <v>28</v>
      </c>
      <c r="Q170" s="2" t="s">
        <v>78</v>
      </c>
      <c r="R170" s="2" t="s">
        <v>41</v>
      </c>
      <c r="S170" s="2" t="s">
        <v>42</v>
      </c>
      <c r="T170" s="2" t="s">
        <v>32</v>
      </c>
    </row>
    <row r="171" spans="1:20" ht="12.5" x14ac:dyDescent="0.25">
      <c r="A171" s="2" t="s">
        <v>739</v>
      </c>
      <c r="B171" s="2" t="s">
        <v>713</v>
      </c>
      <c r="C171" s="2" t="s">
        <v>740</v>
      </c>
      <c r="D171" s="2" t="s">
        <v>741</v>
      </c>
      <c r="E171" s="2" t="s">
        <v>132</v>
      </c>
      <c r="F171" s="2" t="s">
        <v>38</v>
      </c>
      <c r="G171" s="5">
        <v>3022</v>
      </c>
      <c r="H171" s="5">
        <v>20</v>
      </c>
      <c r="I171" s="5">
        <v>2418</v>
      </c>
      <c r="J171" s="5">
        <v>2</v>
      </c>
      <c r="K171" s="2" t="s">
        <v>56</v>
      </c>
      <c r="L171" s="2" t="s">
        <v>64</v>
      </c>
      <c r="M171" s="4">
        <v>4.3</v>
      </c>
      <c r="N171" s="5">
        <v>220</v>
      </c>
      <c r="O171" s="3">
        <v>45841</v>
      </c>
      <c r="P171" s="2" t="s">
        <v>57</v>
      </c>
      <c r="Q171" s="2" t="s">
        <v>78</v>
      </c>
      <c r="R171" s="2" t="s">
        <v>66</v>
      </c>
      <c r="S171" s="2" t="s">
        <v>67</v>
      </c>
      <c r="T171" s="2" t="s">
        <v>32</v>
      </c>
    </row>
    <row r="172" spans="1:20" ht="12.5" x14ac:dyDescent="0.25">
      <c r="A172" s="2" t="s">
        <v>742</v>
      </c>
      <c r="B172" s="2" t="s">
        <v>174</v>
      </c>
      <c r="C172" s="2" t="s">
        <v>743</v>
      </c>
      <c r="D172" s="2" t="s">
        <v>744</v>
      </c>
      <c r="E172" s="2" t="s">
        <v>116</v>
      </c>
      <c r="F172" s="2" t="s">
        <v>117</v>
      </c>
      <c r="G172" s="5">
        <v>4083</v>
      </c>
      <c r="H172" s="5">
        <v>30</v>
      </c>
      <c r="I172" s="5">
        <v>2859</v>
      </c>
      <c r="J172" s="5">
        <v>2</v>
      </c>
      <c r="K172" s="2" t="s">
        <v>226</v>
      </c>
      <c r="L172" s="2" t="s">
        <v>133</v>
      </c>
      <c r="M172" s="4">
        <v>3.9</v>
      </c>
      <c r="N172" s="5">
        <v>166</v>
      </c>
      <c r="O172" s="3">
        <v>45827</v>
      </c>
      <c r="P172" s="2" t="s">
        <v>40</v>
      </c>
      <c r="Q172" s="2" t="s">
        <v>78</v>
      </c>
      <c r="R172" s="2" t="s">
        <v>185</v>
      </c>
      <c r="S172" s="2" t="s">
        <v>186</v>
      </c>
      <c r="T172" s="2" t="s">
        <v>134</v>
      </c>
    </row>
    <row r="173" spans="1:20" ht="12.5" x14ac:dyDescent="0.25">
      <c r="A173" s="2" t="s">
        <v>745</v>
      </c>
      <c r="B173" s="2" t="s">
        <v>746</v>
      </c>
      <c r="C173" s="2" t="s">
        <v>747</v>
      </c>
      <c r="D173" s="2" t="s">
        <v>748</v>
      </c>
      <c r="E173" s="2" t="s">
        <v>24</v>
      </c>
      <c r="F173" s="2" t="s">
        <v>25</v>
      </c>
      <c r="G173" s="5">
        <v>620</v>
      </c>
      <c r="H173" s="5">
        <v>15</v>
      </c>
      <c r="I173" s="5">
        <v>527</v>
      </c>
      <c r="J173" s="5">
        <v>1</v>
      </c>
      <c r="K173" s="2" t="s">
        <v>261</v>
      </c>
      <c r="L173" s="2" t="s">
        <v>168</v>
      </c>
      <c r="M173" s="4">
        <v>4.5999999999999996</v>
      </c>
      <c r="N173" s="5">
        <v>38</v>
      </c>
      <c r="O173" s="3">
        <v>45780</v>
      </c>
      <c r="P173" s="2" t="s">
        <v>40</v>
      </c>
      <c r="Q173" s="2" t="s">
        <v>65</v>
      </c>
      <c r="R173" s="2" t="s">
        <v>185</v>
      </c>
      <c r="S173" s="2" t="s">
        <v>186</v>
      </c>
      <c r="T173" s="2" t="s">
        <v>50</v>
      </c>
    </row>
    <row r="174" spans="1:20" ht="12.5" x14ac:dyDescent="0.25">
      <c r="A174" s="2" t="s">
        <v>749</v>
      </c>
      <c r="B174" s="2" t="s">
        <v>369</v>
      </c>
      <c r="C174" s="2" t="s">
        <v>750</v>
      </c>
      <c r="D174" s="2" t="s">
        <v>751</v>
      </c>
      <c r="E174" s="2" t="s">
        <v>37</v>
      </c>
      <c r="F174" s="2" t="s">
        <v>38</v>
      </c>
      <c r="G174" s="5">
        <v>2041</v>
      </c>
      <c r="H174" s="5">
        <v>30</v>
      </c>
      <c r="I174" s="5">
        <v>1429</v>
      </c>
      <c r="J174" s="5">
        <v>2</v>
      </c>
      <c r="K174" s="2" t="s">
        <v>56</v>
      </c>
      <c r="L174" s="2" t="s">
        <v>64</v>
      </c>
      <c r="M174" s="4">
        <v>4.7</v>
      </c>
      <c r="N174" s="5">
        <v>230</v>
      </c>
      <c r="O174" s="3">
        <v>45817</v>
      </c>
      <c r="P174" s="2" t="s">
        <v>28</v>
      </c>
      <c r="Q174" s="2" t="s">
        <v>65</v>
      </c>
      <c r="R174" s="2" t="s">
        <v>30</v>
      </c>
      <c r="S174" s="2" t="s">
        <v>31</v>
      </c>
      <c r="T174" s="2" t="s">
        <v>32</v>
      </c>
    </row>
    <row r="175" spans="1:20" ht="12.5" x14ac:dyDescent="0.25">
      <c r="A175" s="2" t="s">
        <v>752</v>
      </c>
      <c r="B175" s="2" t="s">
        <v>753</v>
      </c>
      <c r="C175" s="2" t="s">
        <v>754</v>
      </c>
      <c r="D175" s="2" t="s">
        <v>755</v>
      </c>
      <c r="E175" s="2" t="s">
        <v>55</v>
      </c>
      <c r="F175" s="2" t="s">
        <v>38</v>
      </c>
      <c r="G175" s="5">
        <v>3272</v>
      </c>
      <c r="H175" s="5">
        <v>25</v>
      </c>
      <c r="I175" s="5">
        <v>2454</v>
      </c>
      <c r="J175" s="5">
        <v>2</v>
      </c>
      <c r="K175" s="2" t="s">
        <v>261</v>
      </c>
      <c r="L175" s="2" t="s">
        <v>27</v>
      </c>
      <c r="M175" s="4">
        <v>4.9000000000000004</v>
      </c>
      <c r="N175" s="5">
        <v>255</v>
      </c>
      <c r="O175" s="3">
        <v>45769</v>
      </c>
      <c r="P175" s="2" t="s">
        <v>57</v>
      </c>
      <c r="Q175" s="2" t="s">
        <v>65</v>
      </c>
      <c r="R175" s="2" t="s">
        <v>66</v>
      </c>
      <c r="S175" s="2" t="s">
        <v>67</v>
      </c>
      <c r="T175" s="2" t="s">
        <v>32</v>
      </c>
    </row>
    <row r="176" spans="1:20" ht="12.5" x14ac:dyDescent="0.25">
      <c r="A176" s="2" t="s">
        <v>756</v>
      </c>
      <c r="B176" s="2" t="s">
        <v>757</v>
      </c>
      <c r="C176" s="2" t="s">
        <v>758</v>
      </c>
      <c r="D176" s="2" t="s">
        <v>759</v>
      </c>
      <c r="E176" s="2" t="s">
        <v>48</v>
      </c>
      <c r="F176" s="2" t="s">
        <v>25</v>
      </c>
      <c r="G176" s="5">
        <v>1939</v>
      </c>
      <c r="H176" s="5">
        <v>35</v>
      </c>
      <c r="I176" s="5">
        <v>1261</v>
      </c>
      <c r="J176" s="5">
        <v>2</v>
      </c>
      <c r="K176" s="2" t="s">
        <v>32</v>
      </c>
      <c r="L176" s="2" t="s">
        <v>73</v>
      </c>
      <c r="M176" s="4">
        <v>3.8</v>
      </c>
      <c r="N176" s="5">
        <v>111</v>
      </c>
      <c r="O176" s="3">
        <v>45802</v>
      </c>
      <c r="P176" s="2" t="s">
        <v>40</v>
      </c>
      <c r="Q176" s="2" t="s">
        <v>29</v>
      </c>
      <c r="R176" s="2" t="s">
        <v>66</v>
      </c>
      <c r="S176" s="2" t="s">
        <v>67</v>
      </c>
      <c r="T176" s="2" t="s">
        <v>134</v>
      </c>
    </row>
    <row r="177" spans="1:20" ht="12.5" x14ac:dyDescent="0.25">
      <c r="A177" s="2" t="s">
        <v>760</v>
      </c>
      <c r="B177" s="2" t="s">
        <v>761</v>
      </c>
      <c r="C177" s="2" t="s">
        <v>762</v>
      </c>
      <c r="D177" s="2" t="s">
        <v>763</v>
      </c>
      <c r="E177" s="2" t="s">
        <v>247</v>
      </c>
      <c r="F177" s="2" t="s">
        <v>248</v>
      </c>
      <c r="G177" s="5">
        <v>4054</v>
      </c>
      <c r="H177" s="5">
        <v>15</v>
      </c>
      <c r="I177" s="5">
        <v>3446</v>
      </c>
      <c r="J177" s="5">
        <v>3</v>
      </c>
      <c r="K177" s="2">
        <v>42</v>
      </c>
      <c r="L177" s="2" t="s">
        <v>27</v>
      </c>
      <c r="M177" s="4">
        <v>3.7</v>
      </c>
      <c r="N177" s="5">
        <v>196</v>
      </c>
      <c r="O177" s="3">
        <v>45814</v>
      </c>
      <c r="P177" s="2" t="s">
        <v>28</v>
      </c>
      <c r="Q177" s="2" t="s">
        <v>29</v>
      </c>
      <c r="R177" s="2" t="s">
        <v>104</v>
      </c>
      <c r="S177" s="2" t="s">
        <v>105</v>
      </c>
      <c r="T177" s="2" t="s">
        <v>32</v>
      </c>
    </row>
    <row r="178" spans="1:20" ht="12.5" x14ac:dyDescent="0.25">
      <c r="A178" s="2" t="s">
        <v>764</v>
      </c>
      <c r="B178" s="2" t="s">
        <v>765</v>
      </c>
      <c r="C178" s="2" t="s">
        <v>766</v>
      </c>
      <c r="D178" s="2" t="s">
        <v>767</v>
      </c>
      <c r="E178" s="2" t="s">
        <v>48</v>
      </c>
      <c r="F178" s="2" t="s">
        <v>25</v>
      </c>
      <c r="G178" s="5">
        <v>4210</v>
      </c>
      <c r="H178" s="5">
        <v>35</v>
      </c>
      <c r="I178" s="5">
        <v>2737</v>
      </c>
      <c r="J178" s="5">
        <v>3</v>
      </c>
      <c r="K178" s="2" t="s">
        <v>32</v>
      </c>
      <c r="L178" s="2" t="s">
        <v>88</v>
      </c>
      <c r="M178" s="4">
        <v>4.5</v>
      </c>
      <c r="N178" s="5">
        <v>23</v>
      </c>
      <c r="O178" s="3">
        <v>45833</v>
      </c>
      <c r="P178" s="2" t="s">
        <v>57</v>
      </c>
      <c r="Q178" s="2" t="s">
        <v>29</v>
      </c>
      <c r="R178" s="2" t="s">
        <v>30</v>
      </c>
      <c r="S178" s="2" t="s">
        <v>31</v>
      </c>
      <c r="T178" s="2" t="s">
        <v>32</v>
      </c>
    </row>
    <row r="179" spans="1:20" ht="12.5" x14ac:dyDescent="0.25">
      <c r="A179" s="2" t="s">
        <v>768</v>
      </c>
      <c r="B179" s="2" t="s">
        <v>769</v>
      </c>
      <c r="C179" s="2" t="s">
        <v>770</v>
      </c>
      <c r="D179" s="2" t="s">
        <v>771</v>
      </c>
      <c r="E179" s="2" t="s">
        <v>37</v>
      </c>
      <c r="F179" s="2" t="s">
        <v>38</v>
      </c>
      <c r="G179" s="5">
        <v>3744</v>
      </c>
      <c r="H179" s="5">
        <v>40</v>
      </c>
      <c r="I179" s="5">
        <v>2247</v>
      </c>
      <c r="J179" s="5">
        <v>2</v>
      </c>
      <c r="K179" s="2" t="s">
        <v>163</v>
      </c>
      <c r="L179" s="2" t="s">
        <v>133</v>
      </c>
      <c r="M179" s="4">
        <v>4.5</v>
      </c>
      <c r="N179" s="5">
        <v>96</v>
      </c>
      <c r="O179" s="3">
        <v>45852</v>
      </c>
      <c r="P179" s="2" t="s">
        <v>57</v>
      </c>
      <c r="Q179" s="2" t="s">
        <v>78</v>
      </c>
      <c r="R179" s="2" t="s">
        <v>30</v>
      </c>
      <c r="S179" s="2" t="s">
        <v>31</v>
      </c>
      <c r="T179" s="2" t="s">
        <v>32</v>
      </c>
    </row>
    <row r="180" spans="1:20" ht="12.5" x14ac:dyDescent="0.25">
      <c r="A180" s="2" t="s">
        <v>772</v>
      </c>
      <c r="B180" s="2" t="s">
        <v>773</v>
      </c>
      <c r="C180" s="2" t="s">
        <v>774</v>
      </c>
      <c r="D180" s="2" t="s">
        <v>775</v>
      </c>
      <c r="E180" s="2" t="s">
        <v>132</v>
      </c>
      <c r="F180" s="2" t="s">
        <v>38</v>
      </c>
      <c r="G180" s="5">
        <v>3840</v>
      </c>
      <c r="H180" s="5">
        <v>20</v>
      </c>
      <c r="I180" s="5">
        <v>3072</v>
      </c>
      <c r="J180" s="5">
        <v>2</v>
      </c>
      <c r="K180" s="2" t="s">
        <v>26</v>
      </c>
      <c r="L180" s="2" t="s">
        <v>133</v>
      </c>
      <c r="M180" s="4">
        <v>3.8</v>
      </c>
      <c r="N180" s="5">
        <v>25</v>
      </c>
      <c r="O180" s="3">
        <v>45839</v>
      </c>
      <c r="P180" s="2" t="s">
        <v>40</v>
      </c>
      <c r="Q180" s="2" t="s">
        <v>29</v>
      </c>
      <c r="R180" s="2" t="s">
        <v>149</v>
      </c>
      <c r="S180" s="2" t="s">
        <v>150</v>
      </c>
      <c r="T180" s="2" t="s">
        <v>43</v>
      </c>
    </row>
    <row r="181" spans="1:20" ht="12.5" x14ac:dyDescent="0.25">
      <c r="A181" s="2" t="s">
        <v>776</v>
      </c>
      <c r="B181" s="2" t="s">
        <v>250</v>
      </c>
      <c r="C181" s="2" t="s">
        <v>777</v>
      </c>
      <c r="D181" s="2" t="s">
        <v>778</v>
      </c>
      <c r="E181" s="2" t="s">
        <v>37</v>
      </c>
      <c r="F181" s="2" t="s">
        <v>38</v>
      </c>
      <c r="G181" s="5">
        <v>3982</v>
      </c>
      <c r="H181" s="5">
        <v>40</v>
      </c>
      <c r="I181" s="5">
        <v>2390</v>
      </c>
      <c r="J181" s="5">
        <v>1</v>
      </c>
      <c r="K181" s="2" t="s">
        <v>32</v>
      </c>
      <c r="L181" s="2" t="s">
        <v>73</v>
      </c>
      <c r="M181" s="4">
        <v>4.5</v>
      </c>
      <c r="N181" s="5">
        <v>56</v>
      </c>
      <c r="O181" s="3">
        <v>45856</v>
      </c>
      <c r="P181" s="2" t="s">
        <v>57</v>
      </c>
      <c r="Q181" s="2" t="s">
        <v>29</v>
      </c>
      <c r="R181" s="2" t="s">
        <v>110</v>
      </c>
      <c r="S181" s="2" t="s">
        <v>111</v>
      </c>
      <c r="T181" s="2" t="s">
        <v>32</v>
      </c>
    </row>
    <row r="182" spans="1:20" ht="12.5" x14ac:dyDescent="0.25">
      <c r="A182" s="2" t="s">
        <v>779</v>
      </c>
      <c r="B182" s="2" t="s">
        <v>780</v>
      </c>
      <c r="C182" s="2" t="s">
        <v>781</v>
      </c>
      <c r="D182" s="2" t="s">
        <v>782</v>
      </c>
      <c r="E182" s="2" t="s">
        <v>116</v>
      </c>
      <c r="F182" s="2" t="s">
        <v>117</v>
      </c>
      <c r="G182" s="5">
        <v>3854</v>
      </c>
      <c r="H182" s="5">
        <v>35</v>
      </c>
      <c r="I182" s="5">
        <v>2506</v>
      </c>
      <c r="J182" s="5">
        <v>2</v>
      </c>
      <c r="K182" s="2" t="s">
        <v>26</v>
      </c>
      <c r="L182" s="2" t="s">
        <v>88</v>
      </c>
      <c r="M182" s="4">
        <v>3.9</v>
      </c>
      <c r="N182" s="5">
        <v>132</v>
      </c>
      <c r="O182" s="3">
        <v>45784</v>
      </c>
      <c r="P182" s="2" t="s">
        <v>40</v>
      </c>
      <c r="Q182" s="2" t="s">
        <v>29</v>
      </c>
      <c r="R182" s="2" t="s">
        <v>110</v>
      </c>
      <c r="S182" s="2" t="s">
        <v>111</v>
      </c>
      <c r="T182" s="2" t="s">
        <v>203</v>
      </c>
    </row>
    <row r="183" spans="1:20" ht="12.5" x14ac:dyDescent="0.25">
      <c r="A183" s="2" t="s">
        <v>783</v>
      </c>
      <c r="B183" s="2" t="s">
        <v>725</v>
      </c>
      <c r="C183" s="2" t="s">
        <v>784</v>
      </c>
      <c r="D183" s="2" t="s">
        <v>785</v>
      </c>
      <c r="E183" s="2" t="s">
        <v>247</v>
      </c>
      <c r="F183" s="2" t="s">
        <v>248</v>
      </c>
      <c r="G183" s="5">
        <v>2337</v>
      </c>
      <c r="H183" s="5">
        <v>10</v>
      </c>
      <c r="I183" s="5">
        <v>2104</v>
      </c>
      <c r="J183" s="5">
        <v>2</v>
      </c>
      <c r="K183" s="2">
        <v>42</v>
      </c>
      <c r="L183" s="2" t="s">
        <v>103</v>
      </c>
      <c r="M183" s="4">
        <v>4</v>
      </c>
      <c r="N183" s="5">
        <v>90</v>
      </c>
      <c r="O183" s="3">
        <v>45793</v>
      </c>
      <c r="P183" s="2" t="s">
        <v>57</v>
      </c>
      <c r="Q183" s="2" t="s">
        <v>65</v>
      </c>
      <c r="R183" s="2" t="s">
        <v>149</v>
      </c>
      <c r="S183" s="2" t="s">
        <v>150</v>
      </c>
      <c r="T183" s="2" t="s">
        <v>32</v>
      </c>
    </row>
    <row r="184" spans="1:20" ht="12.5" x14ac:dyDescent="0.25">
      <c r="A184" s="2" t="s">
        <v>786</v>
      </c>
      <c r="B184" s="2" t="s">
        <v>787</v>
      </c>
      <c r="C184" s="2" t="s">
        <v>788</v>
      </c>
      <c r="D184" s="2" t="s">
        <v>789</v>
      </c>
      <c r="E184" s="2" t="s">
        <v>247</v>
      </c>
      <c r="F184" s="2" t="s">
        <v>248</v>
      </c>
      <c r="G184" s="5">
        <v>3261</v>
      </c>
      <c r="H184" s="5">
        <v>35</v>
      </c>
      <c r="I184" s="5">
        <v>2120</v>
      </c>
      <c r="J184" s="5">
        <v>1</v>
      </c>
      <c r="K184" s="2" t="s">
        <v>72</v>
      </c>
      <c r="L184" s="2" t="s">
        <v>27</v>
      </c>
      <c r="M184" s="4">
        <v>4.8</v>
      </c>
      <c r="N184" s="5">
        <v>300</v>
      </c>
      <c r="O184" s="3">
        <v>45773</v>
      </c>
      <c r="P184" s="2" t="s">
        <v>57</v>
      </c>
      <c r="Q184" s="2" t="s">
        <v>65</v>
      </c>
      <c r="R184" s="2" t="s">
        <v>58</v>
      </c>
      <c r="S184" s="2" t="s">
        <v>59</v>
      </c>
      <c r="T184" s="2" t="s">
        <v>32</v>
      </c>
    </row>
    <row r="185" spans="1:20" ht="12.5" x14ac:dyDescent="0.25">
      <c r="A185" s="2" t="s">
        <v>790</v>
      </c>
      <c r="B185" s="2" t="s">
        <v>791</v>
      </c>
      <c r="C185" s="2" t="s">
        <v>792</v>
      </c>
      <c r="D185" s="2" t="s">
        <v>793</v>
      </c>
      <c r="E185" s="2" t="s">
        <v>208</v>
      </c>
      <c r="F185" s="2" t="s">
        <v>117</v>
      </c>
      <c r="G185" s="5">
        <v>3907</v>
      </c>
      <c r="H185" s="5">
        <v>40</v>
      </c>
      <c r="I185" s="5">
        <v>2345</v>
      </c>
      <c r="J185" s="5">
        <v>2</v>
      </c>
      <c r="K185" s="2" t="s">
        <v>56</v>
      </c>
      <c r="L185" s="2" t="s">
        <v>27</v>
      </c>
      <c r="M185" s="4">
        <v>3.6</v>
      </c>
      <c r="N185" s="5">
        <v>210</v>
      </c>
      <c r="O185" s="3">
        <v>45858</v>
      </c>
      <c r="P185" s="2" t="s">
        <v>28</v>
      </c>
      <c r="Q185" s="2" t="s">
        <v>29</v>
      </c>
      <c r="R185" s="2" t="s">
        <v>83</v>
      </c>
      <c r="S185" s="2" t="s">
        <v>83</v>
      </c>
      <c r="T185" s="2" t="s">
        <v>32</v>
      </c>
    </row>
    <row r="186" spans="1:20" ht="12.5" x14ac:dyDescent="0.25">
      <c r="A186" s="2" t="s">
        <v>794</v>
      </c>
      <c r="B186" s="2" t="s">
        <v>52</v>
      </c>
      <c r="C186" s="2" t="s">
        <v>795</v>
      </c>
      <c r="D186" s="2" t="s">
        <v>796</v>
      </c>
      <c r="E186" s="2" t="s">
        <v>247</v>
      </c>
      <c r="F186" s="2" t="s">
        <v>248</v>
      </c>
      <c r="G186" s="5">
        <v>3880</v>
      </c>
      <c r="H186" s="5">
        <v>25</v>
      </c>
      <c r="I186" s="5">
        <v>2910</v>
      </c>
      <c r="J186" s="5">
        <v>3</v>
      </c>
      <c r="K186" s="2" t="s">
        <v>26</v>
      </c>
      <c r="L186" s="2" t="s">
        <v>133</v>
      </c>
      <c r="M186" s="4">
        <v>3.7</v>
      </c>
      <c r="N186" s="5">
        <v>222</v>
      </c>
      <c r="O186" s="3">
        <v>45802</v>
      </c>
      <c r="P186" s="2" t="s">
        <v>57</v>
      </c>
      <c r="Q186" s="2" t="s">
        <v>78</v>
      </c>
      <c r="R186" s="2" t="s">
        <v>185</v>
      </c>
      <c r="S186" s="2" t="s">
        <v>186</v>
      </c>
      <c r="T186" s="2" t="s">
        <v>32</v>
      </c>
    </row>
    <row r="187" spans="1:20" ht="12.5" x14ac:dyDescent="0.25">
      <c r="A187" s="2" t="s">
        <v>797</v>
      </c>
      <c r="B187" s="2" t="s">
        <v>798</v>
      </c>
      <c r="C187" s="2" t="s">
        <v>799</v>
      </c>
      <c r="D187" s="2" t="s">
        <v>800</v>
      </c>
      <c r="E187" s="2" t="s">
        <v>55</v>
      </c>
      <c r="F187" s="2" t="s">
        <v>38</v>
      </c>
      <c r="G187" s="5">
        <v>3994</v>
      </c>
      <c r="H187" s="5">
        <v>30</v>
      </c>
      <c r="I187" s="5">
        <v>2796</v>
      </c>
      <c r="J187" s="5">
        <v>2</v>
      </c>
      <c r="K187" s="2" t="s">
        <v>56</v>
      </c>
      <c r="L187" s="2" t="s">
        <v>209</v>
      </c>
      <c r="M187" s="4">
        <v>3.5</v>
      </c>
      <c r="N187" s="5">
        <v>53</v>
      </c>
      <c r="O187" s="3">
        <v>45841</v>
      </c>
      <c r="P187" s="2" t="s">
        <v>28</v>
      </c>
      <c r="Q187" s="2" t="s">
        <v>78</v>
      </c>
      <c r="R187" s="2" t="s">
        <v>66</v>
      </c>
      <c r="S187" s="2" t="s">
        <v>67</v>
      </c>
      <c r="T187" s="2" t="s">
        <v>32</v>
      </c>
    </row>
    <row r="188" spans="1:20" ht="12.5" x14ac:dyDescent="0.25">
      <c r="A188" s="2" t="s">
        <v>801</v>
      </c>
      <c r="B188" s="2" t="s">
        <v>802</v>
      </c>
      <c r="C188" s="2" t="s">
        <v>803</v>
      </c>
      <c r="D188" s="2" t="s">
        <v>804</v>
      </c>
      <c r="E188" s="2" t="s">
        <v>24</v>
      </c>
      <c r="F188" s="2" t="s">
        <v>25</v>
      </c>
      <c r="G188" s="5">
        <v>4562</v>
      </c>
      <c r="H188" s="5">
        <v>30</v>
      </c>
      <c r="I188" s="5">
        <v>3194</v>
      </c>
      <c r="J188" s="5">
        <v>2</v>
      </c>
      <c r="K188" s="2" t="s">
        <v>26</v>
      </c>
      <c r="L188" s="2" t="s">
        <v>103</v>
      </c>
      <c r="M188" s="4">
        <v>4.9000000000000004</v>
      </c>
      <c r="N188" s="5">
        <v>42</v>
      </c>
      <c r="O188" s="3">
        <v>45826</v>
      </c>
      <c r="P188" s="2" t="s">
        <v>40</v>
      </c>
      <c r="Q188" s="2" t="s">
        <v>78</v>
      </c>
      <c r="R188" s="2" t="s">
        <v>185</v>
      </c>
      <c r="S188" s="2" t="s">
        <v>186</v>
      </c>
      <c r="T188" s="2" t="s">
        <v>203</v>
      </c>
    </row>
    <row r="189" spans="1:20" ht="12.5" x14ac:dyDescent="0.25">
      <c r="A189" s="2" t="s">
        <v>805</v>
      </c>
      <c r="B189" s="2" t="s">
        <v>240</v>
      </c>
      <c r="C189" s="2" t="s">
        <v>806</v>
      </c>
      <c r="D189" s="2" t="s">
        <v>807</v>
      </c>
      <c r="E189" s="2" t="s">
        <v>116</v>
      </c>
      <c r="F189" s="2" t="s">
        <v>117</v>
      </c>
      <c r="G189" s="5">
        <v>1184</v>
      </c>
      <c r="H189" s="5">
        <v>15</v>
      </c>
      <c r="I189" s="5">
        <v>1007</v>
      </c>
      <c r="J189" s="5">
        <v>1</v>
      </c>
      <c r="K189" s="2" t="s">
        <v>32</v>
      </c>
      <c r="L189" s="2" t="s">
        <v>103</v>
      </c>
      <c r="M189" s="4">
        <v>4.7</v>
      </c>
      <c r="N189" s="5">
        <v>286</v>
      </c>
      <c r="O189" s="3">
        <v>45779</v>
      </c>
      <c r="P189" s="2" t="s">
        <v>57</v>
      </c>
      <c r="Q189" s="2" t="s">
        <v>65</v>
      </c>
      <c r="R189" s="2" t="s">
        <v>30</v>
      </c>
      <c r="S189" s="2" t="s">
        <v>31</v>
      </c>
      <c r="T189" s="2" t="s">
        <v>32</v>
      </c>
    </row>
    <row r="190" spans="1:20" ht="12.5" x14ac:dyDescent="0.25">
      <c r="A190" s="2" t="s">
        <v>808</v>
      </c>
      <c r="B190" s="2" t="s">
        <v>809</v>
      </c>
      <c r="C190" s="2" t="s">
        <v>810</v>
      </c>
      <c r="D190" s="2" t="s">
        <v>811</v>
      </c>
      <c r="E190" s="2" t="s">
        <v>37</v>
      </c>
      <c r="F190" s="2" t="s">
        <v>38</v>
      </c>
      <c r="G190" s="5">
        <v>4952</v>
      </c>
      <c r="H190" s="5">
        <v>15</v>
      </c>
      <c r="I190" s="5">
        <v>4210</v>
      </c>
      <c r="J190" s="5">
        <v>2</v>
      </c>
      <c r="K190" s="2">
        <v>44</v>
      </c>
      <c r="L190" s="2" t="s">
        <v>133</v>
      </c>
      <c r="M190" s="4">
        <v>4.5999999999999996</v>
      </c>
      <c r="N190" s="5">
        <v>142</v>
      </c>
      <c r="O190" s="3">
        <v>45787</v>
      </c>
      <c r="P190" s="2" t="s">
        <v>57</v>
      </c>
      <c r="Q190" s="2" t="s">
        <v>65</v>
      </c>
      <c r="R190" s="2" t="s">
        <v>104</v>
      </c>
      <c r="S190" s="2" t="s">
        <v>105</v>
      </c>
      <c r="T190" s="2" t="s">
        <v>32</v>
      </c>
    </row>
    <row r="191" spans="1:20" ht="12.5" x14ac:dyDescent="0.25">
      <c r="A191" s="2" t="s">
        <v>812</v>
      </c>
      <c r="B191" s="2" t="s">
        <v>436</v>
      </c>
      <c r="C191" s="2" t="s">
        <v>813</v>
      </c>
      <c r="D191" s="2" t="s">
        <v>814</v>
      </c>
      <c r="E191" s="2" t="s">
        <v>247</v>
      </c>
      <c r="F191" s="2" t="s">
        <v>248</v>
      </c>
      <c r="G191" s="5">
        <v>2360</v>
      </c>
      <c r="H191" s="5">
        <v>40</v>
      </c>
      <c r="I191" s="5">
        <v>1416</v>
      </c>
      <c r="J191" s="5">
        <v>3</v>
      </c>
      <c r="K191" s="2" t="s">
        <v>163</v>
      </c>
      <c r="L191" s="2" t="s">
        <v>73</v>
      </c>
      <c r="M191" s="4">
        <v>4.3</v>
      </c>
      <c r="N191" s="5">
        <v>67</v>
      </c>
      <c r="O191" s="3">
        <v>45813</v>
      </c>
      <c r="P191" s="2" t="s">
        <v>28</v>
      </c>
      <c r="Q191" s="2" t="s">
        <v>78</v>
      </c>
      <c r="R191" s="2" t="s">
        <v>30</v>
      </c>
      <c r="S191" s="2" t="s">
        <v>31</v>
      </c>
      <c r="T191" s="2" t="s">
        <v>32</v>
      </c>
    </row>
    <row r="192" spans="1:20" ht="12.5" x14ac:dyDescent="0.25">
      <c r="A192" s="2" t="s">
        <v>815</v>
      </c>
      <c r="B192" s="2" t="s">
        <v>816</v>
      </c>
      <c r="C192" s="2" t="s">
        <v>817</v>
      </c>
      <c r="D192" s="2" t="s">
        <v>818</v>
      </c>
      <c r="E192" s="2" t="s">
        <v>247</v>
      </c>
      <c r="F192" s="2" t="s">
        <v>248</v>
      </c>
      <c r="G192" s="5">
        <v>2328</v>
      </c>
      <c r="H192" s="5">
        <v>40</v>
      </c>
      <c r="I192" s="5">
        <v>1397</v>
      </c>
      <c r="J192" s="5">
        <v>3</v>
      </c>
      <c r="K192" s="2" t="s">
        <v>56</v>
      </c>
      <c r="L192" s="2" t="s">
        <v>168</v>
      </c>
      <c r="M192" s="4">
        <v>4</v>
      </c>
      <c r="N192" s="5">
        <v>19</v>
      </c>
      <c r="O192" s="3">
        <v>45823</v>
      </c>
      <c r="P192" s="2" t="s">
        <v>57</v>
      </c>
      <c r="Q192" s="2" t="s">
        <v>65</v>
      </c>
      <c r="R192" s="2" t="s">
        <v>58</v>
      </c>
      <c r="S192" s="2" t="s">
        <v>59</v>
      </c>
      <c r="T192" s="2" t="s">
        <v>32</v>
      </c>
    </row>
    <row r="193" spans="1:20" ht="12.5" x14ac:dyDescent="0.25">
      <c r="A193" s="2" t="s">
        <v>819</v>
      </c>
      <c r="B193" s="2" t="s">
        <v>820</v>
      </c>
      <c r="C193" s="2" t="s">
        <v>821</v>
      </c>
      <c r="D193" s="2" t="s">
        <v>822</v>
      </c>
      <c r="E193" s="2" t="s">
        <v>132</v>
      </c>
      <c r="F193" s="2" t="s">
        <v>38</v>
      </c>
      <c r="G193" s="5">
        <v>1860</v>
      </c>
      <c r="H193" s="5">
        <v>40</v>
      </c>
      <c r="I193" s="5">
        <v>1116</v>
      </c>
      <c r="J193" s="5">
        <v>2</v>
      </c>
      <c r="K193" s="2">
        <v>40</v>
      </c>
      <c r="L193" s="2" t="s">
        <v>209</v>
      </c>
      <c r="M193" s="4">
        <v>4.4000000000000004</v>
      </c>
      <c r="N193" s="5">
        <v>54</v>
      </c>
      <c r="O193" s="3">
        <v>45810</v>
      </c>
      <c r="P193" s="2" t="s">
        <v>40</v>
      </c>
      <c r="Q193" s="2" t="s">
        <v>78</v>
      </c>
      <c r="R193" s="2" t="s">
        <v>41</v>
      </c>
      <c r="S193" s="2" t="s">
        <v>42</v>
      </c>
      <c r="T193" s="2" t="s">
        <v>32</v>
      </c>
    </row>
    <row r="194" spans="1:20" ht="12.5" x14ac:dyDescent="0.25">
      <c r="A194" s="2" t="s">
        <v>823</v>
      </c>
      <c r="B194" s="2" t="s">
        <v>824</v>
      </c>
      <c r="C194" s="2" t="s">
        <v>825</v>
      </c>
      <c r="D194" s="2" t="s">
        <v>826</v>
      </c>
      <c r="E194" s="2" t="s">
        <v>208</v>
      </c>
      <c r="F194" s="2" t="s">
        <v>117</v>
      </c>
      <c r="G194" s="5">
        <v>4012</v>
      </c>
      <c r="H194" s="5">
        <v>10</v>
      </c>
      <c r="I194" s="5">
        <v>3611</v>
      </c>
      <c r="J194" s="5">
        <v>3</v>
      </c>
      <c r="K194" s="2" t="s">
        <v>226</v>
      </c>
      <c r="L194" s="2" t="s">
        <v>64</v>
      </c>
      <c r="M194" s="4">
        <v>4</v>
      </c>
      <c r="N194" s="5">
        <v>68</v>
      </c>
      <c r="O194" s="3">
        <v>45790</v>
      </c>
      <c r="P194" s="2" t="s">
        <v>28</v>
      </c>
      <c r="Q194" s="2" t="s">
        <v>65</v>
      </c>
      <c r="R194" s="2" t="s">
        <v>83</v>
      </c>
      <c r="S194" s="2" t="s">
        <v>83</v>
      </c>
      <c r="T194" s="2" t="s">
        <v>32</v>
      </c>
    </row>
    <row r="195" spans="1:20" ht="12.5" x14ac:dyDescent="0.25">
      <c r="A195" s="2" t="s">
        <v>827</v>
      </c>
      <c r="B195" s="2" t="s">
        <v>828</v>
      </c>
      <c r="C195" s="2" t="s">
        <v>829</v>
      </c>
      <c r="D195" s="2" t="s">
        <v>830</v>
      </c>
      <c r="E195" s="2" t="s">
        <v>122</v>
      </c>
      <c r="F195" s="2" t="s">
        <v>123</v>
      </c>
      <c r="G195" s="5">
        <v>3998</v>
      </c>
      <c r="H195" s="5">
        <v>35</v>
      </c>
      <c r="I195" s="5">
        <v>2599</v>
      </c>
      <c r="J195" s="5">
        <v>1</v>
      </c>
      <c r="K195" s="2" t="s">
        <v>226</v>
      </c>
      <c r="L195" s="2" t="s">
        <v>27</v>
      </c>
      <c r="M195" s="4">
        <v>4</v>
      </c>
      <c r="N195" s="5">
        <v>112</v>
      </c>
      <c r="O195" s="3">
        <v>45818</v>
      </c>
      <c r="P195" s="2" t="s">
        <v>28</v>
      </c>
      <c r="Q195" s="2" t="s">
        <v>29</v>
      </c>
      <c r="R195" s="2" t="s">
        <v>89</v>
      </c>
      <c r="S195" s="2" t="s">
        <v>90</v>
      </c>
      <c r="T195" s="2" t="s">
        <v>32</v>
      </c>
    </row>
    <row r="196" spans="1:20" ht="12.5" x14ac:dyDescent="0.25">
      <c r="A196" s="2" t="s">
        <v>831</v>
      </c>
      <c r="B196" s="2" t="s">
        <v>156</v>
      </c>
      <c r="C196" s="2" t="s">
        <v>832</v>
      </c>
      <c r="D196" s="2" t="s">
        <v>833</v>
      </c>
      <c r="E196" s="2" t="s">
        <v>208</v>
      </c>
      <c r="F196" s="2" t="s">
        <v>117</v>
      </c>
      <c r="G196" s="5">
        <v>1548</v>
      </c>
      <c r="H196" s="5">
        <v>10</v>
      </c>
      <c r="I196" s="5">
        <v>1394</v>
      </c>
      <c r="J196" s="5">
        <v>2</v>
      </c>
      <c r="K196" s="2">
        <v>42</v>
      </c>
      <c r="L196" s="2" t="s">
        <v>168</v>
      </c>
      <c r="M196" s="4">
        <v>5</v>
      </c>
      <c r="N196" s="5">
        <v>171</v>
      </c>
      <c r="O196" s="3">
        <v>45824</v>
      </c>
      <c r="P196" s="2" t="s">
        <v>40</v>
      </c>
      <c r="Q196" s="2" t="s">
        <v>65</v>
      </c>
      <c r="R196" s="2" t="s">
        <v>66</v>
      </c>
      <c r="S196" s="2" t="s">
        <v>67</v>
      </c>
      <c r="T196" s="2" t="s">
        <v>134</v>
      </c>
    </row>
    <row r="197" spans="1:20" ht="12.5" x14ac:dyDescent="0.25">
      <c r="A197" s="2" t="s">
        <v>834</v>
      </c>
      <c r="B197" s="2" t="s">
        <v>835</v>
      </c>
      <c r="C197" s="2" t="s">
        <v>836</v>
      </c>
      <c r="D197" s="2" t="s">
        <v>837</v>
      </c>
      <c r="E197" s="2" t="s">
        <v>132</v>
      </c>
      <c r="F197" s="2" t="s">
        <v>38</v>
      </c>
      <c r="G197" s="5">
        <v>4381</v>
      </c>
      <c r="H197" s="5">
        <v>10</v>
      </c>
      <c r="I197" s="5">
        <v>3943</v>
      </c>
      <c r="J197" s="5">
        <v>2</v>
      </c>
      <c r="K197" s="2" t="s">
        <v>26</v>
      </c>
      <c r="L197" s="2" t="s">
        <v>49</v>
      </c>
      <c r="M197" s="4">
        <v>4.7</v>
      </c>
      <c r="N197" s="5">
        <v>91</v>
      </c>
      <c r="O197" s="3">
        <v>45847</v>
      </c>
      <c r="P197" s="2" t="s">
        <v>57</v>
      </c>
      <c r="Q197" s="2" t="s">
        <v>65</v>
      </c>
      <c r="R197" s="2" t="s">
        <v>41</v>
      </c>
      <c r="S197" s="2" t="s">
        <v>42</v>
      </c>
      <c r="T197" s="2" t="s">
        <v>32</v>
      </c>
    </row>
    <row r="198" spans="1:20" ht="12.5" x14ac:dyDescent="0.25">
      <c r="A198" s="2" t="s">
        <v>838</v>
      </c>
      <c r="B198" s="2" t="s">
        <v>839</v>
      </c>
      <c r="C198" s="2" t="s">
        <v>840</v>
      </c>
      <c r="D198" s="2" t="s">
        <v>841</v>
      </c>
      <c r="E198" s="2" t="s">
        <v>116</v>
      </c>
      <c r="F198" s="2" t="s">
        <v>117</v>
      </c>
      <c r="G198" s="5">
        <v>3577</v>
      </c>
      <c r="H198" s="5">
        <v>35</v>
      </c>
      <c r="I198" s="5">
        <v>2326</v>
      </c>
      <c r="J198" s="5">
        <v>1</v>
      </c>
      <c r="K198" s="2" t="s">
        <v>261</v>
      </c>
      <c r="L198" s="2" t="s">
        <v>64</v>
      </c>
      <c r="M198" s="4">
        <v>4.9000000000000004</v>
      </c>
      <c r="N198" s="5">
        <v>58</v>
      </c>
      <c r="O198" s="3">
        <v>45851</v>
      </c>
      <c r="P198" s="2" t="s">
        <v>57</v>
      </c>
      <c r="Q198" s="2" t="s">
        <v>29</v>
      </c>
      <c r="R198" s="2" t="s">
        <v>58</v>
      </c>
      <c r="S198" s="2" t="s">
        <v>59</v>
      </c>
      <c r="T198" s="2" t="s">
        <v>32</v>
      </c>
    </row>
    <row r="199" spans="1:20" ht="12.5" x14ac:dyDescent="0.25">
      <c r="A199" s="2" t="s">
        <v>842</v>
      </c>
      <c r="B199" s="2" t="s">
        <v>514</v>
      </c>
      <c r="C199" s="2" t="s">
        <v>843</v>
      </c>
      <c r="D199" s="2" t="s">
        <v>844</v>
      </c>
      <c r="E199" s="2" t="s">
        <v>55</v>
      </c>
      <c r="F199" s="2" t="s">
        <v>38</v>
      </c>
      <c r="G199" s="5">
        <v>4994</v>
      </c>
      <c r="H199" s="5">
        <v>10</v>
      </c>
      <c r="I199" s="5">
        <v>4495</v>
      </c>
      <c r="J199" s="5">
        <v>3</v>
      </c>
      <c r="K199" s="2" t="s">
        <v>32</v>
      </c>
      <c r="L199" s="2" t="s">
        <v>209</v>
      </c>
      <c r="M199" s="4">
        <v>4.8</v>
      </c>
      <c r="N199" s="5">
        <v>255</v>
      </c>
      <c r="O199" s="3">
        <v>45823</v>
      </c>
      <c r="P199" s="2" t="s">
        <v>28</v>
      </c>
      <c r="Q199" s="2" t="s">
        <v>78</v>
      </c>
      <c r="R199" s="2" t="s">
        <v>58</v>
      </c>
      <c r="S199" s="2" t="s">
        <v>59</v>
      </c>
      <c r="T199" s="2" t="s">
        <v>32</v>
      </c>
    </row>
    <row r="200" spans="1:20" ht="12.5" x14ac:dyDescent="0.25">
      <c r="A200" s="2" t="s">
        <v>845</v>
      </c>
      <c r="B200" s="2" t="s">
        <v>846</v>
      </c>
      <c r="C200" s="2" t="s">
        <v>847</v>
      </c>
      <c r="D200" s="2" t="s">
        <v>848</v>
      </c>
      <c r="E200" s="2" t="s">
        <v>55</v>
      </c>
      <c r="F200" s="2" t="s">
        <v>38</v>
      </c>
      <c r="G200" s="5">
        <v>4621</v>
      </c>
      <c r="H200" s="5">
        <v>35</v>
      </c>
      <c r="I200" s="5">
        <v>3004</v>
      </c>
      <c r="J200" s="5">
        <v>3</v>
      </c>
      <c r="K200" s="2" t="s">
        <v>226</v>
      </c>
      <c r="L200" s="2" t="s">
        <v>133</v>
      </c>
      <c r="M200" s="4">
        <v>5</v>
      </c>
      <c r="N200" s="5">
        <v>39</v>
      </c>
      <c r="O200" s="3">
        <v>45821</v>
      </c>
      <c r="P200" s="2" t="s">
        <v>57</v>
      </c>
      <c r="Q200" s="2" t="s">
        <v>65</v>
      </c>
      <c r="R200" s="2" t="s">
        <v>110</v>
      </c>
      <c r="S200" s="2" t="s">
        <v>111</v>
      </c>
      <c r="T200" s="2" t="s">
        <v>32</v>
      </c>
    </row>
    <row r="201" spans="1:20" ht="12.5" x14ac:dyDescent="0.25">
      <c r="A201" s="2" t="s">
        <v>849</v>
      </c>
      <c r="B201" s="2" t="s">
        <v>850</v>
      </c>
      <c r="C201" s="2" t="s">
        <v>851</v>
      </c>
      <c r="D201" s="2" t="s">
        <v>852</v>
      </c>
      <c r="E201" s="2" t="s">
        <v>37</v>
      </c>
      <c r="F201" s="2" t="s">
        <v>38</v>
      </c>
      <c r="G201" s="5">
        <v>1679</v>
      </c>
      <c r="H201" s="5">
        <v>25</v>
      </c>
      <c r="I201" s="5">
        <v>1260</v>
      </c>
      <c r="J201" s="5">
        <v>3</v>
      </c>
      <c r="K201" s="2" t="s">
        <v>56</v>
      </c>
      <c r="L201" s="2" t="s">
        <v>103</v>
      </c>
      <c r="M201" s="4">
        <v>3.5</v>
      </c>
      <c r="N201" s="5">
        <v>157</v>
      </c>
      <c r="O201" s="3">
        <v>45770</v>
      </c>
      <c r="P201" s="2" t="s">
        <v>40</v>
      </c>
      <c r="Q201" s="2" t="s">
        <v>29</v>
      </c>
      <c r="R201" s="2" t="s">
        <v>185</v>
      </c>
      <c r="S201" s="2" t="s">
        <v>186</v>
      </c>
      <c r="T201" s="2" t="s">
        <v>50</v>
      </c>
    </row>
    <row r="202" spans="1:20" ht="12.5" x14ac:dyDescent="0.25">
      <c r="A202" s="2" t="s">
        <v>853</v>
      </c>
      <c r="B202" s="2" t="s">
        <v>854</v>
      </c>
      <c r="C202" s="2" t="s">
        <v>855</v>
      </c>
      <c r="D202" s="2" t="s">
        <v>856</v>
      </c>
      <c r="E202" s="2" t="s">
        <v>24</v>
      </c>
      <c r="F202" s="2" t="s">
        <v>25</v>
      </c>
      <c r="G202" s="5">
        <v>4049</v>
      </c>
      <c r="H202" s="5">
        <v>20</v>
      </c>
      <c r="I202" s="5">
        <v>3240</v>
      </c>
      <c r="J202" s="5">
        <v>3</v>
      </c>
      <c r="K202" s="2">
        <v>42</v>
      </c>
      <c r="L202" s="2" t="s">
        <v>209</v>
      </c>
      <c r="M202" s="4">
        <v>4.5999999999999996</v>
      </c>
      <c r="N202" s="5">
        <v>176</v>
      </c>
      <c r="O202" s="3">
        <v>45779</v>
      </c>
      <c r="P202" s="2" t="s">
        <v>40</v>
      </c>
      <c r="Q202" s="2" t="s">
        <v>78</v>
      </c>
      <c r="R202" s="2" t="s">
        <v>58</v>
      </c>
      <c r="S202" s="2" t="s">
        <v>59</v>
      </c>
      <c r="T202" s="2" t="s">
        <v>32</v>
      </c>
    </row>
    <row r="203" spans="1:20" ht="12.5" x14ac:dyDescent="0.25">
      <c r="A203" s="2" t="s">
        <v>857</v>
      </c>
      <c r="B203" s="2" t="s">
        <v>858</v>
      </c>
      <c r="C203" s="2" t="s">
        <v>859</v>
      </c>
      <c r="D203" s="2" t="s">
        <v>860</v>
      </c>
      <c r="E203" s="2" t="s">
        <v>55</v>
      </c>
      <c r="F203" s="2" t="s">
        <v>38</v>
      </c>
      <c r="G203" s="5">
        <v>2981</v>
      </c>
      <c r="H203" s="5">
        <v>40</v>
      </c>
      <c r="I203" s="5">
        <v>1789</v>
      </c>
      <c r="J203" s="5">
        <v>3</v>
      </c>
      <c r="K203" s="2">
        <v>40</v>
      </c>
      <c r="L203" s="2" t="s">
        <v>209</v>
      </c>
      <c r="M203" s="4">
        <v>3.9</v>
      </c>
      <c r="N203" s="5">
        <v>218</v>
      </c>
      <c r="O203" s="3">
        <v>45855</v>
      </c>
      <c r="P203" s="2" t="s">
        <v>40</v>
      </c>
      <c r="Q203" s="2" t="s">
        <v>78</v>
      </c>
      <c r="R203" s="2" t="s">
        <v>149</v>
      </c>
      <c r="S203" s="2" t="s">
        <v>150</v>
      </c>
      <c r="T203" s="2" t="s">
        <v>134</v>
      </c>
    </row>
    <row r="204" spans="1:20" ht="12.5" x14ac:dyDescent="0.25">
      <c r="A204" s="2" t="s">
        <v>861</v>
      </c>
      <c r="B204" s="2" t="s">
        <v>862</v>
      </c>
      <c r="C204" s="2" t="s">
        <v>863</v>
      </c>
      <c r="D204" s="2" t="s">
        <v>864</v>
      </c>
      <c r="E204" s="2" t="s">
        <v>116</v>
      </c>
      <c r="F204" s="2" t="s">
        <v>117</v>
      </c>
      <c r="G204" s="5">
        <v>4544</v>
      </c>
      <c r="H204" s="5">
        <v>35</v>
      </c>
      <c r="I204" s="5">
        <v>2954</v>
      </c>
      <c r="J204" s="5">
        <v>3</v>
      </c>
      <c r="K204" s="2" t="s">
        <v>26</v>
      </c>
      <c r="L204" s="2" t="s">
        <v>168</v>
      </c>
      <c r="M204" s="4">
        <v>4.3</v>
      </c>
      <c r="N204" s="5">
        <v>178</v>
      </c>
      <c r="O204" s="3">
        <v>45832</v>
      </c>
      <c r="P204" s="2" t="s">
        <v>57</v>
      </c>
      <c r="Q204" s="2" t="s">
        <v>78</v>
      </c>
      <c r="R204" s="2" t="s">
        <v>83</v>
      </c>
      <c r="S204" s="2" t="s">
        <v>83</v>
      </c>
      <c r="T204" s="2" t="s">
        <v>32</v>
      </c>
    </row>
    <row r="205" spans="1:20" ht="12.5" x14ac:dyDescent="0.25">
      <c r="A205" s="2" t="s">
        <v>865</v>
      </c>
      <c r="B205" s="2" t="s">
        <v>61</v>
      </c>
      <c r="C205" s="2" t="s">
        <v>866</v>
      </c>
      <c r="D205" s="2" t="s">
        <v>867</v>
      </c>
      <c r="E205" s="2" t="s">
        <v>147</v>
      </c>
      <c r="F205" s="2" t="s">
        <v>148</v>
      </c>
      <c r="G205" s="5">
        <v>2781</v>
      </c>
      <c r="H205" s="5">
        <v>15</v>
      </c>
      <c r="I205" s="5">
        <v>2364</v>
      </c>
      <c r="J205" s="5">
        <v>2</v>
      </c>
      <c r="K205" s="2" t="s">
        <v>261</v>
      </c>
      <c r="L205" s="2" t="s">
        <v>133</v>
      </c>
      <c r="M205" s="4">
        <v>4.4000000000000004</v>
      </c>
      <c r="N205" s="5">
        <v>177</v>
      </c>
      <c r="O205" s="3">
        <v>45820</v>
      </c>
      <c r="P205" s="2" t="s">
        <v>40</v>
      </c>
      <c r="Q205" s="2" t="s">
        <v>78</v>
      </c>
      <c r="R205" s="2" t="s">
        <v>83</v>
      </c>
      <c r="S205" s="2" t="s">
        <v>83</v>
      </c>
      <c r="T205" s="2" t="s">
        <v>43</v>
      </c>
    </row>
    <row r="206" spans="1:20" ht="12.5" x14ac:dyDescent="0.25">
      <c r="A206" s="2" t="s">
        <v>868</v>
      </c>
      <c r="B206" s="2" t="s">
        <v>869</v>
      </c>
      <c r="C206" s="2" t="s">
        <v>870</v>
      </c>
      <c r="D206" s="2" t="s">
        <v>871</v>
      </c>
      <c r="E206" s="2" t="s">
        <v>24</v>
      </c>
      <c r="F206" s="2" t="s">
        <v>25</v>
      </c>
      <c r="G206" s="5">
        <v>2959</v>
      </c>
      <c r="H206" s="5">
        <v>25</v>
      </c>
      <c r="I206" s="5">
        <v>2220</v>
      </c>
      <c r="J206" s="5">
        <v>1</v>
      </c>
      <c r="K206" s="2" t="s">
        <v>26</v>
      </c>
      <c r="L206" s="2" t="s">
        <v>27</v>
      </c>
      <c r="M206" s="4">
        <v>4.3</v>
      </c>
      <c r="N206" s="5">
        <v>35</v>
      </c>
      <c r="O206" s="3">
        <v>45800</v>
      </c>
      <c r="P206" s="2" t="s">
        <v>28</v>
      </c>
      <c r="Q206" s="2" t="s">
        <v>78</v>
      </c>
      <c r="R206" s="2" t="s">
        <v>185</v>
      </c>
      <c r="S206" s="2" t="s">
        <v>186</v>
      </c>
      <c r="T206" s="2" t="s">
        <v>32</v>
      </c>
    </row>
    <row r="207" spans="1:20" ht="12.5" x14ac:dyDescent="0.25">
      <c r="A207" s="2" t="s">
        <v>872</v>
      </c>
      <c r="B207" s="2" t="s">
        <v>798</v>
      </c>
      <c r="C207" s="2" t="s">
        <v>873</v>
      </c>
      <c r="D207" s="2" t="s">
        <v>874</v>
      </c>
      <c r="E207" s="2" t="s">
        <v>48</v>
      </c>
      <c r="F207" s="2" t="s">
        <v>25</v>
      </c>
      <c r="G207" s="5">
        <v>4709</v>
      </c>
      <c r="H207" s="5">
        <v>20</v>
      </c>
      <c r="I207" s="5">
        <v>3768</v>
      </c>
      <c r="J207" s="5">
        <v>3</v>
      </c>
      <c r="K207" s="2">
        <v>42</v>
      </c>
      <c r="L207" s="2" t="s">
        <v>133</v>
      </c>
      <c r="M207" s="4">
        <v>4.0999999999999996</v>
      </c>
      <c r="N207" s="5">
        <v>216</v>
      </c>
      <c r="O207" s="3">
        <v>45779</v>
      </c>
      <c r="P207" s="2" t="s">
        <v>28</v>
      </c>
      <c r="Q207" s="2" t="s">
        <v>78</v>
      </c>
      <c r="R207" s="2" t="s">
        <v>149</v>
      </c>
      <c r="S207" s="2" t="s">
        <v>150</v>
      </c>
      <c r="T207" s="2" t="s">
        <v>32</v>
      </c>
    </row>
    <row r="208" spans="1:20" ht="12.5" x14ac:dyDescent="0.25">
      <c r="A208" s="2" t="s">
        <v>875</v>
      </c>
      <c r="B208" s="2" t="s">
        <v>876</v>
      </c>
      <c r="C208" s="2" t="s">
        <v>877</v>
      </c>
      <c r="D208" s="2" t="s">
        <v>878</v>
      </c>
      <c r="E208" s="2" t="s">
        <v>208</v>
      </c>
      <c r="F208" s="2" t="s">
        <v>117</v>
      </c>
      <c r="G208" s="5">
        <v>3163</v>
      </c>
      <c r="H208" s="5">
        <v>40</v>
      </c>
      <c r="I208" s="5">
        <v>1898</v>
      </c>
      <c r="J208" s="5">
        <v>3</v>
      </c>
      <c r="K208" s="2">
        <v>42</v>
      </c>
      <c r="L208" s="2" t="s">
        <v>64</v>
      </c>
      <c r="M208" s="4">
        <v>4.8</v>
      </c>
      <c r="N208" s="5">
        <v>156</v>
      </c>
      <c r="O208" s="3">
        <v>45829</v>
      </c>
      <c r="P208" s="2" t="s">
        <v>40</v>
      </c>
      <c r="Q208" s="2" t="s">
        <v>29</v>
      </c>
      <c r="R208" s="2" t="s">
        <v>104</v>
      </c>
      <c r="S208" s="2" t="s">
        <v>105</v>
      </c>
      <c r="T208" s="2" t="s">
        <v>203</v>
      </c>
    </row>
    <row r="209" spans="1:20" ht="12.5" x14ac:dyDescent="0.25">
      <c r="A209" s="2" t="s">
        <v>879</v>
      </c>
      <c r="B209" s="2" t="s">
        <v>880</v>
      </c>
      <c r="C209" s="2" t="s">
        <v>881</v>
      </c>
      <c r="D209" s="2" t="s">
        <v>882</v>
      </c>
      <c r="E209" s="2" t="s">
        <v>24</v>
      </c>
      <c r="F209" s="2" t="s">
        <v>25</v>
      </c>
      <c r="G209" s="5">
        <v>628</v>
      </c>
      <c r="H209" s="5">
        <v>15</v>
      </c>
      <c r="I209" s="5">
        <v>534</v>
      </c>
      <c r="J209" s="5">
        <v>3</v>
      </c>
      <c r="K209" s="2" t="s">
        <v>261</v>
      </c>
      <c r="L209" s="2" t="s">
        <v>49</v>
      </c>
      <c r="M209" s="4">
        <v>3.6</v>
      </c>
      <c r="N209" s="5">
        <v>28</v>
      </c>
      <c r="O209" s="3">
        <v>45807</v>
      </c>
      <c r="P209" s="2" t="s">
        <v>40</v>
      </c>
      <c r="Q209" s="2" t="s">
        <v>78</v>
      </c>
      <c r="R209" s="2" t="s">
        <v>83</v>
      </c>
      <c r="S209" s="2" t="s">
        <v>83</v>
      </c>
      <c r="T209" s="2" t="s">
        <v>203</v>
      </c>
    </row>
    <row r="210" spans="1:20" ht="12.5" x14ac:dyDescent="0.25">
      <c r="A210" s="2" t="s">
        <v>883</v>
      </c>
      <c r="B210" s="2" t="s">
        <v>884</v>
      </c>
      <c r="C210" s="2" t="s">
        <v>885</v>
      </c>
      <c r="D210" s="2" t="s">
        <v>886</v>
      </c>
      <c r="E210" s="2" t="s">
        <v>147</v>
      </c>
      <c r="F210" s="2" t="s">
        <v>148</v>
      </c>
      <c r="G210" s="5">
        <v>2221</v>
      </c>
      <c r="H210" s="5">
        <v>20</v>
      </c>
      <c r="I210" s="5">
        <v>1777</v>
      </c>
      <c r="J210" s="5">
        <v>1</v>
      </c>
      <c r="K210" s="2" t="s">
        <v>32</v>
      </c>
      <c r="L210" s="2" t="s">
        <v>73</v>
      </c>
      <c r="M210" s="4">
        <v>4.4000000000000004</v>
      </c>
      <c r="N210" s="5">
        <v>47</v>
      </c>
      <c r="O210" s="3">
        <v>45780</v>
      </c>
      <c r="P210" s="2" t="s">
        <v>28</v>
      </c>
      <c r="Q210" s="2" t="s">
        <v>78</v>
      </c>
      <c r="R210" s="2" t="s">
        <v>30</v>
      </c>
      <c r="S210" s="2" t="s">
        <v>31</v>
      </c>
      <c r="T210" s="2" t="s">
        <v>32</v>
      </c>
    </row>
    <row r="211" spans="1:20" ht="12.5" x14ac:dyDescent="0.25">
      <c r="A211" s="2" t="s">
        <v>887</v>
      </c>
      <c r="B211" s="2" t="s">
        <v>303</v>
      </c>
      <c r="C211" s="2" t="s">
        <v>888</v>
      </c>
      <c r="D211" s="2" t="s">
        <v>889</v>
      </c>
      <c r="E211" s="2" t="s">
        <v>116</v>
      </c>
      <c r="F211" s="2" t="s">
        <v>117</v>
      </c>
      <c r="G211" s="5">
        <v>4389</v>
      </c>
      <c r="H211" s="5">
        <v>25</v>
      </c>
      <c r="I211" s="5">
        <v>3292</v>
      </c>
      <c r="J211" s="5">
        <v>1</v>
      </c>
      <c r="K211" s="2">
        <v>44</v>
      </c>
      <c r="L211" s="2" t="s">
        <v>133</v>
      </c>
      <c r="M211" s="4">
        <v>3.8</v>
      </c>
      <c r="N211" s="5">
        <v>135</v>
      </c>
      <c r="O211" s="3">
        <v>45781</v>
      </c>
      <c r="P211" s="2" t="s">
        <v>28</v>
      </c>
      <c r="Q211" s="2" t="s">
        <v>65</v>
      </c>
      <c r="R211" s="2" t="s">
        <v>149</v>
      </c>
      <c r="S211" s="2" t="s">
        <v>150</v>
      </c>
      <c r="T211" s="2" t="s">
        <v>32</v>
      </c>
    </row>
    <row r="212" spans="1:20" ht="12.5" x14ac:dyDescent="0.25">
      <c r="A212" s="2" t="s">
        <v>890</v>
      </c>
      <c r="B212" s="2" t="s">
        <v>891</v>
      </c>
      <c r="C212" s="2" t="s">
        <v>660</v>
      </c>
      <c r="D212" s="2" t="s">
        <v>892</v>
      </c>
      <c r="E212" s="2" t="s">
        <v>37</v>
      </c>
      <c r="F212" s="2" t="s">
        <v>38</v>
      </c>
      <c r="G212" s="5">
        <v>4136</v>
      </c>
      <c r="H212" s="5">
        <v>30</v>
      </c>
      <c r="I212" s="5">
        <v>2896</v>
      </c>
      <c r="J212" s="5">
        <v>3</v>
      </c>
      <c r="K212" s="2" t="s">
        <v>72</v>
      </c>
      <c r="L212" s="2" t="s">
        <v>73</v>
      </c>
      <c r="M212" s="4">
        <v>4.2</v>
      </c>
      <c r="N212" s="5">
        <v>166</v>
      </c>
      <c r="O212" s="3">
        <v>45777</v>
      </c>
      <c r="P212" s="2" t="s">
        <v>40</v>
      </c>
      <c r="Q212" s="2" t="s">
        <v>78</v>
      </c>
      <c r="R212" s="2" t="s">
        <v>110</v>
      </c>
      <c r="S212" s="2" t="s">
        <v>111</v>
      </c>
      <c r="T212" s="2" t="s">
        <v>43</v>
      </c>
    </row>
    <row r="213" spans="1:20" ht="12.5" x14ac:dyDescent="0.25">
      <c r="A213" s="2" t="s">
        <v>893</v>
      </c>
      <c r="B213" s="2" t="s">
        <v>267</v>
      </c>
      <c r="C213" s="2" t="s">
        <v>894</v>
      </c>
      <c r="D213" s="2" t="s">
        <v>895</v>
      </c>
      <c r="E213" s="2" t="s">
        <v>132</v>
      </c>
      <c r="F213" s="2" t="s">
        <v>38</v>
      </c>
      <c r="G213" s="5">
        <v>3640</v>
      </c>
      <c r="H213" s="5">
        <v>35</v>
      </c>
      <c r="I213" s="5">
        <v>2366</v>
      </c>
      <c r="J213" s="5">
        <v>2</v>
      </c>
      <c r="K213" s="2">
        <v>42</v>
      </c>
      <c r="L213" s="2" t="s">
        <v>168</v>
      </c>
      <c r="M213" s="4">
        <v>4.7</v>
      </c>
      <c r="N213" s="5">
        <v>182</v>
      </c>
      <c r="O213" s="3">
        <v>45788</v>
      </c>
      <c r="P213" s="2" t="s">
        <v>57</v>
      </c>
      <c r="Q213" s="2" t="s">
        <v>65</v>
      </c>
      <c r="R213" s="2" t="s">
        <v>58</v>
      </c>
      <c r="S213" s="2" t="s">
        <v>59</v>
      </c>
      <c r="T213" s="2" t="s">
        <v>32</v>
      </c>
    </row>
    <row r="214" spans="1:20" ht="12.5" x14ac:dyDescent="0.25">
      <c r="A214" s="2" t="s">
        <v>896</v>
      </c>
      <c r="B214" s="2" t="s">
        <v>897</v>
      </c>
      <c r="C214" s="2" t="s">
        <v>898</v>
      </c>
      <c r="D214" s="2" t="s">
        <v>899</v>
      </c>
      <c r="E214" s="2" t="s">
        <v>55</v>
      </c>
      <c r="F214" s="2" t="s">
        <v>38</v>
      </c>
      <c r="G214" s="5">
        <v>2811</v>
      </c>
      <c r="H214" s="5">
        <v>30</v>
      </c>
      <c r="I214" s="5">
        <v>1968</v>
      </c>
      <c r="J214" s="5">
        <v>2</v>
      </c>
      <c r="K214" s="2" t="s">
        <v>72</v>
      </c>
      <c r="L214" s="2" t="s">
        <v>133</v>
      </c>
      <c r="M214" s="4">
        <v>4.4000000000000004</v>
      </c>
      <c r="N214" s="5">
        <v>179</v>
      </c>
      <c r="O214" s="3">
        <v>45782</v>
      </c>
      <c r="P214" s="2" t="s">
        <v>28</v>
      </c>
      <c r="Q214" s="2" t="s">
        <v>29</v>
      </c>
      <c r="R214" s="2" t="s">
        <v>104</v>
      </c>
      <c r="S214" s="2" t="s">
        <v>105</v>
      </c>
      <c r="T214" s="2" t="s">
        <v>32</v>
      </c>
    </row>
    <row r="215" spans="1:20" ht="12.5" x14ac:dyDescent="0.25">
      <c r="A215" s="2" t="s">
        <v>900</v>
      </c>
      <c r="B215" s="2" t="s">
        <v>901</v>
      </c>
      <c r="C215" s="2" t="s">
        <v>902</v>
      </c>
      <c r="D215" s="2" t="s">
        <v>903</v>
      </c>
      <c r="E215" s="2" t="s">
        <v>116</v>
      </c>
      <c r="F215" s="2" t="s">
        <v>117</v>
      </c>
      <c r="G215" s="5">
        <v>4508</v>
      </c>
      <c r="H215" s="5">
        <v>20</v>
      </c>
      <c r="I215" s="5">
        <v>3607</v>
      </c>
      <c r="J215" s="5">
        <v>1</v>
      </c>
      <c r="K215" s="2">
        <v>44</v>
      </c>
      <c r="L215" s="2" t="s">
        <v>133</v>
      </c>
      <c r="M215" s="4">
        <v>3.9</v>
      </c>
      <c r="N215" s="5">
        <v>98</v>
      </c>
      <c r="O215" s="3">
        <v>45778</v>
      </c>
      <c r="P215" s="2" t="s">
        <v>40</v>
      </c>
      <c r="Q215" s="2" t="s">
        <v>29</v>
      </c>
      <c r="R215" s="2" t="s">
        <v>110</v>
      </c>
      <c r="S215" s="2" t="s">
        <v>111</v>
      </c>
      <c r="T215" s="2" t="s">
        <v>32</v>
      </c>
    </row>
    <row r="216" spans="1:20" ht="12.5" x14ac:dyDescent="0.25">
      <c r="A216" s="2" t="s">
        <v>904</v>
      </c>
      <c r="B216" s="2" t="s">
        <v>905</v>
      </c>
      <c r="C216" s="2" t="s">
        <v>906</v>
      </c>
      <c r="D216" s="2" t="s">
        <v>907</v>
      </c>
      <c r="E216" s="2" t="s">
        <v>37</v>
      </c>
      <c r="F216" s="2" t="s">
        <v>38</v>
      </c>
      <c r="G216" s="5">
        <v>4881</v>
      </c>
      <c r="H216" s="5">
        <v>40</v>
      </c>
      <c r="I216" s="5">
        <v>2929</v>
      </c>
      <c r="J216" s="5">
        <v>3</v>
      </c>
      <c r="K216" s="2" t="s">
        <v>261</v>
      </c>
      <c r="L216" s="2" t="s">
        <v>103</v>
      </c>
      <c r="M216" s="4">
        <v>4.4000000000000004</v>
      </c>
      <c r="N216" s="5">
        <v>218</v>
      </c>
      <c r="O216" s="3">
        <v>45831</v>
      </c>
      <c r="P216" s="2" t="s">
        <v>40</v>
      </c>
      <c r="Q216" s="2" t="s">
        <v>29</v>
      </c>
      <c r="R216" s="2" t="s">
        <v>41</v>
      </c>
      <c r="S216" s="2" t="s">
        <v>42</v>
      </c>
      <c r="T216" s="2" t="s">
        <v>50</v>
      </c>
    </row>
    <row r="217" spans="1:20" ht="12.5" x14ac:dyDescent="0.25">
      <c r="A217" s="2" t="s">
        <v>908</v>
      </c>
      <c r="B217" s="2" t="s">
        <v>909</v>
      </c>
      <c r="C217" s="2" t="s">
        <v>910</v>
      </c>
      <c r="D217" s="2" t="s">
        <v>911</v>
      </c>
      <c r="E217" s="2" t="s">
        <v>147</v>
      </c>
      <c r="F217" s="2" t="s">
        <v>148</v>
      </c>
      <c r="G217" s="5">
        <v>4173</v>
      </c>
      <c r="H217" s="5">
        <v>25</v>
      </c>
      <c r="I217" s="5">
        <v>3130</v>
      </c>
      <c r="J217" s="5">
        <v>3</v>
      </c>
      <c r="K217" s="2" t="s">
        <v>163</v>
      </c>
      <c r="L217" s="2" t="s">
        <v>49</v>
      </c>
      <c r="M217" s="4">
        <v>3.9</v>
      </c>
      <c r="N217" s="5">
        <v>218</v>
      </c>
      <c r="O217" s="3">
        <v>45783</v>
      </c>
      <c r="P217" s="2" t="s">
        <v>28</v>
      </c>
      <c r="Q217" s="2" t="s">
        <v>65</v>
      </c>
      <c r="R217" s="2" t="s">
        <v>149</v>
      </c>
      <c r="S217" s="2" t="s">
        <v>150</v>
      </c>
      <c r="T217" s="2" t="s">
        <v>32</v>
      </c>
    </row>
    <row r="218" spans="1:20" ht="12.5" x14ac:dyDescent="0.25">
      <c r="A218" s="2" t="s">
        <v>912</v>
      </c>
      <c r="B218" s="2" t="s">
        <v>913</v>
      </c>
      <c r="C218" s="2" t="s">
        <v>914</v>
      </c>
      <c r="D218" s="2" t="s">
        <v>915</v>
      </c>
      <c r="E218" s="2" t="s">
        <v>147</v>
      </c>
      <c r="F218" s="2" t="s">
        <v>148</v>
      </c>
      <c r="G218" s="5">
        <v>3866</v>
      </c>
      <c r="H218" s="5">
        <v>35</v>
      </c>
      <c r="I218" s="5">
        <v>2513</v>
      </c>
      <c r="J218" s="5">
        <v>1</v>
      </c>
      <c r="K218" s="2">
        <v>44</v>
      </c>
      <c r="L218" s="2" t="s">
        <v>27</v>
      </c>
      <c r="M218" s="4">
        <v>4.2</v>
      </c>
      <c r="N218" s="5">
        <v>299</v>
      </c>
      <c r="O218" s="3">
        <v>45812</v>
      </c>
      <c r="P218" s="2" t="s">
        <v>28</v>
      </c>
      <c r="Q218" s="2" t="s">
        <v>65</v>
      </c>
      <c r="R218" s="2" t="s">
        <v>30</v>
      </c>
      <c r="S218" s="2" t="s">
        <v>31</v>
      </c>
      <c r="T218" s="2" t="s">
        <v>32</v>
      </c>
    </row>
    <row r="219" spans="1:20" ht="12.5" x14ac:dyDescent="0.25">
      <c r="A219" s="2" t="s">
        <v>916</v>
      </c>
      <c r="B219" s="2" t="s">
        <v>917</v>
      </c>
      <c r="C219" s="2" t="s">
        <v>918</v>
      </c>
      <c r="D219" s="2" t="s">
        <v>919</v>
      </c>
      <c r="E219" s="2" t="s">
        <v>48</v>
      </c>
      <c r="F219" s="2" t="s">
        <v>25</v>
      </c>
      <c r="G219" s="5">
        <v>4488</v>
      </c>
      <c r="H219" s="5">
        <v>35</v>
      </c>
      <c r="I219" s="5">
        <v>2918</v>
      </c>
      <c r="J219" s="5">
        <v>3</v>
      </c>
      <c r="K219" s="2" t="s">
        <v>261</v>
      </c>
      <c r="L219" s="2" t="s">
        <v>88</v>
      </c>
      <c r="M219" s="4">
        <v>3.8</v>
      </c>
      <c r="N219" s="5">
        <v>187</v>
      </c>
      <c r="O219" s="3">
        <v>45831</v>
      </c>
      <c r="P219" s="2" t="s">
        <v>57</v>
      </c>
      <c r="Q219" s="2" t="s">
        <v>78</v>
      </c>
      <c r="R219" s="2" t="s">
        <v>58</v>
      </c>
      <c r="S219" s="2" t="s">
        <v>59</v>
      </c>
      <c r="T219" s="2" t="s">
        <v>32</v>
      </c>
    </row>
    <row r="220" spans="1:20" ht="12.5" x14ac:dyDescent="0.25">
      <c r="A220" s="2" t="s">
        <v>920</v>
      </c>
      <c r="B220" s="2" t="s">
        <v>921</v>
      </c>
      <c r="C220" s="2" t="s">
        <v>922</v>
      </c>
      <c r="D220" s="2" t="s">
        <v>923</v>
      </c>
      <c r="E220" s="2" t="s">
        <v>208</v>
      </c>
      <c r="F220" s="2" t="s">
        <v>117</v>
      </c>
      <c r="G220" s="5">
        <v>2634</v>
      </c>
      <c r="H220" s="5">
        <v>20</v>
      </c>
      <c r="I220" s="5">
        <v>2108</v>
      </c>
      <c r="J220" s="5">
        <v>1</v>
      </c>
      <c r="K220" s="2" t="s">
        <v>72</v>
      </c>
      <c r="L220" s="2" t="s">
        <v>73</v>
      </c>
      <c r="M220" s="4">
        <v>4.4000000000000004</v>
      </c>
      <c r="N220" s="5">
        <v>221</v>
      </c>
      <c r="O220" s="3">
        <v>45782</v>
      </c>
      <c r="P220" s="2" t="s">
        <v>40</v>
      </c>
      <c r="Q220" s="2" t="s">
        <v>29</v>
      </c>
      <c r="R220" s="2" t="s">
        <v>83</v>
      </c>
      <c r="S220" s="2" t="s">
        <v>83</v>
      </c>
      <c r="T220" s="2" t="s">
        <v>32</v>
      </c>
    </row>
    <row r="221" spans="1:20" ht="12.5" x14ac:dyDescent="0.25">
      <c r="A221" s="2" t="s">
        <v>924</v>
      </c>
      <c r="B221" s="2" t="s">
        <v>925</v>
      </c>
      <c r="C221" s="2" t="s">
        <v>926</v>
      </c>
      <c r="D221" s="2" t="s">
        <v>927</v>
      </c>
      <c r="E221" s="2" t="s">
        <v>37</v>
      </c>
      <c r="F221" s="2" t="s">
        <v>38</v>
      </c>
      <c r="G221" s="5">
        <v>2915</v>
      </c>
      <c r="H221" s="5">
        <v>30</v>
      </c>
      <c r="I221" s="5">
        <v>2041</v>
      </c>
      <c r="J221" s="5">
        <v>2</v>
      </c>
      <c r="K221" s="2" t="s">
        <v>32</v>
      </c>
      <c r="L221" s="2" t="s">
        <v>133</v>
      </c>
      <c r="M221" s="4">
        <v>3.8</v>
      </c>
      <c r="N221" s="5">
        <v>12</v>
      </c>
      <c r="O221" s="3">
        <v>45775</v>
      </c>
      <c r="P221" s="2" t="s">
        <v>28</v>
      </c>
      <c r="Q221" s="2" t="s">
        <v>65</v>
      </c>
      <c r="R221" s="2" t="s">
        <v>110</v>
      </c>
      <c r="S221" s="2" t="s">
        <v>111</v>
      </c>
      <c r="T221" s="2" t="s">
        <v>32</v>
      </c>
    </row>
    <row r="222" spans="1:20" ht="12.5" x14ac:dyDescent="0.25">
      <c r="A222" s="2" t="s">
        <v>928</v>
      </c>
      <c r="B222" s="2" t="s">
        <v>929</v>
      </c>
      <c r="C222" s="2" t="s">
        <v>930</v>
      </c>
      <c r="D222" s="2" t="s">
        <v>931</v>
      </c>
      <c r="E222" s="2" t="s">
        <v>147</v>
      </c>
      <c r="F222" s="2" t="s">
        <v>148</v>
      </c>
      <c r="G222" s="5">
        <v>4189</v>
      </c>
      <c r="H222" s="5">
        <v>15</v>
      </c>
      <c r="I222" s="5">
        <v>3561</v>
      </c>
      <c r="J222" s="5">
        <v>2</v>
      </c>
      <c r="K222" s="2" t="s">
        <v>32</v>
      </c>
      <c r="L222" s="2" t="s">
        <v>64</v>
      </c>
      <c r="M222" s="4">
        <v>3.7</v>
      </c>
      <c r="N222" s="5">
        <v>129</v>
      </c>
      <c r="O222" s="3">
        <v>45787</v>
      </c>
      <c r="P222" s="2" t="s">
        <v>28</v>
      </c>
      <c r="Q222" s="2" t="s">
        <v>78</v>
      </c>
      <c r="R222" s="2" t="s">
        <v>58</v>
      </c>
      <c r="S222" s="2" t="s">
        <v>59</v>
      </c>
      <c r="T222" s="2" t="s">
        <v>32</v>
      </c>
    </row>
    <row r="223" spans="1:20" ht="12.5" x14ac:dyDescent="0.25">
      <c r="A223" s="2" t="s">
        <v>932</v>
      </c>
      <c r="B223" s="2" t="s">
        <v>846</v>
      </c>
      <c r="C223" s="2" t="s">
        <v>933</v>
      </c>
      <c r="D223" s="2" t="s">
        <v>934</v>
      </c>
      <c r="E223" s="2" t="s">
        <v>208</v>
      </c>
      <c r="F223" s="2" t="s">
        <v>117</v>
      </c>
      <c r="G223" s="5">
        <v>4577</v>
      </c>
      <c r="H223" s="5">
        <v>10</v>
      </c>
      <c r="I223" s="5">
        <v>4120</v>
      </c>
      <c r="J223" s="5">
        <v>2</v>
      </c>
      <c r="K223" s="2" t="s">
        <v>163</v>
      </c>
      <c r="L223" s="2" t="s">
        <v>103</v>
      </c>
      <c r="M223" s="4">
        <v>4.4000000000000004</v>
      </c>
      <c r="N223" s="5">
        <v>55</v>
      </c>
      <c r="O223" s="3">
        <v>45835</v>
      </c>
      <c r="P223" s="2" t="s">
        <v>28</v>
      </c>
      <c r="Q223" s="2" t="s">
        <v>78</v>
      </c>
      <c r="R223" s="2" t="s">
        <v>104</v>
      </c>
      <c r="S223" s="2" t="s">
        <v>105</v>
      </c>
      <c r="T223" s="2" t="s">
        <v>32</v>
      </c>
    </row>
    <row r="224" spans="1:20" ht="12.5" x14ac:dyDescent="0.25">
      <c r="A224" s="2" t="s">
        <v>935</v>
      </c>
      <c r="B224" s="2" t="s">
        <v>254</v>
      </c>
      <c r="C224" s="2" t="s">
        <v>936</v>
      </c>
      <c r="D224" s="2" t="s">
        <v>937</v>
      </c>
      <c r="E224" s="2" t="s">
        <v>132</v>
      </c>
      <c r="F224" s="2" t="s">
        <v>38</v>
      </c>
      <c r="G224" s="5">
        <v>2042</v>
      </c>
      <c r="H224" s="5">
        <v>20</v>
      </c>
      <c r="I224" s="5">
        <v>1634</v>
      </c>
      <c r="J224" s="5">
        <v>1</v>
      </c>
      <c r="K224" s="2">
        <v>44</v>
      </c>
      <c r="L224" s="2" t="s">
        <v>39</v>
      </c>
      <c r="M224" s="4">
        <v>3.8</v>
      </c>
      <c r="N224" s="5">
        <v>102</v>
      </c>
      <c r="O224" s="3">
        <v>45803</v>
      </c>
      <c r="P224" s="2" t="s">
        <v>40</v>
      </c>
      <c r="Q224" s="2" t="s">
        <v>65</v>
      </c>
      <c r="R224" s="2" t="s">
        <v>66</v>
      </c>
      <c r="S224" s="2" t="s">
        <v>67</v>
      </c>
      <c r="T224" s="2" t="s">
        <v>32</v>
      </c>
    </row>
    <row r="225" spans="1:20" ht="12.5" x14ac:dyDescent="0.25">
      <c r="A225" s="2" t="s">
        <v>938</v>
      </c>
      <c r="B225" s="2" t="s">
        <v>440</v>
      </c>
      <c r="C225" s="2" t="s">
        <v>939</v>
      </c>
      <c r="D225" s="2" t="s">
        <v>940</v>
      </c>
      <c r="E225" s="2" t="s">
        <v>55</v>
      </c>
      <c r="F225" s="2" t="s">
        <v>38</v>
      </c>
      <c r="G225" s="5">
        <v>3199</v>
      </c>
      <c r="H225" s="5">
        <v>20</v>
      </c>
      <c r="I225" s="5">
        <v>2560</v>
      </c>
      <c r="J225" s="5">
        <v>1</v>
      </c>
      <c r="K225" s="2">
        <v>44</v>
      </c>
      <c r="L225" s="2" t="s">
        <v>168</v>
      </c>
      <c r="M225" s="4">
        <v>4.7</v>
      </c>
      <c r="N225" s="5">
        <v>38</v>
      </c>
      <c r="O225" s="3">
        <v>45775</v>
      </c>
      <c r="P225" s="2" t="s">
        <v>28</v>
      </c>
      <c r="Q225" s="2" t="s">
        <v>78</v>
      </c>
      <c r="R225" s="2" t="s">
        <v>185</v>
      </c>
      <c r="S225" s="2" t="s">
        <v>186</v>
      </c>
      <c r="T225" s="2" t="s">
        <v>32</v>
      </c>
    </row>
    <row r="226" spans="1:20" ht="12.5" x14ac:dyDescent="0.25">
      <c r="A226" s="2" t="s">
        <v>941</v>
      </c>
      <c r="B226" s="2" t="s">
        <v>244</v>
      </c>
      <c r="C226" s="2" t="s">
        <v>942</v>
      </c>
      <c r="D226" s="2" t="s">
        <v>943</v>
      </c>
      <c r="E226" s="2" t="s">
        <v>37</v>
      </c>
      <c r="F226" s="2" t="s">
        <v>38</v>
      </c>
      <c r="G226" s="5">
        <v>771</v>
      </c>
      <c r="H226" s="5">
        <v>40</v>
      </c>
      <c r="I226" s="5">
        <v>463</v>
      </c>
      <c r="J226" s="5">
        <v>2</v>
      </c>
      <c r="K226" s="2">
        <v>40</v>
      </c>
      <c r="L226" s="2" t="s">
        <v>209</v>
      </c>
      <c r="M226" s="4">
        <v>5</v>
      </c>
      <c r="N226" s="5">
        <v>285</v>
      </c>
      <c r="O226" s="3">
        <v>45781</v>
      </c>
      <c r="P226" s="2" t="s">
        <v>57</v>
      </c>
      <c r="Q226" s="2" t="s">
        <v>29</v>
      </c>
      <c r="R226" s="2" t="s">
        <v>83</v>
      </c>
      <c r="S226" s="2" t="s">
        <v>83</v>
      </c>
      <c r="T226" s="2" t="s">
        <v>32</v>
      </c>
    </row>
    <row r="227" spans="1:20" ht="12.5" x14ac:dyDescent="0.25">
      <c r="A227" s="2" t="s">
        <v>944</v>
      </c>
      <c r="B227" s="2" t="s">
        <v>271</v>
      </c>
      <c r="C227" s="2" t="s">
        <v>945</v>
      </c>
      <c r="D227" s="2" t="s">
        <v>946</v>
      </c>
      <c r="E227" s="2" t="s">
        <v>147</v>
      </c>
      <c r="F227" s="2" t="s">
        <v>148</v>
      </c>
      <c r="G227" s="5">
        <v>2931</v>
      </c>
      <c r="H227" s="5">
        <v>30</v>
      </c>
      <c r="I227" s="5">
        <v>2052</v>
      </c>
      <c r="J227" s="5">
        <v>2</v>
      </c>
      <c r="K227" s="2" t="s">
        <v>163</v>
      </c>
      <c r="L227" s="2" t="s">
        <v>39</v>
      </c>
      <c r="M227" s="4">
        <v>3.9</v>
      </c>
      <c r="N227" s="5">
        <v>123</v>
      </c>
      <c r="O227" s="3">
        <v>45840</v>
      </c>
      <c r="P227" s="2" t="s">
        <v>40</v>
      </c>
      <c r="Q227" s="2" t="s">
        <v>29</v>
      </c>
      <c r="R227" s="2" t="s">
        <v>110</v>
      </c>
      <c r="S227" s="2" t="s">
        <v>111</v>
      </c>
      <c r="T227" s="2" t="s">
        <v>134</v>
      </c>
    </row>
    <row r="228" spans="1:20" ht="12.5" x14ac:dyDescent="0.25">
      <c r="A228" s="2" t="s">
        <v>947</v>
      </c>
      <c r="B228" s="2" t="s">
        <v>948</v>
      </c>
      <c r="C228" s="2" t="s">
        <v>949</v>
      </c>
      <c r="D228" s="2" t="s">
        <v>950</v>
      </c>
      <c r="E228" s="2" t="s">
        <v>132</v>
      </c>
      <c r="F228" s="2" t="s">
        <v>38</v>
      </c>
      <c r="G228" s="5">
        <v>1509</v>
      </c>
      <c r="H228" s="5">
        <v>40</v>
      </c>
      <c r="I228" s="5">
        <v>906</v>
      </c>
      <c r="J228" s="5">
        <v>1</v>
      </c>
      <c r="K228" s="2">
        <v>42</v>
      </c>
      <c r="L228" s="2" t="s">
        <v>27</v>
      </c>
      <c r="M228" s="4">
        <v>4.3</v>
      </c>
      <c r="N228" s="5">
        <v>76</v>
      </c>
      <c r="O228" s="3">
        <v>45802</v>
      </c>
      <c r="P228" s="2" t="s">
        <v>40</v>
      </c>
      <c r="Q228" s="2" t="s">
        <v>78</v>
      </c>
      <c r="R228" s="2" t="s">
        <v>104</v>
      </c>
      <c r="S228" s="2" t="s">
        <v>105</v>
      </c>
      <c r="T228" s="2" t="s">
        <v>203</v>
      </c>
    </row>
    <row r="229" spans="1:20" ht="12.5" x14ac:dyDescent="0.25">
      <c r="A229" s="2" t="s">
        <v>951</v>
      </c>
      <c r="B229" s="2" t="s">
        <v>952</v>
      </c>
      <c r="C229" s="2" t="s">
        <v>953</v>
      </c>
      <c r="D229" s="2" t="s">
        <v>954</v>
      </c>
      <c r="E229" s="2" t="s">
        <v>208</v>
      </c>
      <c r="F229" s="2" t="s">
        <v>117</v>
      </c>
      <c r="G229" s="5">
        <v>1797</v>
      </c>
      <c r="H229" s="5">
        <v>40</v>
      </c>
      <c r="I229" s="5">
        <v>1079</v>
      </c>
      <c r="J229" s="5">
        <v>1</v>
      </c>
      <c r="K229" s="2" t="s">
        <v>56</v>
      </c>
      <c r="L229" s="2" t="s">
        <v>133</v>
      </c>
      <c r="M229" s="4">
        <v>4</v>
      </c>
      <c r="N229" s="5">
        <v>37</v>
      </c>
      <c r="O229" s="3">
        <v>45836</v>
      </c>
      <c r="P229" s="2" t="s">
        <v>28</v>
      </c>
      <c r="Q229" s="2" t="s">
        <v>78</v>
      </c>
      <c r="R229" s="2" t="s">
        <v>110</v>
      </c>
      <c r="S229" s="2" t="s">
        <v>111</v>
      </c>
      <c r="T229" s="2" t="s">
        <v>32</v>
      </c>
    </row>
    <row r="230" spans="1:20" ht="12.5" x14ac:dyDescent="0.25">
      <c r="A230" s="2" t="s">
        <v>955</v>
      </c>
      <c r="B230" s="2" t="s">
        <v>45</v>
      </c>
      <c r="C230" s="2" t="s">
        <v>956</v>
      </c>
      <c r="D230" s="2" t="s">
        <v>957</v>
      </c>
      <c r="E230" s="2" t="s">
        <v>208</v>
      </c>
      <c r="F230" s="2" t="s">
        <v>117</v>
      </c>
      <c r="G230" s="5">
        <v>1915</v>
      </c>
      <c r="H230" s="5">
        <v>15</v>
      </c>
      <c r="I230" s="5">
        <v>1628</v>
      </c>
      <c r="J230" s="5">
        <v>3</v>
      </c>
      <c r="K230" s="2">
        <v>44</v>
      </c>
      <c r="L230" s="2" t="s">
        <v>73</v>
      </c>
      <c r="M230" s="4">
        <v>4.9000000000000004</v>
      </c>
      <c r="N230" s="5">
        <v>35</v>
      </c>
      <c r="O230" s="3">
        <v>45798</v>
      </c>
      <c r="P230" s="2" t="s">
        <v>28</v>
      </c>
      <c r="Q230" s="2" t="s">
        <v>29</v>
      </c>
      <c r="R230" s="2" t="s">
        <v>149</v>
      </c>
      <c r="S230" s="2" t="s">
        <v>150</v>
      </c>
      <c r="T230" s="2" t="s">
        <v>32</v>
      </c>
    </row>
    <row r="231" spans="1:20" ht="12.5" x14ac:dyDescent="0.25">
      <c r="A231" s="2" t="s">
        <v>958</v>
      </c>
      <c r="B231" s="2" t="s">
        <v>959</v>
      </c>
      <c r="C231" s="2" t="s">
        <v>960</v>
      </c>
      <c r="D231" s="2" t="s">
        <v>961</v>
      </c>
      <c r="E231" s="2" t="s">
        <v>208</v>
      </c>
      <c r="F231" s="2" t="s">
        <v>117</v>
      </c>
      <c r="G231" s="5">
        <v>4210</v>
      </c>
      <c r="H231" s="5">
        <v>15</v>
      </c>
      <c r="I231" s="5">
        <v>3579</v>
      </c>
      <c r="J231" s="5">
        <v>2</v>
      </c>
      <c r="K231" s="2">
        <v>44</v>
      </c>
      <c r="L231" s="2" t="s">
        <v>209</v>
      </c>
      <c r="M231" s="4">
        <v>4.0999999999999996</v>
      </c>
      <c r="N231" s="5">
        <v>112</v>
      </c>
      <c r="O231" s="3">
        <v>45822</v>
      </c>
      <c r="P231" s="2" t="s">
        <v>28</v>
      </c>
      <c r="Q231" s="2" t="s">
        <v>65</v>
      </c>
      <c r="R231" s="2" t="s">
        <v>110</v>
      </c>
      <c r="S231" s="2" t="s">
        <v>111</v>
      </c>
      <c r="T231" s="2" t="s">
        <v>32</v>
      </c>
    </row>
    <row r="232" spans="1:20" ht="12.5" x14ac:dyDescent="0.25">
      <c r="A232" s="2" t="s">
        <v>962</v>
      </c>
      <c r="B232" s="2" t="s">
        <v>693</v>
      </c>
      <c r="C232" s="2" t="s">
        <v>963</v>
      </c>
      <c r="D232" s="2" t="s">
        <v>964</v>
      </c>
      <c r="E232" s="2" t="s">
        <v>247</v>
      </c>
      <c r="F232" s="2" t="s">
        <v>248</v>
      </c>
      <c r="G232" s="5">
        <v>4943</v>
      </c>
      <c r="H232" s="5">
        <v>30</v>
      </c>
      <c r="I232" s="5">
        <v>3461</v>
      </c>
      <c r="J232" s="5">
        <v>2</v>
      </c>
      <c r="K232" s="2" t="s">
        <v>56</v>
      </c>
      <c r="L232" s="2" t="s">
        <v>103</v>
      </c>
      <c r="M232" s="4">
        <v>4.5999999999999996</v>
      </c>
      <c r="N232" s="5">
        <v>145</v>
      </c>
      <c r="O232" s="3">
        <v>45811</v>
      </c>
      <c r="P232" s="2" t="s">
        <v>57</v>
      </c>
      <c r="Q232" s="2" t="s">
        <v>65</v>
      </c>
      <c r="R232" s="2" t="s">
        <v>110</v>
      </c>
      <c r="S232" s="2" t="s">
        <v>111</v>
      </c>
      <c r="T232" s="2" t="s">
        <v>32</v>
      </c>
    </row>
    <row r="233" spans="1:20" ht="12.5" x14ac:dyDescent="0.25">
      <c r="A233" s="2" t="s">
        <v>965</v>
      </c>
      <c r="B233" s="2" t="s">
        <v>966</v>
      </c>
      <c r="C233" s="2" t="s">
        <v>967</v>
      </c>
      <c r="D233" s="2" t="s">
        <v>968</v>
      </c>
      <c r="E233" s="2" t="s">
        <v>37</v>
      </c>
      <c r="F233" s="2" t="s">
        <v>38</v>
      </c>
      <c r="G233" s="5">
        <v>4182</v>
      </c>
      <c r="H233" s="5">
        <v>40</v>
      </c>
      <c r="I233" s="5">
        <v>2510</v>
      </c>
      <c r="J233" s="5">
        <v>1</v>
      </c>
      <c r="K233" s="2" t="s">
        <v>26</v>
      </c>
      <c r="L233" s="2" t="s">
        <v>133</v>
      </c>
      <c r="M233" s="4">
        <v>4.9000000000000004</v>
      </c>
      <c r="N233" s="5">
        <v>294</v>
      </c>
      <c r="O233" s="3">
        <v>45799</v>
      </c>
      <c r="P233" s="2" t="s">
        <v>40</v>
      </c>
      <c r="Q233" s="2" t="s">
        <v>65</v>
      </c>
      <c r="R233" s="2" t="s">
        <v>83</v>
      </c>
      <c r="S233" s="2" t="s">
        <v>83</v>
      </c>
      <c r="T233" s="2" t="s">
        <v>50</v>
      </c>
    </row>
    <row r="234" spans="1:20" ht="12.5" x14ac:dyDescent="0.25">
      <c r="A234" s="2" t="s">
        <v>969</v>
      </c>
      <c r="B234" s="2" t="s">
        <v>970</v>
      </c>
      <c r="C234" s="2" t="s">
        <v>971</v>
      </c>
      <c r="D234" s="2" t="s">
        <v>972</v>
      </c>
      <c r="E234" s="2" t="s">
        <v>247</v>
      </c>
      <c r="F234" s="2" t="s">
        <v>248</v>
      </c>
      <c r="G234" s="5">
        <v>4451</v>
      </c>
      <c r="H234" s="5">
        <v>20</v>
      </c>
      <c r="I234" s="5">
        <v>3561</v>
      </c>
      <c r="J234" s="5">
        <v>2</v>
      </c>
      <c r="K234" s="2" t="s">
        <v>163</v>
      </c>
      <c r="L234" s="2" t="s">
        <v>168</v>
      </c>
      <c r="M234" s="4">
        <v>4.0999999999999996</v>
      </c>
      <c r="N234" s="5">
        <v>18</v>
      </c>
      <c r="O234" s="3">
        <v>45824</v>
      </c>
      <c r="P234" s="2" t="s">
        <v>57</v>
      </c>
      <c r="Q234" s="2" t="s">
        <v>29</v>
      </c>
      <c r="R234" s="2" t="s">
        <v>41</v>
      </c>
      <c r="S234" s="2" t="s">
        <v>42</v>
      </c>
      <c r="T234" s="2" t="s">
        <v>32</v>
      </c>
    </row>
    <row r="235" spans="1:20" ht="12.5" x14ac:dyDescent="0.25">
      <c r="A235" s="2" t="s">
        <v>973</v>
      </c>
      <c r="B235" s="2" t="s">
        <v>974</v>
      </c>
      <c r="C235" s="2" t="s">
        <v>975</v>
      </c>
      <c r="D235" s="2" t="s">
        <v>976</v>
      </c>
      <c r="E235" s="2" t="s">
        <v>116</v>
      </c>
      <c r="F235" s="2" t="s">
        <v>117</v>
      </c>
      <c r="G235" s="5">
        <v>4512</v>
      </c>
      <c r="H235" s="5">
        <v>10</v>
      </c>
      <c r="I235" s="5">
        <v>4061</v>
      </c>
      <c r="J235" s="5">
        <v>1</v>
      </c>
      <c r="K235" s="2" t="s">
        <v>32</v>
      </c>
      <c r="L235" s="2" t="s">
        <v>103</v>
      </c>
      <c r="M235" s="4">
        <v>4.8</v>
      </c>
      <c r="N235" s="5">
        <v>32</v>
      </c>
      <c r="O235" s="3">
        <v>45818</v>
      </c>
      <c r="P235" s="2" t="s">
        <v>57</v>
      </c>
      <c r="Q235" s="2" t="s">
        <v>78</v>
      </c>
      <c r="R235" s="2" t="s">
        <v>185</v>
      </c>
      <c r="S235" s="2" t="s">
        <v>186</v>
      </c>
      <c r="T235" s="2" t="s">
        <v>32</v>
      </c>
    </row>
    <row r="236" spans="1:20" ht="12.5" x14ac:dyDescent="0.25">
      <c r="A236" s="2" t="s">
        <v>977</v>
      </c>
      <c r="B236" s="2" t="s">
        <v>491</v>
      </c>
      <c r="C236" s="2" t="s">
        <v>978</v>
      </c>
      <c r="D236" s="2" t="s">
        <v>979</v>
      </c>
      <c r="E236" s="2" t="s">
        <v>147</v>
      </c>
      <c r="F236" s="2" t="s">
        <v>148</v>
      </c>
      <c r="G236" s="5">
        <v>1231</v>
      </c>
      <c r="H236" s="5">
        <v>25</v>
      </c>
      <c r="I236" s="5">
        <v>924</v>
      </c>
      <c r="J236" s="5">
        <v>2</v>
      </c>
      <c r="K236" s="2" t="s">
        <v>26</v>
      </c>
      <c r="L236" s="2" t="s">
        <v>103</v>
      </c>
      <c r="M236" s="4">
        <v>4.8</v>
      </c>
      <c r="N236" s="5">
        <v>97</v>
      </c>
      <c r="O236" s="3">
        <v>45796</v>
      </c>
      <c r="P236" s="2" t="s">
        <v>40</v>
      </c>
      <c r="Q236" s="2" t="s">
        <v>78</v>
      </c>
      <c r="R236" s="2" t="s">
        <v>110</v>
      </c>
      <c r="S236" s="2" t="s">
        <v>111</v>
      </c>
      <c r="T236" s="2" t="s">
        <v>203</v>
      </c>
    </row>
    <row r="237" spans="1:20" ht="12.5" x14ac:dyDescent="0.25">
      <c r="A237" s="2" t="s">
        <v>980</v>
      </c>
      <c r="B237" s="2" t="s">
        <v>981</v>
      </c>
      <c r="C237" s="2" t="s">
        <v>982</v>
      </c>
      <c r="D237" s="2" t="s">
        <v>983</v>
      </c>
      <c r="E237" s="2" t="s">
        <v>24</v>
      </c>
      <c r="F237" s="2" t="s">
        <v>25</v>
      </c>
      <c r="G237" s="5">
        <v>3492</v>
      </c>
      <c r="H237" s="5">
        <v>35</v>
      </c>
      <c r="I237" s="5">
        <v>2270</v>
      </c>
      <c r="J237" s="5">
        <v>2</v>
      </c>
      <c r="K237" s="2" t="s">
        <v>26</v>
      </c>
      <c r="L237" s="2" t="s">
        <v>88</v>
      </c>
      <c r="M237" s="4">
        <v>3.6</v>
      </c>
      <c r="N237" s="5">
        <v>59</v>
      </c>
      <c r="O237" s="3">
        <v>45829</v>
      </c>
      <c r="P237" s="2" t="s">
        <v>57</v>
      </c>
      <c r="Q237" s="2" t="s">
        <v>65</v>
      </c>
      <c r="R237" s="2" t="s">
        <v>30</v>
      </c>
      <c r="S237" s="2" t="s">
        <v>31</v>
      </c>
      <c r="T237" s="2" t="s">
        <v>32</v>
      </c>
    </row>
    <row r="238" spans="1:20" ht="12.5" x14ac:dyDescent="0.25">
      <c r="A238" s="2" t="s">
        <v>984</v>
      </c>
      <c r="B238" s="2" t="s">
        <v>985</v>
      </c>
      <c r="C238" s="2" t="s">
        <v>986</v>
      </c>
      <c r="D238" s="2" t="s">
        <v>987</v>
      </c>
      <c r="E238" s="2" t="s">
        <v>208</v>
      </c>
      <c r="F238" s="2" t="s">
        <v>117</v>
      </c>
      <c r="G238" s="5">
        <v>1567</v>
      </c>
      <c r="H238" s="5">
        <v>15</v>
      </c>
      <c r="I238" s="5">
        <v>1332</v>
      </c>
      <c r="J238" s="5">
        <v>2</v>
      </c>
      <c r="K238" s="2">
        <v>40</v>
      </c>
      <c r="L238" s="2" t="s">
        <v>39</v>
      </c>
      <c r="M238" s="4">
        <v>4.7</v>
      </c>
      <c r="N238" s="5">
        <v>14</v>
      </c>
      <c r="O238" s="3">
        <v>45851</v>
      </c>
      <c r="P238" s="2" t="s">
        <v>28</v>
      </c>
      <c r="Q238" s="2" t="s">
        <v>29</v>
      </c>
      <c r="R238" s="2" t="s">
        <v>149</v>
      </c>
      <c r="S238" s="2" t="s">
        <v>150</v>
      </c>
      <c r="T238" s="2" t="s">
        <v>32</v>
      </c>
    </row>
    <row r="239" spans="1:20" ht="12.5" x14ac:dyDescent="0.25">
      <c r="A239" s="2" t="s">
        <v>988</v>
      </c>
      <c r="B239" s="2" t="s">
        <v>989</v>
      </c>
      <c r="C239" s="2" t="s">
        <v>990</v>
      </c>
      <c r="D239" s="2" t="s">
        <v>991</v>
      </c>
      <c r="E239" s="2" t="s">
        <v>132</v>
      </c>
      <c r="F239" s="2" t="s">
        <v>38</v>
      </c>
      <c r="G239" s="5">
        <v>3234</v>
      </c>
      <c r="H239" s="5">
        <v>35</v>
      </c>
      <c r="I239" s="5">
        <v>2103</v>
      </c>
      <c r="J239" s="5">
        <v>2</v>
      </c>
      <c r="K239" s="2">
        <v>42</v>
      </c>
      <c r="L239" s="2" t="s">
        <v>168</v>
      </c>
      <c r="M239" s="4">
        <v>4.5</v>
      </c>
      <c r="N239" s="5">
        <v>135</v>
      </c>
      <c r="O239" s="3">
        <v>45780</v>
      </c>
      <c r="P239" s="2" t="s">
        <v>57</v>
      </c>
      <c r="Q239" s="2" t="s">
        <v>65</v>
      </c>
      <c r="R239" s="2" t="s">
        <v>185</v>
      </c>
      <c r="S239" s="2" t="s">
        <v>186</v>
      </c>
      <c r="T239" s="2" t="s">
        <v>32</v>
      </c>
    </row>
    <row r="240" spans="1:20" ht="12.5" x14ac:dyDescent="0.25">
      <c r="A240" s="2" t="s">
        <v>992</v>
      </c>
      <c r="B240" s="2" t="s">
        <v>993</v>
      </c>
      <c r="C240" s="2" t="s">
        <v>994</v>
      </c>
      <c r="D240" s="2" t="s">
        <v>995</v>
      </c>
      <c r="E240" s="2" t="s">
        <v>55</v>
      </c>
      <c r="F240" s="2" t="s">
        <v>38</v>
      </c>
      <c r="G240" s="5">
        <v>4636</v>
      </c>
      <c r="H240" s="5">
        <v>35</v>
      </c>
      <c r="I240" s="5">
        <v>3014</v>
      </c>
      <c r="J240" s="5">
        <v>2</v>
      </c>
      <c r="K240" s="2" t="s">
        <v>72</v>
      </c>
      <c r="L240" s="2" t="s">
        <v>209</v>
      </c>
      <c r="M240" s="4">
        <v>4.7</v>
      </c>
      <c r="N240" s="5">
        <v>277</v>
      </c>
      <c r="O240" s="3">
        <v>45853</v>
      </c>
      <c r="P240" s="2" t="s">
        <v>57</v>
      </c>
      <c r="Q240" s="2" t="s">
        <v>65</v>
      </c>
      <c r="R240" s="2" t="s">
        <v>149</v>
      </c>
      <c r="S240" s="2" t="s">
        <v>150</v>
      </c>
      <c r="T240" s="2" t="s">
        <v>32</v>
      </c>
    </row>
    <row r="241" spans="1:20" ht="12.5" x14ac:dyDescent="0.25">
      <c r="A241" s="2" t="s">
        <v>996</v>
      </c>
      <c r="B241" s="2" t="s">
        <v>966</v>
      </c>
      <c r="C241" s="2" t="s">
        <v>997</v>
      </c>
      <c r="D241" s="2" t="s">
        <v>998</v>
      </c>
      <c r="E241" s="2" t="s">
        <v>247</v>
      </c>
      <c r="F241" s="2" t="s">
        <v>248</v>
      </c>
      <c r="G241" s="5">
        <v>3457</v>
      </c>
      <c r="H241" s="5">
        <v>25</v>
      </c>
      <c r="I241" s="5">
        <v>2593</v>
      </c>
      <c r="J241" s="5">
        <v>1</v>
      </c>
      <c r="K241" s="2" t="s">
        <v>32</v>
      </c>
      <c r="L241" s="2" t="s">
        <v>88</v>
      </c>
      <c r="M241" s="4">
        <v>4</v>
      </c>
      <c r="N241" s="5">
        <v>290</v>
      </c>
      <c r="O241" s="3">
        <v>45839</v>
      </c>
      <c r="P241" s="2" t="s">
        <v>40</v>
      </c>
      <c r="Q241" s="2" t="s">
        <v>29</v>
      </c>
      <c r="R241" s="2" t="s">
        <v>30</v>
      </c>
      <c r="S241" s="2" t="s">
        <v>31</v>
      </c>
      <c r="T241" s="2" t="s">
        <v>203</v>
      </c>
    </row>
    <row r="242" spans="1:20" ht="12.5" x14ac:dyDescent="0.25">
      <c r="A242" s="2" t="s">
        <v>999</v>
      </c>
      <c r="B242" s="2" t="s">
        <v>1000</v>
      </c>
      <c r="C242" s="2" t="s">
        <v>1001</v>
      </c>
      <c r="D242" s="2" t="s">
        <v>1002</v>
      </c>
      <c r="E242" s="2" t="s">
        <v>55</v>
      </c>
      <c r="F242" s="2" t="s">
        <v>38</v>
      </c>
      <c r="G242" s="5">
        <v>3661</v>
      </c>
      <c r="H242" s="5">
        <v>25</v>
      </c>
      <c r="I242" s="5">
        <v>2746</v>
      </c>
      <c r="J242" s="5">
        <v>1</v>
      </c>
      <c r="K242" s="2">
        <v>44</v>
      </c>
      <c r="L242" s="2" t="s">
        <v>133</v>
      </c>
      <c r="M242" s="4">
        <v>4.5</v>
      </c>
      <c r="N242" s="5">
        <v>237</v>
      </c>
      <c r="O242" s="3">
        <v>45827</v>
      </c>
      <c r="P242" s="2" t="s">
        <v>57</v>
      </c>
      <c r="Q242" s="2" t="s">
        <v>29</v>
      </c>
      <c r="R242" s="2" t="s">
        <v>104</v>
      </c>
      <c r="S242" s="2" t="s">
        <v>105</v>
      </c>
      <c r="T242" s="2" t="s">
        <v>32</v>
      </c>
    </row>
    <row r="243" spans="1:20" ht="12.5" x14ac:dyDescent="0.25">
      <c r="A243" s="2" t="s">
        <v>1003</v>
      </c>
      <c r="B243" s="2" t="s">
        <v>876</v>
      </c>
      <c r="C243" s="2" t="s">
        <v>1004</v>
      </c>
      <c r="D243" s="2" t="s">
        <v>1005</v>
      </c>
      <c r="E243" s="2" t="s">
        <v>132</v>
      </c>
      <c r="F243" s="2" t="s">
        <v>38</v>
      </c>
      <c r="G243" s="5">
        <v>2136</v>
      </c>
      <c r="H243" s="5">
        <v>35</v>
      </c>
      <c r="I243" s="5">
        <v>1389</v>
      </c>
      <c r="J243" s="5">
        <v>3</v>
      </c>
      <c r="K243" s="2" t="s">
        <v>261</v>
      </c>
      <c r="L243" s="2" t="s">
        <v>168</v>
      </c>
      <c r="M243" s="4">
        <v>4</v>
      </c>
      <c r="N243" s="5">
        <v>21</v>
      </c>
      <c r="O243" s="3">
        <v>45830</v>
      </c>
      <c r="P243" s="2" t="s">
        <v>28</v>
      </c>
      <c r="Q243" s="2" t="s">
        <v>65</v>
      </c>
      <c r="R243" s="2" t="s">
        <v>83</v>
      </c>
      <c r="S243" s="2" t="s">
        <v>83</v>
      </c>
      <c r="T243" s="2" t="s">
        <v>32</v>
      </c>
    </row>
    <row r="244" spans="1:20" ht="12.5" x14ac:dyDescent="0.25">
      <c r="A244" s="2" t="s">
        <v>1006</v>
      </c>
      <c r="B244" s="2" t="s">
        <v>1007</v>
      </c>
      <c r="C244" s="2" t="s">
        <v>1008</v>
      </c>
      <c r="D244" s="2" t="s">
        <v>1009</v>
      </c>
      <c r="E244" s="2" t="s">
        <v>24</v>
      </c>
      <c r="F244" s="2" t="s">
        <v>25</v>
      </c>
      <c r="G244" s="5">
        <v>3396</v>
      </c>
      <c r="H244" s="5">
        <v>25</v>
      </c>
      <c r="I244" s="5">
        <v>2547</v>
      </c>
      <c r="J244" s="5">
        <v>2</v>
      </c>
      <c r="K244" s="2">
        <v>42</v>
      </c>
      <c r="L244" s="2" t="s">
        <v>168</v>
      </c>
      <c r="M244" s="4">
        <v>4.3</v>
      </c>
      <c r="N244" s="5">
        <v>230</v>
      </c>
      <c r="O244" s="3">
        <v>45818</v>
      </c>
      <c r="P244" s="2" t="s">
        <v>28</v>
      </c>
      <c r="Q244" s="2" t="s">
        <v>29</v>
      </c>
      <c r="R244" s="2" t="s">
        <v>41</v>
      </c>
      <c r="S244" s="2" t="s">
        <v>42</v>
      </c>
      <c r="T244" s="2" t="s">
        <v>32</v>
      </c>
    </row>
    <row r="245" spans="1:20" ht="12.5" x14ac:dyDescent="0.25">
      <c r="A245" s="2" t="s">
        <v>1010</v>
      </c>
      <c r="B245" s="2" t="s">
        <v>1011</v>
      </c>
      <c r="C245" s="2" t="s">
        <v>1012</v>
      </c>
      <c r="D245" s="2" t="s">
        <v>1013</v>
      </c>
      <c r="E245" s="2" t="s">
        <v>48</v>
      </c>
      <c r="F245" s="2" t="s">
        <v>25</v>
      </c>
      <c r="G245" s="5">
        <v>3268</v>
      </c>
      <c r="H245" s="5">
        <v>20</v>
      </c>
      <c r="I245" s="5">
        <v>2615</v>
      </c>
      <c r="J245" s="5">
        <v>2</v>
      </c>
      <c r="K245" s="2" t="s">
        <v>261</v>
      </c>
      <c r="L245" s="2" t="s">
        <v>27</v>
      </c>
      <c r="M245" s="4">
        <v>4.9000000000000004</v>
      </c>
      <c r="N245" s="5">
        <v>266</v>
      </c>
      <c r="O245" s="3">
        <v>45817</v>
      </c>
      <c r="P245" s="2" t="s">
        <v>57</v>
      </c>
      <c r="Q245" s="2" t="s">
        <v>65</v>
      </c>
      <c r="R245" s="2" t="s">
        <v>30</v>
      </c>
      <c r="S245" s="2" t="s">
        <v>31</v>
      </c>
      <c r="T245" s="2" t="s">
        <v>32</v>
      </c>
    </row>
    <row r="246" spans="1:20" ht="12.5" x14ac:dyDescent="0.25">
      <c r="A246" s="2" t="s">
        <v>1014</v>
      </c>
      <c r="B246" s="2" t="s">
        <v>618</v>
      </c>
      <c r="C246" s="2" t="s">
        <v>1015</v>
      </c>
      <c r="D246" s="2" t="s">
        <v>1016</v>
      </c>
      <c r="E246" s="2" t="s">
        <v>55</v>
      </c>
      <c r="F246" s="2" t="s">
        <v>38</v>
      </c>
      <c r="G246" s="5">
        <v>3463</v>
      </c>
      <c r="H246" s="5">
        <v>25</v>
      </c>
      <c r="I246" s="5">
        <v>2598</v>
      </c>
      <c r="J246" s="5">
        <v>2</v>
      </c>
      <c r="K246" s="2" t="s">
        <v>26</v>
      </c>
      <c r="L246" s="2" t="s">
        <v>103</v>
      </c>
      <c r="M246" s="4">
        <v>4.9000000000000004</v>
      </c>
      <c r="N246" s="5">
        <v>204</v>
      </c>
      <c r="O246" s="3">
        <v>45803</v>
      </c>
      <c r="P246" s="2" t="s">
        <v>57</v>
      </c>
      <c r="Q246" s="2" t="s">
        <v>65</v>
      </c>
      <c r="R246" s="2" t="s">
        <v>185</v>
      </c>
      <c r="S246" s="2" t="s">
        <v>186</v>
      </c>
      <c r="T246" s="2" t="s">
        <v>32</v>
      </c>
    </row>
    <row r="247" spans="1:20" ht="12.5" x14ac:dyDescent="0.25">
      <c r="A247" s="2" t="s">
        <v>1017</v>
      </c>
      <c r="B247" s="2" t="s">
        <v>1018</v>
      </c>
      <c r="C247" s="2" t="s">
        <v>1019</v>
      </c>
      <c r="D247" s="2" t="s">
        <v>1020</v>
      </c>
      <c r="E247" s="2" t="s">
        <v>132</v>
      </c>
      <c r="F247" s="2" t="s">
        <v>38</v>
      </c>
      <c r="G247" s="5">
        <v>2366</v>
      </c>
      <c r="H247" s="5">
        <v>15</v>
      </c>
      <c r="I247" s="5">
        <v>2012</v>
      </c>
      <c r="J247" s="5">
        <v>1</v>
      </c>
      <c r="K247" s="2">
        <v>42</v>
      </c>
      <c r="L247" s="2" t="s">
        <v>133</v>
      </c>
      <c r="M247" s="4">
        <v>3.7</v>
      </c>
      <c r="N247" s="5">
        <v>233</v>
      </c>
      <c r="O247" s="3">
        <v>45809</v>
      </c>
      <c r="P247" s="2" t="s">
        <v>57</v>
      </c>
      <c r="Q247" s="2" t="s">
        <v>29</v>
      </c>
      <c r="R247" s="2" t="s">
        <v>104</v>
      </c>
      <c r="S247" s="2" t="s">
        <v>105</v>
      </c>
      <c r="T247" s="2" t="s">
        <v>32</v>
      </c>
    </row>
    <row r="248" spans="1:20" ht="12.5" x14ac:dyDescent="0.25">
      <c r="A248" s="2" t="s">
        <v>1021</v>
      </c>
      <c r="B248" s="2" t="s">
        <v>1022</v>
      </c>
      <c r="C248" s="2" t="s">
        <v>1023</v>
      </c>
      <c r="D248" s="2" t="s">
        <v>1024</v>
      </c>
      <c r="E248" s="2" t="s">
        <v>247</v>
      </c>
      <c r="F248" s="2" t="s">
        <v>248</v>
      </c>
      <c r="G248" s="5">
        <v>1207</v>
      </c>
      <c r="H248" s="5">
        <v>25</v>
      </c>
      <c r="I248" s="5">
        <v>906</v>
      </c>
      <c r="J248" s="5">
        <v>2</v>
      </c>
      <c r="K248" s="2">
        <v>44</v>
      </c>
      <c r="L248" s="2" t="s">
        <v>39</v>
      </c>
      <c r="M248" s="4">
        <v>4.2</v>
      </c>
      <c r="N248" s="5">
        <v>284</v>
      </c>
      <c r="O248" s="3">
        <v>45856</v>
      </c>
      <c r="P248" s="2" t="s">
        <v>57</v>
      </c>
      <c r="Q248" s="2" t="s">
        <v>29</v>
      </c>
      <c r="R248" s="2" t="s">
        <v>41</v>
      </c>
      <c r="S248" s="2" t="s">
        <v>42</v>
      </c>
      <c r="T248" s="2" t="s">
        <v>32</v>
      </c>
    </row>
    <row r="249" spans="1:20" ht="12.5" x14ac:dyDescent="0.25">
      <c r="A249" s="2" t="s">
        <v>1025</v>
      </c>
      <c r="B249" s="2" t="s">
        <v>1026</v>
      </c>
      <c r="C249" s="2" t="s">
        <v>1027</v>
      </c>
      <c r="D249" s="2" t="s">
        <v>1028</v>
      </c>
      <c r="E249" s="2" t="s">
        <v>132</v>
      </c>
      <c r="F249" s="2" t="s">
        <v>38</v>
      </c>
      <c r="G249" s="5">
        <v>4662</v>
      </c>
      <c r="H249" s="5">
        <v>15</v>
      </c>
      <c r="I249" s="5">
        <v>3963</v>
      </c>
      <c r="J249" s="5">
        <v>2</v>
      </c>
      <c r="K249" s="2" t="s">
        <v>72</v>
      </c>
      <c r="L249" s="2" t="s">
        <v>73</v>
      </c>
      <c r="M249" s="4">
        <v>4.2</v>
      </c>
      <c r="N249" s="5">
        <v>137</v>
      </c>
      <c r="O249" s="3">
        <v>45782</v>
      </c>
      <c r="P249" s="2" t="s">
        <v>40</v>
      </c>
      <c r="Q249" s="2" t="s">
        <v>29</v>
      </c>
      <c r="R249" s="2" t="s">
        <v>89</v>
      </c>
      <c r="S249" s="2" t="s">
        <v>90</v>
      </c>
      <c r="T249" s="2" t="s">
        <v>32</v>
      </c>
    </row>
    <row r="250" spans="1:20" ht="12.5" x14ac:dyDescent="0.25">
      <c r="A250" s="2" t="s">
        <v>1029</v>
      </c>
      <c r="B250" s="2" t="s">
        <v>1030</v>
      </c>
      <c r="C250" s="2" t="s">
        <v>1031</v>
      </c>
      <c r="D250" s="2" t="s">
        <v>1032</v>
      </c>
      <c r="E250" s="2" t="s">
        <v>24</v>
      </c>
      <c r="F250" s="2" t="s">
        <v>25</v>
      </c>
      <c r="G250" s="5">
        <v>4035</v>
      </c>
      <c r="H250" s="5">
        <v>15</v>
      </c>
      <c r="I250" s="5">
        <v>3430</v>
      </c>
      <c r="J250" s="5">
        <v>1</v>
      </c>
      <c r="K250" s="2" t="s">
        <v>26</v>
      </c>
      <c r="L250" s="2" t="s">
        <v>64</v>
      </c>
      <c r="M250" s="4">
        <v>4</v>
      </c>
      <c r="N250" s="5">
        <v>56</v>
      </c>
      <c r="O250" s="3">
        <v>45772</v>
      </c>
      <c r="P250" s="2" t="s">
        <v>28</v>
      </c>
      <c r="Q250" s="2" t="s">
        <v>29</v>
      </c>
      <c r="R250" s="2" t="s">
        <v>104</v>
      </c>
      <c r="S250" s="2" t="s">
        <v>105</v>
      </c>
      <c r="T250" s="2" t="s">
        <v>32</v>
      </c>
    </row>
    <row r="251" spans="1:20" ht="12.5" x14ac:dyDescent="0.25">
      <c r="A251" s="2" t="s">
        <v>1033</v>
      </c>
      <c r="B251" s="2" t="s">
        <v>1034</v>
      </c>
      <c r="C251" s="2" t="s">
        <v>1035</v>
      </c>
      <c r="D251" s="2" t="s">
        <v>1036</v>
      </c>
      <c r="E251" s="2" t="s">
        <v>48</v>
      </c>
      <c r="F251" s="2" t="s">
        <v>25</v>
      </c>
      <c r="G251" s="5">
        <v>2661</v>
      </c>
      <c r="H251" s="5">
        <v>40</v>
      </c>
      <c r="I251" s="5">
        <v>1597</v>
      </c>
      <c r="J251" s="5">
        <v>1</v>
      </c>
      <c r="K251" s="2" t="s">
        <v>72</v>
      </c>
      <c r="L251" s="2" t="s">
        <v>168</v>
      </c>
      <c r="M251" s="4">
        <v>4.9000000000000004</v>
      </c>
      <c r="N251" s="5">
        <v>36</v>
      </c>
      <c r="O251" s="3">
        <v>45809</v>
      </c>
      <c r="P251" s="2" t="s">
        <v>28</v>
      </c>
      <c r="Q251" s="2" t="s">
        <v>29</v>
      </c>
      <c r="R251" s="2" t="s">
        <v>104</v>
      </c>
      <c r="S251" s="2" t="s">
        <v>105</v>
      </c>
      <c r="T251" s="2" t="s">
        <v>32</v>
      </c>
    </row>
    <row r="252" spans="1:20" ht="12.5" x14ac:dyDescent="0.25">
      <c r="A252" s="2" t="s">
        <v>1037</v>
      </c>
      <c r="B252" s="2" t="s">
        <v>1038</v>
      </c>
      <c r="C252" s="2" t="s">
        <v>1039</v>
      </c>
      <c r="D252" s="2" t="s">
        <v>1040</v>
      </c>
      <c r="E252" s="2" t="s">
        <v>208</v>
      </c>
      <c r="F252" s="2" t="s">
        <v>117</v>
      </c>
      <c r="G252" s="5">
        <v>1342</v>
      </c>
      <c r="H252" s="5">
        <v>30</v>
      </c>
      <c r="I252" s="5">
        <v>940</v>
      </c>
      <c r="J252" s="5">
        <v>1</v>
      </c>
      <c r="K252" s="2">
        <v>40</v>
      </c>
      <c r="L252" s="2" t="s">
        <v>64</v>
      </c>
      <c r="M252" s="4">
        <v>4.2</v>
      </c>
      <c r="N252" s="5">
        <v>184</v>
      </c>
      <c r="O252" s="3">
        <v>45827</v>
      </c>
      <c r="P252" s="2" t="s">
        <v>28</v>
      </c>
      <c r="Q252" s="2" t="s">
        <v>78</v>
      </c>
      <c r="R252" s="2" t="s">
        <v>185</v>
      </c>
      <c r="S252" s="2" t="s">
        <v>186</v>
      </c>
      <c r="T252" s="2" t="s">
        <v>32</v>
      </c>
    </row>
    <row r="253" spans="1:20" ht="12.5" x14ac:dyDescent="0.25">
      <c r="A253" s="2" t="s">
        <v>1041</v>
      </c>
      <c r="B253" s="2" t="s">
        <v>1042</v>
      </c>
      <c r="C253" s="2" t="s">
        <v>1043</v>
      </c>
      <c r="D253" s="2" t="s">
        <v>1044</v>
      </c>
      <c r="E253" s="2" t="s">
        <v>116</v>
      </c>
      <c r="F253" s="2" t="s">
        <v>117</v>
      </c>
      <c r="G253" s="5">
        <v>1841</v>
      </c>
      <c r="H253" s="5">
        <v>35</v>
      </c>
      <c r="I253" s="5">
        <v>1197</v>
      </c>
      <c r="J253" s="5">
        <v>2</v>
      </c>
      <c r="K253" s="2">
        <v>42</v>
      </c>
      <c r="L253" s="2" t="s">
        <v>88</v>
      </c>
      <c r="M253" s="4">
        <v>3.9</v>
      </c>
      <c r="N253" s="5">
        <v>102</v>
      </c>
      <c r="O253" s="3">
        <v>45807</v>
      </c>
      <c r="P253" s="2" t="s">
        <v>40</v>
      </c>
      <c r="Q253" s="2" t="s">
        <v>78</v>
      </c>
      <c r="R253" s="2" t="s">
        <v>149</v>
      </c>
      <c r="S253" s="2" t="s">
        <v>150</v>
      </c>
      <c r="T253" s="2" t="s">
        <v>134</v>
      </c>
    </row>
    <row r="254" spans="1:20" ht="12.5" x14ac:dyDescent="0.25">
      <c r="A254" s="2" t="s">
        <v>1045</v>
      </c>
      <c r="B254" s="2" t="s">
        <v>1046</v>
      </c>
      <c r="C254" s="2" t="s">
        <v>1047</v>
      </c>
      <c r="D254" s="2" t="s">
        <v>1048</v>
      </c>
      <c r="E254" s="2" t="s">
        <v>122</v>
      </c>
      <c r="F254" s="2" t="s">
        <v>123</v>
      </c>
      <c r="G254" s="5">
        <v>3866</v>
      </c>
      <c r="H254" s="5">
        <v>15</v>
      </c>
      <c r="I254" s="5">
        <v>3287</v>
      </c>
      <c r="J254" s="5">
        <v>3</v>
      </c>
      <c r="K254" s="2" t="s">
        <v>56</v>
      </c>
      <c r="L254" s="2" t="s">
        <v>133</v>
      </c>
      <c r="M254" s="4">
        <v>3.8</v>
      </c>
      <c r="N254" s="5">
        <v>291</v>
      </c>
      <c r="O254" s="3">
        <v>45826</v>
      </c>
      <c r="P254" s="2" t="s">
        <v>28</v>
      </c>
      <c r="Q254" s="2" t="s">
        <v>65</v>
      </c>
      <c r="R254" s="2" t="s">
        <v>110</v>
      </c>
      <c r="S254" s="2" t="s">
        <v>111</v>
      </c>
      <c r="T254" s="2" t="s">
        <v>32</v>
      </c>
    </row>
    <row r="255" spans="1:20" ht="12.5" x14ac:dyDescent="0.25">
      <c r="A255" s="2" t="s">
        <v>1049</v>
      </c>
      <c r="B255" s="2" t="s">
        <v>1050</v>
      </c>
      <c r="C255" s="2" t="s">
        <v>1051</v>
      </c>
      <c r="D255" s="2" t="s">
        <v>1052</v>
      </c>
      <c r="E255" s="2" t="s">
        <v>37</v>
      </c>
      <c r="F255" s="2" t="s">
        <v>38</v>
      </c>
      <c r="G255" s="5">
        <v>2558</v>
      </c>
      <c r="H255" s="5">
        <v>15</v>
      </c>
      <c r="I255" s="5">
        <v>2175</v>
      </c>
      <c r="J255" s="5">
        <v>3</v>
      </c>
      <c r="K255" s="2">
        <v>42</v>
      </c>
      <c r="L255" s="2" t="s">
        <v>27</v>
      </c>
      <c r="M255" s="4">
        <v>4.8</v>
      </c>
      <c r="N255" s="5">
        <v>124</v>
      </c>
      <c r="O255" s="3">
        <v>45828</v>
      </c>
      <c r="P255" s="2" t="s">
        <v>40</v>
      </c>
      <c r="Q255" s="2" t="s">
        <v>78</v>
      </c>
      <c r="R255" s="2" t="s">
        <v>58</v>
      </c>
      <c r="S255" s="2" t="s">
        <v>59</v>
      </c>
      <c r="T255" s="2" t="s">
        <v>50</v>
      </c>
    </row>
    <row r="256" spans="1:20" ht="12.5" x14ac:dyDescent="0.25">
      <c r="A256" s="2" t="s">
        <v>1053</v>
      </c>
      <c r="B256" s="2" t="s">
        <v>1054</v>
      </c>
      <c r="C256" s="2" t="s">
        <v>1055</v>
      </c>
      <c r="D256" s="2" t="s">
        <v>1056</v>
      </c>
      <c r="E256" s="2" t="s">
        <v>208</v>
      </c>
      <c r="F256" s="2" t="s">
        <v>117</v>
      </c>
      <c r="G256" s="5">
        <v>3187</v>
      </c>
      <c r="H256" s="5">
        <v>30</v>
      </c>
      <c r="I256" s="5">
        <v>2231</v>
      </c>
      <c r="J256" s="5">
        <v>1</v>
      </c>
      <c r="K256" s="2">
        <v>42</v>
      </c>
      <c r="L256" s="2" t="s">
        <v>88</v>
      </c>
      <c r="M256" s="4">
        <v>4.5</v>
      </c>
      <c r="N256" s="5">
        <v>53</v>
      </c>
      <c r="O256" s="3">
        <v>45783</v>
      </c>
      <c r="P256" s="2" t="s">
        <v>40</v>
      </c>
      <c r="Q256" s="2" t="s">
        <v>78</v>
      </c>
      <c r="R256" s="2" t="s">
        <v>104</v>
      </c>
      <c r="S256" s="2" t="s">
        <v>105</v>
      </c>
      <c r="T256" s="2" t="s">
        <v>43</v>
      </c>
    </row>
    <row r="257" spans="1:20" ht="12.5" x14ac:dyDescent="0.25">
      <c r="A257" s="2" t="s">
        <v>1057</v>
      </c>
      <c r="B257" s="2" t="s">
        <v>1058</v>
      </c>
      <c r="C257" s="2" t="s">
        <v>1059</v>
      </c>
      <c r="D257" s="2" t="s">
        <v>1060</v>
      </c>
      <c r="E257" s="2" t="s">
        <v>208</v>
      </c>
      <c r="F257" s="2" t="s">
        <v>117</v>
      </c>
      <c r="G257" s="5">
        <v>4741</v>
      </c>
      <c r="H257" s="5">
        <v>25</v>
      </c>
      <c r="I257" s="5">
        <v>3556</v>
      </c>
      <c r="J257" s="5">
        <v>1</v>
      </c>
      <c r="K257" s="2" t="s">
        <v>163</v>
      </c>
      <c r="L257" s="2" t="s">
        <v>209</v>
      </c>
      <c r="M257" s="4">
        <v>4.9000000000000004</v>
      </c>
      <c r="N257" s="5">
        <v>182</v>
      </c>
      <c r="O257" s="3">
        <v>45806</v>
      </c>
      <c r="P257" s="2" t="s">
        <v>40</v>
      </c>
      <c r="Q257" s="2" t="s">
        <v>29</v>
      </c>
      <c r="R257" s="2" t="s">
        <v>66</v>
      </c>
      <c r="S257" s="2" t="s">
        <v>67</v>
      </c>
      <c r="T257" s="2" t="s">
        <v>43</v>
      </c>
    </row>
    <row r="258" spans="1:20" ht="12.5" x14ac:dyDescent="0.25">
      <c r="A258" s="2" t="s">
        <v>1061</v>
      </c>
      <c r="B258" s="2" t="s">
        <v>1062</v>
      </c>
      <c r="C258" s="2" t="s">
        <v>1063</v>
      </c>
      <c r="D258" s="2" t="s">
        <v>1064</v>
      </c>
      <c r="E258" s="2" t="s">
        <v>55</v>
      </c>
      <c r="F258" s="2" t="s">
        <v>38</v>
      </c>
      <c r="G258" s="5">
        <v>682</v>
      </c>
      <c r="H258" s="5">
        <v>10</v>
      </c>
      <c r="I258" s="5">
        <v>614</v>
      </c>
      <c r="J258" s="5">
        <v>3</v>
      </c>
      <c r="K258" s="2" t="s">
        <v>32</v>
      </c>
      <c r="L258" s="2" t="s">
        <v>168</v>
      </c>
      <c r="M258" s="4">
        <v>3.6</v>
      </c>
      <c r="N258" s="5">
        <v>232</v>
      </c>
      <c r="O258" s="3">
        <v>45847</v>
      </c>
      <c r="P258" s="2" t="s">
        <v>40</v>
      </c>
      <c r="Q258" s="2" t="s">
        <v>29</v>
      </c>
      <c r="R258" s="2" t="s">
        <v>89</v>
      </c>
      <c r="S258" s="2" t="s">
        <v>90</v>
      </c>
      <c r="T258" s="2" t="s">
        <v>32</v>
      </c>
    </row>
    <row r="259" spans="1:20" ht="12.5" x14ac:dyDescent="0.25">
      <c r="A259" s="2" t="s">
        <v>1065</v>
      </c>
      <c r="B259" s="2" t="s">
        <v>816</v>
      </c>
      <c r="C259" s="2" t="s">
        <v>1066</v>
      </c>
      <c r="D259" s="2" t="s">
        <v>1067</v>
      </c>
      <c r="E259" s="2" t="s">
        <v>48</v>
      </c>
      <c r="F259" s="2" t="s">
        <v>25</v>
      </c>
      <c r="G259" s="5">
        <v>716</v>
      </c>
      <c r="H259" s="5">
        <v>40</v>
      </c>
      <c r="I259" s="5">
        <v>430</v>
      </c>
      <c r="J259" s="5">
        <v>1</v>
      </c>
      <c r="K259" s="2">
        <v>42</v>
      </c>
      <c r="L259" s="2" t="s">
        <v>39</v>
      </c>
      <c r="M259" s="4">
        <v>3.6</v>
      </c>
      <c r="N259" s="5">
        <v>105</v>
      </c>
      <c r="O259" s="3">
        <v>45856</v>
      </c>
      <c r="P259" s="2" t="s">
        <v>28</v>
      </c>
      <c r="Q259" s="2" t="s">
        <v>65</v>
      </c>
      <c r="R259" s="2" t="s">
        <v>83</v>
      </c>
      <c r="S259" s="2" t="s">
        <v>83</v>
      </c>
      <c r="T259" s="2" t="s">
        <v>32</v>
      </c>
    </row>
    <row r="260" spans="1:20" ht="12.5" x14ac:dyDescent="0.25">
      <c r="A260" s="2" t="s">
        <v>1068</v>
      </c>
      <c r="B260" s="2" t="s">
        <v>1069</v>
      </c>
      <c r="C260" s="2" t="s">
        <v>1070</v>
      </c>
      <c r="D260" s="2" t="s">
        <v>1071</v>
      </c>
      <c r="E260" s="2" t="s">
        <v>147</v>
      </c>
      <c r="F260" s="2" t="s">
        <v>148</v>
      </c>
      <c r="G260" s="5">
        <v>4526</v>
      </c>
      <c r="H260" s="5">
        <v>20</v>
      </c>
      <c r="I260" s="5">
        <v>3621</v>
      </c>
      <c r="J260" s="5">
        <v>2</v>
      </c>
      <c r="K260" s="2">
        <v>40</v>
      </c>
      <c r="L260" s="2" t="s">
        <v>39</v>
      </c>
      <c r="M260" s="4">
        <v>4.3</v>
      </c>
      <c r="N260" s="5">
        <v>218</v>
      </c>
      <c r="O260" s="3">
        <v>45779</v>
      </c>
      <c r="P260" s="2" t="s">
        <v>28</v>
      </c>
      <c r="Q260" s="2" t="s">
        <v>65</v>
      </c>
      <c r="R260" s="2" t="s">
        <v>110</v>
      </c>
      <c r="S260" s="2" t="s">
        <v>111</v>
      </c>
      <c r="T260" s="2" t="s">
        <v>32</v>
      </c>
    </row>
    <row r="261" spans="1:20" ht="12.5" x14ac:dyDescent="0.25">
      <c r="A261" s="2" t="s">
        <v>1072</v>
      </c>
      <c r="B261" s="2" t="s">
        <v>1073</v>
      </c>
      <c r="C261" s="2" t="s">
        <v>1074</v>
      </c>
      <c r="D261" s="2" t="s">
        <v>1075</v>
      </c>
      <c r="E261" s="2" t="s">
        <v>247</v>
      </c>
      <c r="F261" s="2" t="s">
        <v>248</v>
      </c>
      <c r="G261" s="5">
        <v>3434</v>
      </c>
      <c r="H261" s="5">
        <v>35</v>
      </c>
      <c r="I261" s="5">
        <v>2233</v>
      </c>
      <c r="J261" s="5">
        <v>1</v>
      </c>
      <c r="K261" s="2">
        <v>42</v>
      </c>
      <c r="L261" s="2" t="s">
        <v>73</v>
      </c>
      <c r="M261" s="4">
        <v>4.5</v>
      </c>
      <c r="N261" s="5">
        <v>61</v>
      </c>
      <c r="O261" s="3">
        <v>45795</v>
      </c>
      <c r="P261" s="2" t="s">
        <v>40</v>
      </c>
      <c r="Q261" s="2" t="s">
        <v>78</v>
      </c>
      <c r="R261" s="2" t="s">
        <v>66</v>
      </c>
      <c r="S261" s="2" t="s">
        <v>67</v>
      </c>
      <c r="T261" s="2" t="s">
        <v>50</v>
      </c>
    </row>
    <row r="262" spans="1:20" ht="12.5" x14ac:dyDescent="0.25">
      <c r="A262" s="2" t="s">
        <v>1076</v>
      </c>
      <c r="B262" s="2" t="s">
        <v>1077</v>
      </c>
      <c r="C262" s="2" t="s">
        <v>1078</v>
      </c>
      <c r="D262" s="2" t="s">
        <v>1079</v>
      </c>
      <c r="E262" s="2" t="s">
        <v>116</v>
      </c>
      <c r="F262" s="2" t="s">
        <v>117</v>
      </c>
      <c r="G262" s="5">
        <v>971</v>
      </c>
      <c r="H262" s="5">
        <v>40</v>
      </c>
      <c r="I262" s="5">
        <v>583</v>
      </c>
      <c r="J262" s="5">
        <v>1</v>
      </c>
      <c r="K262" s="2">
        <v>42</v>
      </c>
      <c r="L262" s="2" t="s">
        <v>39</v>
      </c>
      <c r="M262" s="4">
        <v>4.0999999999999996</v>
      </c>
      <c r="N262" s="5">
        <v>28</v>
      </c>
      <c r="O262" s="3">
        <v>45790</v>
      </c>
      <c r="P262" s="2" t="s">
        <v>28</v>
      </c>
      <c r="Q262" s="2" t="s">
        <v>65</v>
      </c>
      <c r="R262" s="2" t="s">
        <v>41</v>
      </c>
      <c r="S262" s="2" t="s">
        <v>42</v>
      </c>
      <c r="T262" s="2" t="s">
        <v>32</v>
      </c>
    </row>
    <row r="263" spans="1:20" ht="12.5" x14ac:dyDescent="0.25">
      <c r="A263" s="2" t="s">
        <v>1080</v>
      </c>
      <c r="B263" s="2" t="s">
        <v>1081</v>
      </c>
      <c r="C263" s="2" t="s">
        <v>1082</v>
      </c>
      <c r="D263" s="2" t="s">
        <v>1083</v>
      </c>
      <c r="E263" s="2" t="s">
        <v>122</v>
      </c>
      <c r="F263" s="2" t="s">
        <v>123</v>
      </c>
      <c r="G263" s="5">
        <v>747</v>
      </c>
      <c r="H263" s="5">
        <v>10</v>
      </c>
      <c r="I263" s="5">
        <v>673</v>
      </c>
      <c r="J263" s="5">
        <v>3</v>
      </c>
      <c r="K263" s="2" t="s">
        <v>163</v>
      </c>
      <c r="L263" s="2" t="s">
        <v>73</v>
      </c>
      <c r="M263" s="4">
        <v>3.8</v>
      </c>
      <c r="N263" s="5">
        <v>278</v>
      </c>
      <c r="O263" s="3">
        <v>45842</v>
      </c>
      <c r="P263" s="2" t="s">
        <v>57</v>
      </c>
      <c r="Q263" s="2" t="s">
        <v>29</v>
      </c>
      <c r="R263" s="2" t="s">
        <v>41</v>
      </c>
      <c r="S263" s="2" t="s">
        <v>42</v>
      </c>
      <c r="T263" s="2" t="s">
        <v>32</v>
      </c>
    </row>
    <row r="264" spans="1:20" ht="12.5" x14ac:dyDescent="0.25">
      <c r="A264" s="2" t="s">
        <v>1084</v>
      </c>
      <c r="B264" s="2" t="s">
        <v>244</v>
      </c>
      <c r="C264" s="2" t="s">
        <v>1085</v>
      </c>
      <c r="D264" s="2" t="s">
        <v>1086</v>
      </c>
      <c r="E264" s="2" t="s">
        <v>37</v>
      </c>
      <c r="F264" s="2" t="s">
        <v>38</v>
      </c>
      <c r="G264" s="5">
        <v>2286</v>
      </c>
      <c r="H264" s="5">
        <v>15</v>
      </c>
      <c r="I264" s="5">
        <v>1944</v>
      </c>
      <c r="J264" s="5">
        <v>3</v>
      </c>
      <c r="K264" s="2" t="s">
        <v>261</v>
      </c>
      <c r="L264" s="2" t="s">
        <v>27</v>
      </c>
      <c r="M264" s="4">
        <v>4.4000000000000004</v>
      </c>
      <c r="N264" s="5">
        <v>174</v>
      </c>
      <c r="O264" s="3">
        <v>45784</v>
      </c>
      <c r="P264" s="2" t="s">
        <v>40</v>
      </c>
      <c r="Q264" s="2" t="s">
        <v>78</v>
      </c>
      <c r="R264" s="2" t="s">
        <v>89</v>
      </c>
      <c r="S264" s="2" t="s">
        <v>90</v>
      </c>
      <c r="T264" s="2" t="s">
        <v>32</v>
      </c>
    </row>
    <row r="265" spans="1:20" ht="12.5" x14ac:dyDescent="0.25">
      <c r="A265" s="2" t="s">
        <v>1087</v>
      </c>
      <c r="B265" s="2" t="s">
        <v>1018</v>
      </c>
      <c r="C265" s="2" t="s">
        <v>1088</v>
      </c>
      <c r="D265" s="2" t="s">
        <v>1089</v>
      </c>
      <c r="E265" s="2" t="s">
        <v>48</v>
      </c>
      <c r="F265" s="2" t="s">
        <v>25</v>
      </c>
      <c r="G265" s="5">
        <v>940</v>
      </c>
      <c r="H265" s="5">
        <v>15</v>
      </c>
      <c r="I265" s="5">
        <v>799</v>
      </c>
      <c r="J265" s="5">
        <v>1</v>
      </c>
      <c r="K265" s="2">
        <v>42</v>
      </c>
      <c r="L265" s="2" t="s">
        <v>209</v>
      </c>
      <c r="M265" s="4">
        <v>4.0999999999999996</v>
      </c>
      <c r="N265" s="5">
        <v>224</v>
      </c>
      <c r="O265" s="3">
        <v>45844</v>
      </c>
      <c r="P265" s="2" t="s">
        <v>57</v>
      </c>
      <c r="Q265" s="2" t="s">
        <v>29</v>
      </c>
      <c r="R265" s="2" t="s">
        <v>149</v>
      </c>
      <c r="S265" s="2" t="s">
        <v>150</v>
      </c>
      <c r="T265" s="2" t="s">
        <v>32</v>
      </c>
    </row>
    <row r="266" spans="1:20" ht="12.5" x14ac:dyDescent="0.25">
      <c r="A266" s="2" t="s">
        <v>1090</v>
      </c>
      <c r="B266" s="2" t="s">
        <v>1091</v>
      </c>
      <c r="C266" s="2" t="s">
        <v>1092</v>
      </c>
      <c r="D266" s="2" t="s">
        <v>1093</v>
      </c>
      <c r="E266" s="2" t="s">
        <v>37</v>
      </c>
      <c r="F266" s="2" t="s">
        <v>38</v>
      </c>
      <c r="G266" s="5">
        <v>3219</v>
      </c>
      <c r="H266" s="5">
        <v>35</v>
      </c>
      <c r="I266" s="5">
        <v>2093</v>
      </c>
      <c r="J266" s="5">
        <v>1</v>
      </c>
      <c r="K266" s="2">
        <v>42</v>
      </c>
      <c r="L266" s="2" t="s">
        <v>209</v>
      </c>
      <c r="M266" s="4">
        <v>4.9000000000000004</v>
      </c>
      <c r="N266" s="5">
        <v>256</v>
      </c>
      <c r="O266" s="3">
        <v>45844</v>
      </c>
      <c r="P266" s="2" t="s">
        <v>40</v>
      </c>
      <c r="Q266" s="2" t="s">
        <v>78</v>
      </c>
      <c r="R266" s="2" t="s">
        <v>110</v>
      </c>
      <c r="S266" s="2" t="s">
        <v>111</v>
      </c>
      <c r="T266" s="2" t="s">
        <v>203</v>
      </c>
    </row>
    <row r="267" spans="1:20" ht="12.5" x14ac:dyDescent="0.25">
      <c r="A267" s="2" t="s">
        <v>1094</v>
      </c>
      <c r="B267" s="2" t="s">
        <v>566</v>
      </c>
      <c r="C267" s="2" t="s">
        <v>1095</v>
      </c>
      <c r="D267" s="2" t="s">
        <v>1096</v>
      </c>
      <c r="E267" s="2" t="s">
        <v>147</v>
      </c>
      <c r="F267" s="2" t="s">
        <v>148</v>
      </c>
      <c r="G267" s="5">
        <v>4537</v>
      </c>
      <c r="H267" s="5">
        <v>30</v>
      </c>
      <c r="I267" s="5">
        <v>3176</v>
      </c>
      <c r="J267" s="5">
        <v>3</v>
      </c>
      <c r="K267" s="2" t="s">
        <v>163</v>
      </c>
      <c r="L267" s="2" t="s">
        <v>88</v>
      </c>
      <c r="M267" s="4">
        <v>3.9</v>
      </c>
      <c r="N267" s="5">
        <v>278</v>
      </c>
      <c r="O267" s="3">
        <v>45779</v>
      </c>
      <c r="P267" s="2" t="s">
        <v>40</v>
      </c>
      <c r="Q267" s="2" t="s">
        <v>65</v>
      </c>
      <c r="R267" s="2" t="s">
        <v>58</v>
      </c>
      <c r="S267" s="2" t="s">
        <v>59</v>
      </c>
      <c r="T267" s="2" t="s">
        <v>43</v>
      </c>
    </row>
    <row r="268" spans="1:20" ht="12.5" x14ac:dyDescent="0.25">
      <c r="A268" s="2" t="s">
        <v>1097</v>
      </c>
      <c r="B268" s="2" t="s">
        <v>1098</v>
      </c>
      <c r="C268" s="2" t="s">
        <v>1099</v>
      </c>
      <c r="D268" s="2" t="s">
        <v>1100</v>
      </c>
      <c r="E268" s="2" t="s">
        <v>247</v>
      </c>
      <c r="F268" s="2" t="s">
        <v>248</v>
      </c>
      <c r="G268" s="5">
        <v>2554</v>
      </c>
      <c r="H268" s="5">
        <v>20</v>
      </c>
      <c r="I268" s="5">
        <v>2044</v>
      </c>
      <c r="J268" s="5">
        <v>1</v>
      </c>
      <c r="K268" s="2">
        <v>44</v>
      </c>
      <c r="L268" s="2" t="s">
        <v>133</v>
      </c>
      <c r="M268" s="4">
        <v>4.3</v>
      </c>
      <c r="N268" s="5">
        <v>289</v>
      </c>
      <c r="O268" s="3">
        <v>45823</v>
      </c>
      <c r="P268" s="2" t="s">
        <v>57</v>
      </c>
      <c r="Q268" s="2" t="s">
        <v>65</v>
      </c>
      <c r="R268" s="2" t="s">
        <v>104</v>
      </c>
      <c r="S268" s="2" t="s">
        <v>105</v>
      </c>
      <c r="T268" s="2" t="s">
        <v>32</v>
      </c>
    </row>
    <row r="269" spans="1:20" ht="12.5" x14ac:dyDescent="0.25">
      <c r="A269" s="2" t="s">
        <v>1101</v>
      </c>
      <c r="B269" s="2" t="s">
        <v>1102</v>
      </c>
      <c r="C269" s="2" t="s">
        <v>1103</v>
      </c>
      <c r="D269" s="2" t="s">
        <v>1104</v>
      </c>
      <c r="E269" s="2" t="s">
        <v>208</v>
      </c>
      <c r="F269" s="2" t="s">
        <v>117</v>
      </c>
      <c r="G269" s="5">
        <v>1899</v>
      </c>
      <c r="H269" s="5">
        <v>10</v>
      </c>
      <c r="I269" s="5">
        <v>1710</v>
      </c>
      <c r="J269" s="5">
        <v>2</v>
      </c>
      <c r="K269" s="2" t="s">
        <v>226</v>
      </c>
      <c r="L269" s="2" t="s">
        <v>27</v>
      </c>
      <c r="M269" s="4">
        <v>4</v>
      </c>
      <c r="N269" s="5">
        <v>211</v>
      </c>
      <c r="O269" s="3">
        <v>45794</v>
      </c>
      <c r="P269" s="2" t="s">
        <v>28</v>
      </c>
      <c r="Q269" s="2" t="s">
        <v>78</v>
      </c>
      <c r="R269" s="2" t="s">
        <v>83</v>
      </c>
      <c r="S269" s="2" t="s">
        <v>83</v>
      </c>
      <c r="T269" s="2" t="s">
        <v>32</v>
      </c>
    </row>
    <row r="270" spans="1:20" ht="12.5" x14ac:dyDescent="0.25">
      <c r="A270" s="2" t="s">
        <v>1105</v>
      </c>
      <c r="B270" s="2" t="s">
        <v>761</v>
      </c>
      <c r="C270" s="2" t="s">
        <v>1106</v>
      </c>
      <c r="D270" s="2" t="s">
        <v>1107</v>
      </c>
      <c r="E270" s="2" t="s">
        <v>48</v>
      </c>
      <c r="F270" s="2" t="s">
        <v>25</v>
      </c>
      <c r="G270" s="5">
        <v>4533</v>
      </c>
      <c r="H270" s="5">
        <v>20</v>
      </c>
      <c r="I270" s="5">
        <v>3627</v>
      </c>
      <c r="J270" s="5">
        <v>1</v>
      </c>
      <c r="K270" s="2">
        <v>44</v>
      </c>
      <c r="L270" s="2" t="s">
        <v>64</v>
      </c>
      <c r="M270" s="4">
        <v>4.3</v>
      </c>
      <c r="N270" s="5">
        <v>276</v>
      </c>
      <c r="O270" s="3">
        <v>45827</v>
      </c>
      <c r="P270" s="2" t="s">
        <v>57</v>
      </c>
      <c r="Q270" s="2" t="s">
        <v>78</v>
      </c>
      <c r="R270" s="2" t="s">
        <v>83</v>
      </c>
      <c r="S270" s="2" t="s">
        <v>83</v>
      </c>
      <c r="T270" s="2" t="s">
        <v>32</v>
      </c>
    </row>
    <row r="271" spans="1:20" ht="12.5" x14ac:dyDescent="0.25">
      <c r="A271" s="2" t="s">
        <v>1108</v>
      </c>
      <c r="B271" s="2" t="s">
        <v>1109</v>
      </c>
      <c r="C271" s="2" t="s">
        <v>1110</v>
      </c>
      <c r="D271" s="2" t="s">
        <v>1111</v>
      </c>
      <c r="E271" s="2" t="s">
        <v>122</v>
      </c>
      <c r="F271" s="2" t="s">
        <v>123</v>
      </c>
      <c r="G271" s="5">
        <v>3743</v>
      </c>
      <c r="H271" s="5">
        <v>20</v>
      </c>
      <c r="I271" s="5">
        <v>2995</v>
      </c>
      <c r="J271" s="5">
        <v>3</v>
      </c>
      <c r="K271" s="2" t="s">
        <v>26</v>
      </c>
      <c r="L271" s="2" t="s">
        <v>49</v>
      </c>
      <c r="M271" s="4">
        <v>3.9</v>
      </c>
      <c r="N271" s="5">
        <v>259</v>
      </c>
      <c r="O271" s="3">
        <v>45775</v>
      </c>
      <c r="P271" s="2" t="s">
        <v>40</v>
      </c>
      <c r="Q271" s="2" t="s">
        <v>78</v>
      </c>
      <c r="R271" s="2" t="s">
        <v>149</v>
      </c>
      <c r="S271" s="2" t="s">
        <v>150</v>
      </c>
      <c r="T271" s="2" t="s">
        <v>134</v>
      </c>
    </row>
    <row r="272" spans="1:20" ht="12.5" x14ac:dyDescent="0.25">
      <c r="A272" s="2" t="s">
        <v>1112</v>
      </c>
      <c r="B272" s="2" t="s">
        <v>412</v>
      </c>
      <c r="C272" s="2" t="s">
        <v>1113</v>
      </c>
      <c r="D272" s="2" t="s">
        <v>1114</v>
      </c>
      <c r="E272" s="2" t="s">
        <v>55</v>
      </c>
      <c r="F272" s="2" t="s">
        <v>38</v>
      </c>
      <c r="G272" s="5">
        <v>4585</v>
      </c>
      <c r="H272" s="5">
        <v>15</v>
      </c>
      <c r="I272" s="5">
        <v>3898</v>
      </c>
      <c r="J272" s="5">
        <v>1</v>
      </c>
      <c r="K272" s="2" t="s">
        <v>26</v>
      </c>
      <c r="L272" s="2" t="s">
        <v>103</v>
      </c>
      <c r="M272" s="4">
        <v>4.5999999999999996</v>
      </c>
      <c r="N272" s="5">
        <v>54</v>
      </c>
      <c r="O272" s="3">
        <v>45783</v>
      </c>
      <c r="P272" s="2" t="s">
        <v>57</v>
      </c>
      <c r="Q272" s="2" t="s">
        <v>78</v>
      </c>
      <c r="R272" s="2" t="s">
        <v>104</v>
      </c>
      <c r="S272" s="2" t="s">
        <v>105</v>
      </c>
      <c r="T272" s="2" t="s">
        <v>32</v>
      </c>
    </row>
    <row r="273" spans="1:20" ht="12.5" x14ac:dyDescent="0.25">
      <c r="A273" s="2" t="s">
        <v>1115</v>
      </c>
      <c r="B273" s="2" t="s">
        <v>1116</v>
      </c>
      <c r="C273" s="2" t="s">
        <v>1117</v>
      </c>
      <c r="D273" s="2" t="s">
        <v>1118</v>
      </c>
      <c r="E273" s="2" t="s">
        <v>147</v>
      </c>
      <c r="F273" s="2" t="s">
        <v>148</v>
      </c>
      <c r="G273" s="5">
        <v>2298</v>
      </c>
      <c r="H273" s="5">
        <v>40</v>
      </c>
      <c r="I273" s="5">
        <v>1379</v>
      </c>
      <c r="J273" s="5">
        <v>2</v>
      </c>
      <c r="K273" s="2">
        <v>44</v>
      </c>
      <c r="L273" s="2" t="s">
        <v>88</v>
      </c>
      <c r="M273" s="4">
        <v>4.7</v>
      </c>
      <c r="N273" s="5">
        <v>151</v>
      </c>
      <c r="O273" s="3">
        <v>45828</v>
      </c>
      <c r="P273" s="2" t="s">
        <v>57</v>
      </c>
      <c r="Q273" s="2" t="s">
        <v>29</v>
      </c>
      <c r="R273" s="2" t="s">
        <v>104</v>
      </c>
      <c r="S273" s="2" t="s">
        <v>105</v>
      </c>
      <c r="T273" s="2" t="s">
        <v>32</v>
      </c>
    </row>
    <row r="274" spans="1:20" ht="12.5" x14ac:dyDescent="0.25">
      <c r="A274" s="2" t="s">
        <v>1119</v>
      </c>
      <c r="B274" s="2" t="s">
        <v>905</v>
      </c>
      <c r="C274" s="2" t="s">
        <v>1120</v>
      </c>
      <c r="D274" s="2" t="s">
        <v>1121</v>
      </c>
      <c r="E274" s="2" t="s">
        <v>48</v>
      </c>
      <c r="F274" s="2" t="s">
        <v>25</v>
      </c>
      <c r="G274" s="5">
        <v>2967</v>
      </c>
      <c r="H274" s="5">
        <v>10</v>
      </c>
      <c r="I274" s="5">
        <v>2671</v>
      </c>
      <c r="J274" s="5">
        <v>1</v>
      </c>
      <c r="K274" s="2">
        <v>44</v>
      </c>
      <c r="L274" s="2" t="s">
        <v>133</v>
      </c>
      <c r="M274" s="4">
        <v>4.0999999999999996</v>
      </c>
      <c r="N274" s="5">
        <v>25</v>
      </c>
      <c r="O274" s="3">
        <v>45807</v>
      </c>
      <c r="P274" s="2" t="s">
        <v>40</v>
      </c>
      <c r="Q274" s="2" t="s">
        <v>65</v>
      </c>
      <c r="R274" s="2" t="s">
        <v>89</v>
      </c>
      <c r="S274" s="2" t="s">
        <v>90</v>
      </c>
      <c r="T274" s="2" t="s">
        <v>50</v>
      </c>
    </row>
    <row r="275" spans="1:20" ht="12.5" x14ac:dyDescent="0.25">
      <c r="A275" s="2" t="s">
        <v>1122</v>
      </c>
      <c r="B275" s="2" t="s">
        <v>1007</v>
      </c>
      <c r="C275" s="2" t="s">
        <v>1123</v>
      </c>
      <c r="D275" s="2" t="s">
        <v>1124</v>
      </c>
      <c r="E275" s="2" t="s">
        <v>48</v>
      </c>
      <c r="F275" s="2" t="s">
        <v>25</v>
      </c>
      <c r="G275" s="5">
        <v>2974</v>
      </c>
      <c r="H275" s="5">
        <v>35</v>
      </c>
      <c r="I275" s="5">
        <v>1934</v>
      </c>
      <c r="J275" s="5">
        <v>1</v>
      </c>
      <c r="K275" s="2" t="s">
        <v>26</v>
      </c>
      <c r="L275" s="2" t="s">
        <v>73</v>
      </c>
      <c r="M275" s="4">
        <v>5</v>
      </c>
      <c r="N275" s="5">
        <v>258</v>
      </c>
      <c r="O275" s="3">
        <v>45856</v>
      </c>
      <c r="P275" s="2" t="s">
        <v>28</v>
      </c>
      <c r="Q275" s="2" t="s">
        <v>65</v>
      </c>
      <c r="R275" s="2" t="s">
        <v>41</v>
      </c>
      <c r="S275" s="2" t="s">
        <v>42</v>
      </c>
      <c r="T275" s="2" t="s">
        <v>32</v>
      </c>
    </row>
    <row r="276" spans="1:20" ht="12.5" x14ac:dyDescent="0.25">
      <c r="A276" s="2" t="s">
        <v>1125</v>
      </c>
      <c r="B276" s="2" t="s">
        <v>648</v>
      </c>
      <c r="C276" s="2" t="s">
        <v>1126</v>
      </c>
      <c r="D276" s="2" t="s">
        <v>1127</v>
      </c>
      <c r="E276" s="2" t="s">
        <v>132</v>
      </c>
      <c r="F276" s="2" t="s">
        <v>38</v>
      </c>
      <c r="G276" s="5">
        <v>4386</v>
      </c>
      <c r="H276" s="5">
        <v>10</v>
      </c>
      <c r="I276" s="5">
        <v>3948</v>
      </c>
      <c r="J276" s="5">
        <v>3</v>
      </c>
      <c r="K276" s="2" t="s">
        <v>26</v>
      </c>
      <c r="L276" s="2" t="s">
        <v>88</v>
      </c>
      <c r="M276" s="4">
        <v>3.9</v>
      </c>
      <c r="N276" s="5">
        <v>100</v>
      </c>
      <c r="O276" s="3">
        <v>45835</v>
      </c>
      <c r="P276" s="2" t="s">
        <v>57</v>
      </c>
      <c r="Q276" s="2" t="s">
        <v>29</v>
      </c>
      <c r="R276" s="2" t="s">
        <v>83</v>
      </c>
      <c r="S276" s="2" t="s">
        <v>83</v>
      </c>
      <c r="T276" s="2" t="s">
        <v>32</v>
      </c>
    </row>
    <row r="277" spans="1:20" ht="12.5" x14ac:dyDescent="0.25">
      <c r="A277" s="2" t="s">
        <v>1128</v>
      </c>
      <c r="B277" s="2" t="s">
        <v>736</v>
      </c>
      <c r="C277" s="2" t="s">
        <v>1129</v>
      </c>
      <c r="D277" s="2" t="s">
        <v>1130</v>
      </c>
      <c r="E277" s="2" t="s">
        <v>147</v>
      </c>
      <c r="F277" s="2" t="s">
        <v>148</v>
      </c>
      <c r="G277" s="5">
        <v>3509</v>
      </c>
      <c r="H277" s="5">
        <v>40</v>
      </c>
      <c r="I277" s="5">
        <v>2106</v>
      </c>
      <c r="J277" s="5">
        <v>1</v>
      </c>
      <c r="K277" s="2" t="s">
        <v>32</v>
      </c>
      <c r="L277" s="2" t="s">
        <v>49</v>
      </c>
      <c r="M277" s="4">
        <v>4</v>
      </c>
      <c r="N277" s="5">
        <v>269</v>
      </c>
      <c r="O277" s="3">
        <v>45851</v>
      </c>
      <c r="P277" s="2" t="s">
        <v>40</v>
      </c>
      <c r="Q277" s="2" t="s">
        <v>65</v>
      </c>
      <c r="R277" s="2" t="s">
        <v>66</v>
      </c>
      <c r="S277" s="2" t="s">
        <v>67</v>
      </c>
      <c r="T277" s="2" t="s">
        <v>134</v>
      </c>
    </row>
    <row r="278" spans="1:20" ht="12.5" x14ac:dyDescent="0.25">
      <c r="A278" s="2" t="s">
        <v>1131</v>
      </c>
      <c r="B278" s="2" t="s">
        <v>1132</v>
      </c>
      <c r="C278" s="2" t="s">
        <v>1133</v>
      </c>
      <c r="D278" s="2" t="s">
        <v>1134</v>
      </c>
      <c r="E278" s="2" t="s">
        <v>208</v>
      </c>
      <c r="F278" s="2" t="s">
        <v>117</v>
      </c>
      <c r="G278" s="5">
        <v>2481</v>
      </c>
      <c r="H278" s="5">
        <v>20</v>
      </c>
      <c r="I278" s="5">
        <v>1985</v>
      </c>
      <c r="J278" s="5">
        <v>2</v>
      </c>
      <c r="K278" s="2" t="s">
        <v>32</v>
      </c>
      <c r="L278" s="2" t="s">
        <v>39</v>
      </c>
      <c r="M278" s="4">
        <v>4.2</v>
      </c>
      <c r="N278" s="5">
        <v>35</v>
      </c>
      <c r="O278" s="3">
        <v>45813</v>
      </c>
      <c r="P278" s="2" t="s">
        <v>57</v>
      </c>
      <c r="Q278" s="2" t="s">
        <v>78</v>
      </c>
      <c r="R278" s="2" t="s">
        <v>185</v>
      </c>
      <c r="S278" s="2" t="s">
        <v>186</v>
      </c>
      <c r="T278" s="2" t="s">
        <v>32</v>
      </c>
    </row>
    <row r="279" spans="1:20" ht="12.5" x14ac:dyDescent="0.25">
      <c r="A279" s="2" t="s">
        <v>1135</v>
      </c>
      <c r="B279" s="2" t="s">
        <v>1136</v>
      </c>
      <c r="C279" s="2" t="s">
        <v>1137</v>
      </c>
      <c r="D279" s="2" t="s">
        <v>1138</v>
      </c>
      <c r="E279" s="2" t="s">
        <v>116</v>
      </c>
      <c r="F279" s="2" t="s">
        <v>117</v>
      </c>
      <c r="G279" s="5">
        <v>3198</v>
      </c>
      <c r="H279" s="5">
        <v>20</v>
      </c>
      <c r="I279" s="5">
        <v>2559</v>
      </c>
      <c r="J279" s="5">
        <v>1</v>
      </c>
      <c r="K279" s="2" t="s">
        <v>26</v>
      </c>
      <c r="L279" s="2" t="s">
        <v>209</v>
      </c>
      <c r="M279" s="4">
        <v>5</v>
      </c>
      <c r="N279" s="5">
        <v>240</v>
      </c>
      <c r="O279" s="3">
        <v>45852</v>
      </c>
      <c r="P279" s="2" t="s">
        <v>40</v>
      </c>
      <c r="Q279" s="2" t="s">
        <v>65</v>
      </c>
      <c r="R279" s="2" t="s">
        <v>66</v>
      </c>
      <c r="S279" s="2" t="s">
        <v>67</v>
      </c>
      <c r="T279" s="2" t="s">
        <v>134</v>
      </c>
    </row>
    <row r="280" spans="1:20" ht="12.5" x14ac:dyDescent="0.25">
      <c r="A280" s="2" t="s">
        <v>1139</v>
      </c>
      <c r="B280" s="2" t="s">
        <v>1140</v>
      </c>
      <c r="C280" s="2" t="s">
        <v>1141</v>
      </c>
      <c r="D280" s="2" t="s">
        <v>1142</v>
      </c>
      <c r="E280" s="2" t="s">
        <v>24</v>
      </c>
      <c r="F280" s="2" t="s">
        <v>25</v>
      </c>
      <c r="G280" s="5">
        <v>1964</v>
      </c>
      <c r="H280" s="5">
        <v>10</v>
      </c>
      <c r="I280" s="5">
        <v>1768</v>
      </c>
      <c r="J280" s="5">
        <v>1</v>
      </c>
      <c r="K280" s="2" t="s">
        <v>72</v>
      </c>
      <c r="L280" s="2" t="s">
        <v>49</v>
      </c>
      <c r="M280" s="4">
        <v>4.2</v>
      </c>
      <c r="N280" s="5">
        <v>246</v>
      </c>
      <c r="O280" s="3">
        <v>45783</v>
      </c>
      <c r="P280" s="2" t="s">
        <v>57</v>
      </c>
      <c r="Q280" s="2" t="s">
        <v>29</v>
      </c>
      <c r="R280" s="2" t="s">
        <v>41</v>
      </c>
      <c r="S280" s="2" t="s">
        <v>42</v>
      </c>
      <c r="T280" s="2" t="s">
        <v>32</v>
      </c>
    </row>
    <row r="281" spans="1:20" ht="12.5" x14ac:dyDescent="0.25">
      <c r="A281" s="2" t="s">
        <v>1143</v>
      </c>
      <c r="B281" s="2" t="s">
        <v>736</v>
      </c>
      <c r="C281" s="2" t="s">
        <v>1144</v>
      </c>
      <c r="D281" s="2" t="s">
        <v>1145</v>
      </c>
      <c r="E281" s="2" t="s">
        <v>48</v>
      </c>
      <c r="F281" s="2" t="s">
        <v>25</v>
      </c>
      <c r="G281" s="5">
        <v>2326</v>
      </c>
      <c r="H281" s="5">
        <v>20</v>
      </c>
      <c r="I281" s="5">
        <v>1861</v>
      </c>
      <c r="J281" s="5">
        <v>3</v>
      </c>
      <c r="K281" s="2">
        <v>40</v>
      </c>
      <c r="L281" s="2" t="s">
        <v>73</v>
      </c>
      <c r="M281" s="4">
        <v>4.5999999999999996</v>
      </c>
      <c r="N281" s="5">
        <v>72</v>
      </c>
      <c r="O281" s="3">
        <v>45823</v>
      </c>
      <c r="P281" s="2" t="s">
        <v>28</v>
      </c>
      <c r="Q281" s="2" t="s">
        <v>78</v>
      </c>
      <c r="R281" s="2" t="s">
        <v>89</v>
      </c>
      <c r="S281" s="2" t="s">
        <v>90</v>
      </c>
      <c r="T281" s="2" t="s">
        <v>32</v>
      </c>
    </row>
    <row r="282" spans="1:20" ht="12.5" x14ac:dyDescent="0.25">
      <c r="A282" s="2" t="s">
        <v>1146</v>
      </c>
      <c r="B282" s="2" t="s">
        <v>1147</v>
      </c>
      <c r="C282" s="2" t="s">
        <v>1148</v>
      </c>
      <c r="D282" s="2" t="s">
        <v>1149</v>
      </c>
      <c r="E282" s="2" t="s">
        <v>122</v>
      </c>
      <c r="F282" s="2" t="s">
        <v>123</v>
      </c>
      <c r="G282" s="5">
        <v>1729</v>
      </c>
      <c r="H282" s="5">
        <v>25</v>
      </c>
      <c r="I282" s="5">
        <v>1297</v>
      </c>
      <c r="J282" s="5">
        <v>1</v>
      </c>
      <c r="K282" s="2" t="s">
        <v>72</v>
      </c>
      <c r="L282" s="2" t="s">
        <v>64</v>
      </c>
      <c r="M282" s="4">
        <v>4.7</v>
      </c>
      <c r="N282" s="5">
        <v>81</v>
      </c>
      <c r="O282" s="3">
        <v>45799</v>
      </c>
      <c r="P282" s="2" t="s">
        <v>57</v>
      </c>
      <c r="Q282" s="2" t="s">
        <v>29</v>
      </c>
      <c r="R282" s="2" t="s">
        <v>30</v>
      </c>
      <c r="S282" s="2" t="s">
        <v>31</v>
      </c>
      <c r="T282" s="2" t="s">
        <v>32</v>
      </c>
    </row>
    <row r="283" spans="1:20" ht="12.5" x14ac:dyDescent="0.25">
      <c r="A283" s="2" t="s">
        <v>1150</v>
      </c>
      <c r="B283" s="2" t="s">
        <v>1151</v>
      </c>
      <c r="C283" s="2" t="s">
        <v>1152</v>
      </c>
      <c r="D283" s="2" t="s">
        <v>1153</v>
      </c>
      <c r="E283" s="2" t="s">
        <v>48</v>
      </c>
      <c r="F283" s="2" t="s">
        <v>25</v>
      </c>
      <c r="G283" s="5">
        <v>2112</v>
      </c>
      <c r="H283" s="5">
        <v>40</v>
      </c>
      <c r="I283" s="5">
        <v>1268</v>
      </c>
      <c r="J283" s="5">
        <v>2</v>
      </c>
      <c r="K283" s="2" t="s">
        <v>261</v>
      </c>
      <c r="L283" s="2" t="s">
        <v>27</v>
      </c>
      <c r="M283" s="4">
        <v>4.4000000000000004</v>
      </c>
      <c r="N283" s="5">
        <v>90</v>
      </c>
      <c r="O283" s="3">
        <v>45816</v>
      </c>
      <c r="P283" s="2" t="s">
        <v>28</v>
      </c>
      <c r="Q283" s="2" t="s">
        <v>65</v>
      </c>
      <c r="R283" s="2" t="s">
        <v>149</v>
      </c>
      <c r="S283" s="2" t="s">
        <v>150</v>
      </c>
      <c r="T283" s="2" t="s">
        <v>32</v>
      </c>
    </row>
    <row r="284" spans="1:20" ht="12.5" x14ac:dyDescent="0.25">
      <c r="A284" s="2" t="s">
        <v>1154</v>
      </c>
      <c r="B284" s="2" t="s">
        <v>258</v>
      </c>
      <c r="C284" s="2" t="s">
        <v>1155</v>
      </c>
      <c r="D284" s="2" t="s">
        <v>1156</v>
      </c>
      <c r="E284" s="2" t="s">
        <v>122</v>
      </c>
      <c r="F284" s="2" t="s">
        <v>123</v>
      </c>
      <c r="G284" s="5">
        <v>4285</v>
      </c>
      <c r="H284" s="5">
        <v>30</v>
      </c>
      <c r="I284" s="5">
        <v>3000</v>
      </c>
      <c r="J284" s="5">
        <v>1</v>
      </c>
      <c r="K284" s="2" t="s">
        <v>56</v>
      </c>
      <c r="L284" s="2" t="s">
        <v>64</v>
      </c>
      <c r="M284" s="4">
        <v>4.3</v>
      </c>
      <c r="N284" s="5">
        <v>239</v>
      </c>
      <c r="O284" s="3">
        <v>45802</v>
      </c>
      <c r="P284" s="2" t="s">
        <v>28</v>
      </c>
      <c r="Q284" s="2" t="s">
        <v>78</v>
      </c>
      <c r="R284" s="2" t="s">
        <v>104</v>
      </c>
      <c r="S284" s="2" t="s">
        <v>105</v>
      </c>
      <c r="T284" s="2" t="s">
        <v>32</v>
      </c>
    </row>
    <row r="285" spans="1:20" ht="12.5" x14ac:dyDescent="0.25">
      <c r="A285" s="2" t="s">
        <v>1157</v>
      </c>
      <c r="B285" s="2" t="s">
        <v>1046</v>
      </c>
      <c r="C285" s="2" t="s">
        <v>1158</v>
      </c>
      <c r="D285" s="2" t="s">
        <v>1159</v>
      </c>
      <c r="E285" s="2" t="s">
        <v>37</v>
      </c>
      <c r="F285" s="2" t="s">
        <v>38</v>
      </c>
      <c r="G285" s="5">
        <v>3332</v>
      </c>
      <c r="H285" s="5">
        <v>20</v>
      </c>
      <c r="I285" s="5">
        <v>2666</v>
      </c>
      <c r="J285" s="5">
        <v>3</v>
      </c>
      <c r="K285" s="2" t="s">
        <v>56</v>
      </c>
      <c r="L285" s="2" t="s">
        <v>73</v>
      </c>
      <c r="M285" s="4">
        <v>4.5999999999999996</v>
      </c>
      <c r="N285" s="5">
        <v>139</v>
      </c>
      <c r="O285" s="3">
        <v>45773</v>
      </c>
      <c r="P285" s="2" t="s">
        <v>28</v>
      </c>
      <c r="Q285" s="2" t="s">
        <v>29</v>
      </c>
      <c r="R285" s="2" t="s">
        <v>30</v>
      </c>
      <c r="S285" s="2" t="s">
        <v>31</v>
      </c>
      <c r="T285" s="2" t="s">
        <v>32</v>
      </c>
    </row>
    <row r="286" spans="1:20" ht="12.5" x14ac:dyDescent="0.25">
      <c r="A286" s="2" t="s">
        <v>1160</v>
      </c>
      <c r="B286" s="2" t="s">
        <v>1161</v>
      </c>
      <c r="C286" s="2" t="s">
        <v>1162</v>
      </c>
      <c r="D286" s="2" t="s">
        <v>1163</v>
      </c>
      <c r="E286" s="2" t="s">
        <v>247</v>
      </c>
      <c r="F286" s="2" t="s">
        <v>248</v>
      </c>
      <c r="G286" s="5">
        <v>3213</v>
      </c>
      <c r="H286" s="5">
        <v>10</v>
      </c>
      <c r="I286" s="5">
        <v>2892</v>
      </c>
      <c r="J286" s="5">
        <v>1</v>
      </c>
      <c r="K286" s="2" t="s">
        <v>261</v>
      </c>
      <c r="L286" s="2" t="s">
        <v>103</v>
      </c>
      <c r="M286" s="4">
        <v>4</v>
      </c>
      <c r="N286" s="5">
        <v>239</v>
      </c>
      <c r="O286" s="3">
        <v>45779</v>
      </c>
      <c r="P286" s="2" t="s">
        <v>57</v>
      </c>
      <c r="Q286" s="2" t="s">
        <v>65</v>
      </c>
      <c r="R286" s="2" t="s">
        <v>58</v>
      </c>
      <c r="S286" s="2" t="s">
        <v>59</v>
      </c>
      <c r="T286" s="2" t="s">
        <v>32</v>
      </c>
    </row>
    <row r="287" spans="1:20" ht="12.5" x14ac:dyDescent="0.25">
      <c r="A287" s="2" t="s">
        <v>1164</v>
      </c>
      <c r="B287" s="2" t="s">
        <v>1165</v>
      </c>
      <c r="C287" s="2" t="s">
        <v>1166</v>
      </c>
      <c r="D287" s="2" t="s">
        <v>1167</v>
      </c>
      <c r="E287" s="2" t="s">
        <v>132</v>
      </c>
      <c r="F287" s="2" t="s">
        <v>38</v>
      </c>
      <c r="G287" s="5">
        <v>3859</v>
      </c>
      <c r="H287" s="5">
        <v>30</v>
      </c>
      <c r="I287" s="5">
        <v>2702</v>
      </c>
      <c r="J287" s="5">
        <v>1</v>
      </c>
      <c r="K287" s="2" t="s">
        <v>32</v>
      </c>
      <c r="L287" s="2" t="s">
        <v>27</v>
      </c>
      <c r="M287" s="4">
        <v>3.6</v>
      </c>
      <c r="N287" s="5">
        <v>59</v>
      </c>
      <c r="O287" s="3">
        <v>45858</v>
      </c>
      <c r="P287" s="2" t="s">
        <v>28</v>
      </c>
      <c r="Q287" s="2" t="s">
        <v>65</v>
      </c>
      <c r="R287" s="2" t="s">
        <v>104</v>
      </c>
      <c r="S287" s="2" t="s">
        <v>105</v>
      </c>
      <c r="T287" s="2" t="s">
        <v>32</v>
      </c>
    </row>
    <row r="288" spans="1:20" ht="12.5" x14ac:dyDescent="0.25">
      <c r="A288" s="2" t="s">
        <v>1168</v>
      </c>
      <c r="B288" s="2" t="s">
        <v>1169</v>
      </c>
      <c r="C288" s="2" t="s">
        <v>264</v>
      </c>
      <c r="D288" s="2" t="s">
        <v>1170</v>
      </c>
      <c r="E288" s="2" t="s">
        <v>208</v>
      </c>
      <c r="F288" s="2" t="s">
        <v>117</v>
      </c>
      <c r="G288" s="5">
        <v>1845</v>
      </c>
      <c r="H288" s="5">
        <v>10</v>
      </c>
      <c r="I288" s="5">
        <v>1661</v>
      </c>
      <c r="J288" s="5">
        <v>1</v>
      </c>
      <c r="K288" s="2">
        <v>40</v>
      </c>
      <c r="L288" s="2" t="s">
        <v>88</v>
      </c>
      <c r="M288" s="4">
        <v>3.5</v>
      </c>
      <c r="N288" s="5">
        <v>32</v>
      </c>
      <c r="O288" s="3">
        <v>45790</v>
      </c>
      <c r="P288" s="2" t="s">
        <v>57</v>
      </c>
      <c r="Q288" s="2" t="s">
        <v>29</v>
      </c>
      <c r="R288" s="2" t="s">
        <v>66</v>
      </c>
      <c r="S288" s="2" t="s">
        <v>67</v>
      </c>
      <c r="T288" s="2" t="s">
        <v>32</v>
      </c>
    </row>
    <row r="289" spans="1:20" ht="12.5" x14ac:dyDescent="0.25">
      <c r="A289" s="2" t="s">
        <v>1171</v>
      </c>
      <c r="B289" s="2" t="s">
        <v>1062</v>
      </c>
      <c r="C289" s="2" t="s">
        <v>1172</v>
      </c>
      <c r="D289" s="2" t="s">
        <v>1173</v>
      </c>
      <c r="E289" s="2" t="s">
        <v>208</v>
      </c>
      <c r="F289" s="2" t="s">
        <v>117</v>
      </c>
      <c r="G289" s="5">
        <v>2740</v>
      </c>
      <c r="H289" s="5">
        <v>40</v>
      </c>
      <c r="I289" s="5">
        <v>1644</v>
      </c>
      <c r="J289" s="5">
        <v>1</v>
      </c>
      <c r="K289" s="2" t="s">
        <v>226</v>
      </c>
      <c r="L289" s="2" t="s">
        <v>103</v>
      </c>
      <c r="M289" s="4">
        <v>3.5</v>
      </c>
      <c r="N289" s="5">
        <v>185</v>
      </c>
      <c r="O289" s="3">
        <v>45813</v>
      </c>
      <c r="P289" s="2" t="s">
        <v>40</v>
      </c>
      <c r="Q289" s="2" t="s">
        <v>78</v>
      </c>
      <c r="R289" s="2" t="s">
        <v>30</v>
      </c>
      <c r="S289" s="2" t="s">
        <v>31</v>
      </c>
      <c r="T289" s="2" t="s">
        <v>50</v>
      </c>
    </row>
    <row r="290" spans="1:20" ht="12.5" x14ac:dyDescent="0.25">
      <c r="A290" s="2" t="s">
        <v>1174</v>
      </c>
      <c r="B290" s="2" t="s">
        <v>1175</v>
      </c>
      <c r="C290" s="2" t="s">
        <v>1176</v>
      </c>
      <c r="D290" s="2" t="s">
        <v>1177</v>
      </c>
      <c r="E290" s="2" t="s">
        <v>132</v>
      </c>
      <c r="F290" s="2" t="s">
        <v>38</v>
      </c>
      <c r="G290" s="5">
        <v>4098</v>
      </c>
      <c r="H290" s="5">
        <v>30</v>
      </c>
      <c r="I290" s="5">
        <v>2869</v>
      </c>
      <c r="J290" s="5">
        <v>3</v>
      </c>
      <c r="K290" s="2" t="s">
        <v>26</v>
      </c>
      <c r="L290" s="2" t="s">
        <v>64</v>
      </c>
      <c r="M290" s="4">
        <v>4.2</v>
      </c>
      <c r="N290" s="5">
        <v>227</v>
      </c>
      <c r="O290" s="3">
        <v>45801</v>
      </c>
      <c r="P290" s="2" t="s">
        <v>40</v>
      </c>
      <c r="Q290" s="2" t="s">
        <v>65</v>
      </c>
      <c r="R290" s="2" t="s">
        <v>66</v>
      </c>
      <c r="S290" s="2" t="s">
        <v>67</v>
      </c>
      <c r="T290" s="2" t="s">
        <v>50</v>
      </c>
    </row>
    <row r="291" spans="1:20" ht="12.5" x14ac:dyDescent="0.25">
      <c r="A291" s="2" t="s">
        <v>1178</v>
      </c>
      <c r="B291" s="2" t="s">
        <v>333</v>
      </c>
      <c r="C291" s="2" t="s">
        <v>1179</v>
      </c>
      <c r="D291" s="2" t="s">
        <v>1180</v>
      </c>
      <c r="E291" s="2" t="s">
        <v>116</v>
      </c>
      <c r="F291" s="2" t="s">
        <v>117</v>
      </c>
      <c r="G291" s="5">
        <v>957</v>
      </c>
      <c r="H291" s="5">
        <v>20</v>
      </c>
      <c r="I291" s="5">
        <v>766</v>
      </c>
      <c r="J291" s="5">
        <v>1</v>
      </c>
      <c r="K291" s="2">
        <v>44</v>
      </c>
      <c r="L291" s="2" t="s">
        <v>209</v>
      </c>
      <c r="M291" s="4">
        <v>3.6</v>
      </c>
      <c r="N291" s="5">
        <v>35</v>
      </c>
      <c r="O291" s="3">
        <v>45780</v>
      </c>
      <c r="P291" s="2" t="s">
        <v>40</v>
      </c>
      <c r="Q291" s="2" t="s">
        <v>65</v>
      </c>
      <c r="R291" s="2" t="s">
        <v>58</v>
      </c>
      <c r="S291" s="2" t="s">
        <v>59</v>
      </c>
      <c r="T291" s="2" t="s">
        <v>32</v>
      </c>
    </row>
    <row r="292" spans="1:20" ht="12.5" x14ac:dyDescent="0.25">
      <c r="A292" s="2" t="s">
        <v>1181</v>
      </c>
      <c r="B292" s="2" t="s">
        <v>1182</v>
      </c>
      <c r="C292" s="2" t="s">
        <v>1183</v>
      </c>
      <c r="D292" s="2" t="s">
        <v>1184</v>
      </c>
      <c r="E292" s="2" t="s">
        <v>116</v>
      </c>
      <c r="F292" s="2" t="s">
        <v>117</v>
      </c>
      <c r="G292" s="5">
        <v>2519</v>
      </c>
      <c r="H292" s="5">
        <v>25</v>
      </c>
      <c r="I292" s="5">
        <v>1890</v>
      </c>
      <c r="J292" s="5">
        <v>2</v>
      </c>
      <c r="K292" s="2" t="s">
        <v>163</v>
      </c>
      <c r="L292" s="2" t="s">
        <v>88</v>
      </c>
      <c r="M292" s="4">
        <v>3.8</v>
      </c>
      <c r="N292" s="5">
        <v>49</v>
      </c>
      <c r="O292" s="3">
        <v>45825</v>
      </c>
      <c r="P292" s="2" t="s">
        <v>57</v>
      </c>
      <c r="Q292" s="2" t="s">
        <v>29</v>
      </c>
      <c r="R292" s="2" t="s">
        <v>149</v>
      </c>
      <c r="S292" s="2" t="s">
        <v>150</v>
      </c>
      <c r="T292" s="2" t="s">
        <v>32</v>
      </c>
    </row>
    <row r="293" spans="1:20" ht="12.5" x14ac:dyDescent="0.25">
      <c r="A293" s="2" t="s">
        <v>1185</v>
      </c>
      <c r="B293" s="2" t="s">
        <v>160</v>
      </c>
      <c r="C293" s="2" t="s">
        <v>1186</v>
      </c>
      <c r="D293" s="2" t="s">
        <v>1187</v>
      </c>
      <c r="E293" s="2" t="s">
        <v>147</v>
      </c>
      <c r="F293" s="2" t="s">
        <v>148</v>
      </c>
      <c r="G293" s="5">
        <v>3484</v>
      </c>
      <c r="H293" s="5">
        <v>30</v>
      </c>
      <c r="I293" s="5">
        <v>2439</v>
      </c>
      <c r="J293" s="5">
        <v>3</v>
      </c>
      <c r="K293" s="2" t="s">
        <v>261</v>
      </c>
      <c r="L293" s="2" t="s">
        <v>88</v>
      </c>
      <c r="M293" s="4">
        <v>4</v>
      </c>
      <c r="N293" s="5">
        <v>200</v>
      </c>
      <c r="O293" s="3">
        <v>45790</v>
      </c>
      <c r="P293" s="2" t="s">
        <v>28</v>
      </c>
      <c r="Q293" s="2" t="s">
        <v>78</v>
      </c>
      <c r="R293" s="2" t="s">
        <v>66</v>
      </c>
      <c r="S293" s="2" t="s">
        <v>67</v>
      </c>
      <c r="T293" s="2" t="s">
        <v>32</v>
      </c>
    </row>
    <row r="294" spans="1:20" ht="12.5" x14ac:dyDescent="0.25">
      <c r="A294" s="2" t="s">
        <v>1188</v>
      </c>
      <c r="B294" s="2" t="s">
        <v>1026</v>
      </c>
      <c r="C294" s="2" t="s">
        <v>1189</v>
      </c>
      <c r="D294" s="2" t="s">
        <v>1190</v>
      </c>
      <c r="E294" s="2" t="s">
        <v>24</v>
      </c>
      <c r="F294" s="2" t="s">
        <v>25</v>
      </c>
      <c r="G294" s="5">
        <v>1928</v>
      </c>
      <c r="H294" s="5">
        <v>15</v>
      </c>
      <c r="I294" s="5">
        <v>1639</v>
      </c>
      <c r="J294" s="5">
        <v>1</v>
      </c>
      <c r="K294" s="2">
        <v>44</v>
      </c>
      <c r="L294" s="2" t="s">
        <v>73</v>
      </c>
      <c r="M294" s="4">
        <v>4.4000000000000004</v>
      </c>
      <c r="N294" s="5">
        <v>39</v>
      </c>
      <c r="O294" s="3">
        <v>45791</v>
      </c>
      <c r="P294" s="2" t="s">
        <v>40</v>
      </c>
      <c r="Q294" s="2" t="s">
        <v>29</v>
      </c>
      <c r="R294" s="2" t="s">
        <v>185</v>
      </c>
      <c r="S294" s="2" t="s">
        <v>186</v>
      </c>
      <c r="T294" s="2" t="s">
        <v>203</v>
      </c>
    </row>
    <row r="295" spans="1:20" ht="12.5" x14ac:dyDescent="0.25">
      <c r="A295" s="2" t="s">
        <v>1191</v>
      </c>
      <c r="B295" s="2" t="s">
        <v>1192</v>
      </c>
      <c r="C295" s="2" t="s">
        <v>1193</v>
      </c>
      <c r="D295" s="2" t="s">
        <v>1194</v>
      </c>
      <c r="E295" s="2" t="s">
        <v>147</v>
      </c>
      <c r="F295" s="2" t="s">
        <v>148</v>
      </c>
      <c r="G295" s="5">
        <v>1751</v>
      </c>
      <c r="H295" s="5">
        <v>25</v>
      </c>
      <c r="I295" s="5">
        <v>1314</v>
      </c>
      <c r="J295" s="5">
        <v>1</v>
      </c>
      <c r="K295" s="2" t="s">
        <v>72</v>
      </c>
      <c r="L295" s="2" t="s">
        <v>209</v>
      </c>
      <c r="M295" s="4">
        <v>3.5</v>
      </c>
      <c r="N295" s="5">
        <v>136</v>
      </c>
      <c r="O295" s="3">
        <v>45846</v>
      </c>
      <c r="P295" s="2" t="s">
        <v>40</v>
      </c>
      <c r="Q295" s="2" t="s">
        <v>29</v>
      </c>
      <c r="R295" s="2" t="s">
        <v>66</v>
      </c>
      <c r="S295" s="2" t="s">
        <v>67</v>
      </c>
      <c r="T295" s="2" t="s">
        <v>134</v>
      </c>
    </row>
    <row r="296" spans="1:20" ht="12.5" x14ac:dyDescent="0.25">
      <c r="A296" s="2" t="s">
        <v>1195</v>
      </c>
      <c r="B296" s="2" t="s">
        <v>880</v>
      </c>
      <c r="C296" s="2" t="s">
        <v>1196</v>
      </c>
      <c r="D296" s="2" t="s">
        <v>1197</v>
      </c>
      <c r="E296" s="2" t="s">
        <v>24</v>
      </c>
      <c r="F296" s="2" t="s">
        <v>25</v>
      </c>
      <c r="G296" s="5">
        <v>1616</v>
      </c>
      <c r="H296" s="5">
        <v>35</v>
      </c>
      <c r="I296" s="5">
        <v>1051</v>
      </c>
      <c r="J296" s="5">
        <v>2</v>
      </c>
      <c r="K296" s="2">
        <v>40</v>
      </c>
      <c r="L296" s="2" t="s">
        <v>209</v>
      </c>
      <c r="M296" s="4">
        <v>3.7</v>
      </c>
      <c r="N296" s="5">
        <v>141</v>
      </c>
      <c r="O296" s="3">
        <v>45785</v>
      </c>
      <c r="P296" s="2" t="s">
        <v>57</v>
      </c>
      <c r="Q296" s="2" t="s">
        <v>78</v>
      </c>
      <c r="R296" s="2" t="s">
        <v>185</v>
      </c>
      <c r="S296" s="2" t="s">
        <v>186</v>
      </c>
      <c r="T296" s="2" t="s">
        <v>32</v>
      </c>
    </row>
    <row r="297" spans="1:20" ht="12.5" x14ac:dyDescent="0.25">
      <c r="A297" s="2" t="s">
        <v>1198</v>
      </c>
      <c r="B297" s="2" t="s">
        <v>1199</v>
      </c>
      <c r="C297" s="2" t="s">
        <v>1200</v>
      </c>
      <c r="D297" s="2" t="s">
        <v>1201</v>
      </c>
      <c r="E297" s="2" t="s">
        <v>24</v>
      </c>
      <c r="F297" s="2" t="s">
        <v>25</v>
      </c>
      <c r="G297" s="5">
        <v>2712</v>
      </c>
      <c r="H297" s="5">
        <v>25</v>
      </c>
      <c r="I297" s="5">
        <v>2034</v>
      </c>
      <c r="J297" s="5">
        <v>2</v>
      </c>
      <c r="K297" s="2">
        <v>40</v>
      </c>
      <c r="L297" s="2" t="s">
        <v>88</v>
      </c>
      <c r="M297" s="4">
        <v>4.2</v>
      </c>
      <c r="N297" s="5">
        <v>43</v>
      </c>
      <c r="O297" s="3">
        <v>45776</v>
      </c>
      <c r="P297" s="2" t="s">
        <v>57</v>
      </c>
      <c r="Q297" s="2" t="s">
        <v>29</v>
      </c>
      <c r="R297" s="2" t="s">
        <v>30</v>
      </c>
      <c r="S297" s="2" t="s">
        <v>31</v>
      </c>
      <c r="T297" s="2" t="s">
        <v>32</v>
      </c>
    </row>
    <row r="298" spans="1:20" ht="12.5" x14ac:dyDescent="0.25">
      <c r="A298" s="2" t="s">
        <v>1202</v>
      </c>
      <c r="B298" s="2" t="s">
        <v>518</v>
      </c>
      <c r="C298" s="2" t="s">
        <v>1203</v>
      </c>
      <c r="D298" s="2" t="s">
        <v>1204</v>
      </c>
      <c r="E298" s="2" t="s">
        <v>37</v>
      </c>
      <c r="F298" s="2" t="s">
        <v>38</v>
      </c>
      <c r="G298" s="5">
        <v>4042</v>
      </c>
      <c r="H298" s="5">
        <v>25</v>
      </c>
      <c r="I298" s="5">
        <v>3032</v>
      </c>
      <c r="J298" s="5">
        <v>1</v>
      </c>
      <c r="K298" s="2">
        <v>40</v>
      </c>
      <c r="L298" s="2" t="s">
        <v>103</v>
      </c>
      <c r="M298" s="4">
        <v>4.4000000000000004</v>
      </c>
      <c r="N298" s="5">
        <v>225</v>
      </c>
      <c r="O298" s="3">
        <v>45845</v>
      </c>
      <c r="P298" s="2" t="s">
        <v>40</v>
      </c>
      <c r="Q298" s="2" t="s">
        <v>78</v>
      </c>
      <c r="R298" s="2" t="s">
        <v>185</v>
      </c>
      <c r="S298" s="2" t="s">
        <v>186</v>
      </c>
      <c r="T298" s="2" t="s">
        <v>50</v>
      </c>
    </row>
    <row r="299" spans="1:20" ht="12.5" x14ac:dyDescent="0.25">
      <c r="A299" s="2" t="s">
        <v>1205</v>
      </c>
      <c r="B299" s="2" t="s">
        <v>1206</v>
      </c>
      <c r="C299" s="2" t="s">
        <v>1207</v>
      </c>
      <c r="D299" s="2" t="s">
        <v>1208</v>
      </c>
      <c r="E299" s="2" t="s">
        <v>122</v>
      </c>
      <c r="F299" s="2" t="s">
        <v>123</v>
      </c>
      <c r="G299" s="5">
        <v>4499</v>
      </c>
      <c r="H299" s="5">
        <v>20</v>
      </c>
      <c r="I299" s="5">
        <v>3600</v>
      </c>
      <c r="J299" s="5">
        <v>3</v>
      </c>
      <c r="K299" s="2" t="s">
        <v>72</v>
      </c>
      <c r="L299" s="2" t="s">
        <v>64</v>
      </c>
      <c r="M299" s="4">
        <v>3.6</v>
      </c>
      <c r="N299" s="5">
        <v>31</v>
      </c>
      <c r="O299" s="3">
        <v>45796</v>
      </c>
      <c r="P299" s="2" t="s">
        <v>57</v>
      </c>
      <c r="Q299" s="2" t="s">
        <v>65</v>
      </c>
      <c r="R299" s="2" t="s">
        <v>110</v>
      </c>
      <c r="S299" s="2" t="s">
        <v>111</v>
      </c>
      <c r="T299" s="2" t="s">
        <v>32</v>
      </c>
    </row>
    <row r="300" spans="1:20" ht="12.5" x14ac:dyDescent="0.25">
      <c r="A300" s="2" t="s">
        <v>1209</v>
      </c>
      <c r="B300" s="2" t="s">
        <v>901</v>
      </c>
      <c r="C300" s="2" t="s">
        <v>1210</v>
      </c>
      <c r="D300" s="2" t="s">
        <v>1211</v>
      </c>
      <c r="E300" s="2" t="s">
        <v>122</v>
      </c>
      <c r="F300" s="2" t="s">
        <v>123</v>
      </c>
      <c r="G300" s="5">
        <v>1869</v>
      </c>
      <c r="H300" s="5">
        <v>20</v>
      </c>
      <c r="I300" s="5">
        <v>1496</v>
      </c>
      <c r="J300" s="5">
        <v>3</v>
      </c>
      <c r="K300" s="2" t="s">
        <v>26</v>
      </c>
      <c r="L300" s="2" t="s">
        <v>168</v>
      </c>
      <c r="M300" s="4">
        <v>4.2</v>
      </c>
      <c r="N300" s="5">
        <v>216</v>
      </c>
      <c r="O300" s="3">
        <v>45857</v>
      </c>
      <c r="P300" s="2" t="s">
        <v>28</v>
      </c>
      <c r="Q300" s="2" t="s">
        <v>78</v>
      </c>
      <c r="R300" s="2" t="s">
        <v>66</v>
      </c>
      <c r="S300" s="2" t="s">
        <v>67</v>
      </c>
      <c r="T300" s="2" t="s">
        <v>32</v>
      </c>
    </row>
    <row r="301" spans="1:20" ht="12.5" x14ac:dyDescent="0.25">
      <c r="A301" s="2" t="s">
        <v>1212</v>
      </c>
      <c r="B301" s="2" t="s">
        <v>876</v>
      </c>
      <c r="C301" s="2" t="s">
        <v>1213</v>
      </c>
      <c r="D301" s="2" t="s">
        <v>1214</v>
      </c>
      <c r="E301" s="2" t="s">
        <v>48</v>
      </c>
      <c r="F301" s="2" t="s">
        <v>25</v>
      </c>
      <c r="G301" s="5">
        <v>4461</v>
      </c>
      <c r="H301" s="5">
        <v>35</v>
      </c>
      <c r="I301" s="5">
        <v>2900</v>
      </c>
      <c r="J301" s="5">
        <v>1</v>
      </c>
      <c r="K301" s="2">
        <v>44</v>
      </c>
      <c r="L301" s="2" t="s">
        <v>49</v>
      </c>
      <c r="M301" s="4">
        <v>3.9</v>
      </c>
      <c r="N301" s="5">
        <v>72</v>
      </c>
      <c r="O301" s="3">
        <v>45838</v>
      </c>
      <c r="P301" s="2" t="s">
        <v>28</v>
      </c>
      <c r="Q301" s="2" t="s">
        <v>78</v>
      </c>
      <c r="R301" s="2" t="s">
        <v>30</v>
      </c>
      <c r="S301" s="2" t="s">
        <v>31</v>
      </c>
      <c r="T301" s="2" t="s">
        <v>32</v>
      </c>
    </row>
    <row r="302" spans="1:20" ht="12.5" x14ac:dyDescent="0.25">
      <c r="A302" s="2" t="s">
        <v>1215</v>
      </c>
      <c r="B302" s="2" t="s">
        <v>1216</v>
      </c>
      <c r="C302" s="2" t="s">
        <v>1217</v>
      </c>
      <c r="D302" s="2" t="s">
        <v>1218</v>
      </c>
      <c r="E302" s="2" t="s">
        <v>132</v>
      </c>
      <c r="F302" s="2" t="s">
        <v>38</v>
      </c>
      <c r="G302" s="5">
        <v>2820</v>
      </c>
      <c r="H302" s="5">
        <v>35</v>
      </c>
      <c r="I302" s="5">
        <v>1833</v>
      </c>
      <c r="J302" s="5">
        <v>2</v>
      </c>
      <c r="K302" s="2" t="s">
        <v>32</v>
      </c>
      <c r="L302" s="2" t="s">
        <v>39</v>
      </c>
      <c r="M302" s="4">
        <v>4.5</v>
      </c>
      <c r="N302" s="5">
        <v>103</v>
      </c>
      <c r="O302" s="3">
        <v>45825</v>
      </c>
      <c r="P302" s="2" t="s">
        <v>28</v>
      </c>
      <c r="Q302" s="2" t="s">
        <v>29</v>
      </c>
      <c r="R302" s="2" t="s">
        <v>110</v>
      </c>
      <c r="S302" s="2" t="s">
        <v>111</v>
      </c>
      <c r="T302" s="2" t="s">
        <v>32</v>
      </c>
    </row>
    <row r="303" spans="1:20" ht="12.5" x14ac:dyDescent="0.25">
      <c r="A303" s="2" t="s">
        <v>1219</v>
      </c>
      <c r="B303" s="2" t="s">
        <v>287</v>
      </c>
      <c r="C303" s="2" t="s">
        <v>1220</v>
      </c>
      <c r="D303" s="2" t="s">
        <v>1221</v>
      </c>
      <c r="E303" s="2" t="s">
        <v>208</v>
      </c>
      <c r="F303" s="2" t="s">
        <v>117</v>
      </c>
      <c r="G303" s="5">
        <v>2080</v>
      </c>
      <c r="H303" s="5">
        <v>25</v>
      </c>
      <c r="I303" s="5">
        <v>1560</v>
      </c>
      <c r="J303" s="5">
        <v>1</v>
      </c>
      <c r="K303" s="2" t="s">
        <v>72</v>
      </c>
      <c r="L303" s="2" t="s">
        <v>133</v>
      </c>
      <c r="M303" s="4">
        <v>4</v>
      </c>
      <c r="N303" s="5">
        <v>181</v>
      </c>
      <c r="O303" s="3">
        <v>45837</v>
      </c>
      <c r="P303" s="2" t="s">
        <v>28</v>
      </c>
      <c r="Q303" s="2" t="s">
        <v>65</v>
      </c>
      <c r="R303" s="2" t="s">
        <v>89</v>
      </c>
      <c r="S303" s="2" t="s">
        <v>90</v>
      </c>
      <c r="T303" s="2" t="s">
        <v>32</v>
      </c>
    </row>
    <row r="304" spans="1:20" ht="12.5" x14ac:dyDescent="0.25">
      <c r="A304" s="2" t="s">
        <v>1222</v>
      </c>
      <c r="B304" s="2" t="s">
        <v>1223</v>
      </c>
      <c r="C304" s="2" t="s">
        <v>1224</v>
      </c>
      <c r="D304" s="2" t="s">
        <v>1225</v>
      </c>
      <c r="E304" s="2" t="s">
        <v>24</v>
      </c>
      <c r="F304" s="2" t="s">
        <v>25</v>
      </c>
      <c r="G304" s="5">
        <v>2905</v>
      </c>
      <c r="H304" s="5">
        <v>35</v>
      </c>
      <c r="I304" s="5">
        <v>1889</v>
      </c>
      <c r="J304" s="5">
        <v>1</v>
      </c>
      <c r="K304" s="2" t="s">
        <v>32</v>
      </c>
      <c r="L304" s="2" t="s">
        <v>209</v>
      </c>
      <c r="M304" s="4">
        <v>4.3</v>
      </c>
      <c r="N304" s="5">
        <v>172</v>
      </c>
      <c r="O304" s="3">
        <v>45852</v>
      </c>
      <c r="P304" s="2" t="s">
        <v>40</v>
      </c>
      <c r="Q304" s="2" t="s">
        <v>78</v>
      </c>
      <c r="R304" s="2" t="s">
        <v>66</v>
      </c>
      <c r="S304" s="2" t="s">
        <v>67</v>
      </c>
      <c r="T304" s="2" t="s">
        <v>43</v>
      </c>
    </row>
    <row r="305" spans="1:20" ht="12.5" x14ac:dyDescent="0.25">
      <c r="A305" s="2" t="s">
        <v>1226</v>
      </c>
      <c r="B305" s="2" t="s">
        <v>1227</v>
      </c>
      <c r="C305" s="2" t="s">
        <v>1228</v>
      </c>
      <c r="D305" s="2" t="s">
        <v>1229</v>
      </c>
      <c r="E305" s="2" t="s">
        <v>208</v>
      </c>
      <c r="F305" s="2" t="s">
        <v>117</v>
      </c>
      <c r="G305" s="5">
        <v>3008</v>
      </c>
      <c r="H305" s="5">
        <v>15</v>
      </c>
      <c r="I305" s="5">
        <v>2557</v>
      </c>
      <c r="J305" s="5">
        <v>3</v>
      </c>
      <c r="K305" s="2" t="s">
        <v>261</v>
      </c>
      <c r="L305" s="2" t="s">
        <v>73</v>
      </c>
      <c r="M305" s="4">
        <v>4.9000000000000004</v>
      </c>
      <c r="N305" s="5">
        <v>177</v>
      </c>
      <c r="O305" s="3">
        <v>45771</v>
      </c>
      <c r="P305" s="2" t="s">
        <v>28</v>
      </c>
      <c r="Q305" s="2" t="s">
        <v>29</v>
      </c>
      <c r="R305" s="2" t="s">
        <v>149</v>
      </c>
      <c r="S305" s="2" t="s">
        <v>150</v>
      </c>
      <c r="T305" s="2" t="s">
        <v>32</v>
      </c>
    </row>
    <row r="306" spans="1:20" ht="12.5" x14ac:dyDescent="0.25">
      <c r="A306" s="2" t="s">
        <v>1230</v>
      </c>
      <c r="B306" s="2" t="s">
        <v>460</v>
      </c>
      <c r="C306" s="2" t="s">
        <v>1231</v>
      </c>
      <c r="D306" s="2" t="s">
        <v>1232</v>
      </c>
      <c r="E306" s="2" t="s">
        <v>147</v>
      </c>
      <c r="F306" s="2" t="s">
        <v>148</v>
      </c>
      <c r="G306" s="5">
        <v>3869</v>
      </c>
      <c r="H306" s="5">
        <v>35</v>
      </c>
      <c r="I306" s="5">
        <v>2515</v>
      </c>
      <c r="J306" s="5">
        <v>2</v>
      </c>
      <c r="K306" s="2">
        <v>44</v>
      </c>
      <c r="L306" s="2" t="s">
        <v>168</v>
      </c>
      <c r="M306" s="4">
        <v>4.4000000000000004</v>
      </c>
      <c r="N306" s="5">
        <v>165</v>
      </c>
      <c r="O306" s="3">
        <v>45780</v>
      </c>
      <c r="P306" s="2" t="s">
        <v>40</v>
      </c>
      <c r="Q306" s="2" t="s">
        <v>65</v>
      </c>
      <c r="R306" s="2" t="s">
        <v>185</v>
      </c>
      <c r="S306" s="2" t="s">
        <v>186</v>
      </c>
      <c r="T306" s="2" t="s">
        <v>50</v>
      </c>
    </row>
    <row r="307" spans="1:20" ht="12.5" x14ac:dyDescent="0.25">
      <c r="A307" s="2" t="s">
        <v>1233</v>
      </c>
      <c r="B307" s="2" t="s">
        <v>491</v>
      </c>
      <c r="C307" s="2" t="s">
        <v>241</v>
      </c>
      <c r="D307" s="2" t="s">
        <v>1234</v>
      </c>
      <c r="E307" s="2" t="s">
        <v>48</v>
      </c>
      <c r="F307" s="2" t="s">
        <v>25</v>
      </c>
      <c r="G307" s="5">
        <v>4538</v>
      </c>
      <c r="H307" s="5">
        <v>40</v>
      </c>
      <c r="I307" s="5">
        <v>2723</v>
      </c>
      <c r="J307" s="5">
        <v>2</v>
      </c>
      <c r="K307" s="2">
        <v>40</v>
      </c>
      <c r="L307" s="2" t="s">
        <v>73</v>
      </c>
      <c r="M307" s="4">
        <v>4.5999999999999996</v>
      </c>
      <c r="N307" s="5">
        <v>154</v>
      </c>
      <c r="O307" s="3">
        <v>45812</v>
      </c>
      <c r="P307" s="2" t="s">
        <v>57</v>
      </c>
      <c r="Q307" s="2" t="s">
        <v>78</v>
      </c>
      <c r="R307" s="2" t="s">
        <v>149</v>
      </c>
      <c r="S307" s="2" t="s">
        <v>150</v>
      </c>
      <c r="T307" s="2" t="s">
        <v>32</v>
      </c>
    </row>
    <row r="308" spans="1:20" ht="12.5" x14ac:dyDescent="0.25">
      <c r="A308" s="2" t="s">
        <v>1235</v>
      </c>
      <c r="B308" s="2" t="s">
        <v>1236</v>
      </c>
      <c r="C308" s="2" t="s">
        <v>1237</v>
      </c>
      <c r="D308" s="2" t="s">
        <v>1238</v>
      </c>
      <c r="E308" s="2" t="s">
        <v>55</v>
      </c>
      <c r="F308" s="2" t="s">
        <v>38</v>
      </c>
      <c r="G308" s="5">
        <v>3658</v>
      </c>
      <c r="H308" s="5">
        <v>35</v>
      </c>
      <c r="I308" s="5">
        <v>2378</v>
      </c>
      <c r="J308" s="5">
        <v>1</v>
      </c>
      <c r="K308" s="2" t="s">
        <v>226</v>
      </c>
      <c r="L308" s="2" t="s">
        <v>103</v>
      </c>
      <c r="M308" s="4">
        <v>3.7</v>
      </c>
      <c r="N308" s="5">
        <v>238</v>
      </c>
      <c r="O308" s="3">
        <v>45841</v>
      </c>
      <c r="P308" s="2" t="s">
        <v>40</v>
      </c>
      <c r="Q308" s="2" t="s">
        <v>78</v>
      </c>
      <c r="R308" s="2" t="s">
        <v>149</v>
      </c>
      <c r="S308" s="2" t="s">
        <v>150</v>
      </c>
      <c r="T308" s="2" t="s">
        <v>203</v>
      </c>
    </row>
    <row r="309" spans="1:20" ht="12.5" x14ac:dyDescent="0.25">
      <c r="A309" s="2" t="s">
        <v>1239</v>
      </c>
      <c r="B309" s="2" t="s">
        <v>1240</v>
      </c>
      <c r="C309" s="2" t="s">
        <v>1241</v>
      </c>
      <c r="D309" s="2" t="s">
        <v>1242</v>
      </c>
      <c r="E309" s="2" t="s">
        <v>24</v>
      </c>
      <c r="F309" s="2" t="s">
        <v>25</v>
      </c>
      <c r="G309" s="5">
        <v>796</v>
      </c>
      <c r="H309" s="5">
        <v>30</v>
      </c>
      <c r="I309" s="5">
        <v>558</v>
      </c>
      <c r="J309" s="5">
        <v>3</v>
      </c>
      <c r="K309" s="2" t="s">
        <v>56</v>
      </c>
      <c r="L309" s="2" t="s">
        <v>103</v>
      </c>
      <c r="M309" s="4">
        <v>4.5</v>
      </c>
      <c r="N309" s="5">
        <v>211</v>
      </c>
      <c r="O309" s="3">
        <v>45792</v>
      </c>
      <c r="P309" s="2" t="s">
        <v>28</v>
      </c>
      <c r="Q309" s="2" t="s">
        <v>65</v>
      </c>
      <c r="R309" s="2" t="s">
        <v>66</v>
      </c>
      <c r="S309" s="2" t="s">
        <v>67</v>
      </c>
      <c r="T309" s="2" t="s">
        <v>32</v>
      </c>
    </row>
    <row r="310" spans="1:20" ht="12.5" x14ac:dyDescent="0.25">
      <c r="A310" s="2" t="s">
        <v>1243</v>
      </c>
      <c r="B310" s="2" t="s">
        <v>1244</v>
      </c>
      <c r="C310" s="2" t="s">
        <v>1245</v>
      </c>
      <c r="D310" s="2" t="s">
        <v>1246</v>
      </c>
      <c r="E310" s="2" t="s">
        <v>116</v>
      </c>
      <c r="F310" s="2" t="s">
        <v>117</v>
      </c>
      <c r="G310" s="5">
        <v>3146</v>
      </c>
      <c r="H310" s="5">
        <v>20</v>
      </c>
      <c r="I310" s="5">
        <v>2517</v>
      </c>
      <c r="J310" s="5">
        <v>2</v>
      </c>
      <c r="K310" s="2" t="s">
        <v>163</v>
      </c>
      <c r="L310" s="2" t="s">
        <v>64</v>
      </c>
      <c r="M310" s="4">
        <v>4.4000000000000004</v>
      </c>
      <c r="N310" s="5">
        <v>262</v>
      </c>
      <c r="O310" s="3">
        <v>45834</v>
      </c>
      <c r="P310" s="2" t="s">
        <v>28</v>
      </c>
      <c r="Q310" s="2" t="s">
        <v>65</v>
      </c>
      <c r="R310" s="2" t="s">
        <v>149</v>
      </c>
      <c r="S310" s="2" t="s">
        <v>150</v>
      </c>
      <c r="T310" s="2" t="s">
        <v>32</v>
      </c>
    </row>
    <row r="311" spans="1:20" ht="12.5" x14ac:dyDescent="0.25">
      <c r="A311" s="2" t="s">
        <v>1247</v>
      </c>
      <c r="B311" s="2" t="s">
        <v>1223</v>
      </c>
      <c r="C311" s="2" t="s">
        <v>1248</v>
      </c>
      <c r="D311" s="2" t="s">
        <v>1249</v>
      </c>
      <c r="E311" s="2" t="s">
        <v>132</v>
      </c>
      <c r="F311" s="2" t="s">
        <v>38</v>
      </c>
      <c r="G311" s="5">
        <v>3866</v>
      </c>
      <c r="H311" s="5">
        <v>40</v>
      </c>
      <c r="I311" s="5">
        <v>2320</v>
      </c>
      <c r="J311" s="5">
        <v>1</v>
      </c>
      <c r="K311" s="2" t="s">
        <v>163</v>
      </c>
      <c r="L311" s="2" t="s">
        <v>103</v>
      </c>
      <c r="M311" s="4">
        <v>4.5</v>
      </c>
      <c r="N311" s="5">
        <v>250</v>
      </c>
      <c r="O311" s="3">
        <v>45847</v>
      </c>
      <c r="P311" s="2" t="s">
        <v>28</v>
      </c>
      <c r="Q311" s="2" t="s">
        <v>29</v>
      </c>
      <c r="R311" s="2" t="s">
        <v>30</v>
      </c>
      <c r="S311" s="2" t="s">
        <v>31</v>
      </c>
      <c r="T311" s="2" t="s">
        <v>32</v>
      </c>
    </row>
    <row r="312" spans="1:20" ht="12.5" x14ac:dyDescent="0.25">
      <c r="A312" s="2" t="s">
        <v>1250</v>
      </c>
      <c r="B312" s="2" t="s">
        <v>802</v>
      </c>
      <c r="C312" s="2" t="s">
        <v>1251</v>
      </c>
      <c r="D312" s="2" t="s">
        <v>1252</v>
      </c>
      <c r="E312" s="2" t="s">
        <v>37</v>
      </c>
      <c r="F312" s="2" t="s">
        <v>38</v>
      </c>
      <c r="G312" s="5">
        <v>3093</v>
      </c>
      <c r="H312" s="5">
        <v>20</v>
      </c>
      <c r="I312" s="5">
        <v>2475</v>
      </c>
      <c r="J312" s="5">
        <v>1</v>
      </c>
      <c r="K312" s="2">
        <v>44</v>
      </c>
      <c r="L312" s="2" t="s">
        <v>49</v>
      </c>
      <c r="M312" s="4">
        <v>3.9</v>
      </c>
      <c r="N312" s="5">
        <v>182</v>
      </c>
      <c r="O312" s="3">
        <v>45855</v>
      </c>
      <c r="P312" s="2" t="s">
        <v>57</v>
      </c>
      <c r="Q312" s="2" t="s">
        <v>78</v>
      </c>
      <c r="R312" s="2" t="s">
        <v>83</v>
      </c>
      <c r="S312" s="2" t="s">
        <v>83</v>
      </c>
      <c r="T312" s="2" t="s">
        <v>32</v>
      </c>
    </row>
    <row r="313" spans="1:20" ht="12.5" x14ac:dyDescent="0.25">
      <c r="A313" s="2" t="s">
        <v>1253</v>
      </c>
      <c r="B313" s="2" t="s">
        <v>1254</v>
      </c>
      <c r="C313" s="2" t="s">
        <v>1255</v>
      </c>
      <c r="D313" s="2" t="s">
        <v>1256</v>
      </c>
      <c r="E313" s="2" t="s">
        <v>48</v>
      </c>
      <c r="F313" s="2" t="s">
        <v>25</v>
      </c>
      <c r="G313" s="5">
        <v>2872</v>
      </c>
      <c r="H313" s="5">
        <v>40</v>
      </c>
      <c r="I313" s="5">
        <v>1724</v>
      </c>
      <c r="J313" s="5">
        <v>3</v>
      </c>
      <c r="K313" s="2" t="s">
        <v>72</v>
      </c>
      <c r="L313" s="2" t="s">
        <v>88</v>
      </c>
      <c r="M313" s="4">
        <v>4.7</v>
      </c>
      <c r="N313" s="5">
        <v>216</v>
      </c>
      <c r="O313" s="3">
        <v>45847</v>
      </c>
      <c r="P313" s="2" t="s">
        <v>40</v>
      </c>
      <c r="Q313" s="2" t="s">
        <v>65</v>
      </c>
      <c r="R313" s="2" t="s">
        <v>110</v>
      </c>
      <c r="S313" s="2" t="s">
        <v>111</v>
      </c>
      <c r="T313" s="2" t="s">
        <v>203</v>
      </c>
    </row>
    <row r="314" spans="1:20" ht="12.5" x14ac:dyDescent="0.25">
      <c r="A314" s="2" t="s">
        <v>1257</v>
      </c>
      <c r="B314" s="2" t="s">
        <v>1258</v>
      </c>
      <c r="C314" s="2" t="s">
        <v>1259</v>
      </c>
      <c r="D314" s="2" t="s">
        <v>1260</v>
      </c>
      <c r="E314" s="2" t="s">
        <v>116</v>
      </c>
      <c r="F314" s="2" t="s">
        <v>117</v>
      </c>
      <c r="G314" s="5">
        <v>4552</v>
      </c>
      <c r="H314" s="5">
        <v>30</v>
      </c>
      <c r="I314" s="5">
        <v>3187</v>
      </c>
      <c r="J314" s="5">
        <v>3</v>
      </c>
      <c r="K314" s="2" t="s">
        <v>56</v>
      </c>
      <c r="L314" s="2" t="s">
        <v>168</v>
      </c>
      <c r="M314" s="4">
        <v>4.3</v>
      </c>
      <c r="N314" s="5">
        <v>216</v>
      </c>
      <c r="O314" s="3">
        <v>45773</v>
      </c>
      <c r="P314" s="2" t="s">
        <v>57</v>
      </c>
      <c r="Q314" s="2" t="s">
        <v>29</v>
      </c>
      <c r="R314" s="2" t="s">
        <v>30</v>
      </c>
      <c r="S314" s="2" t="s">
        <v>31</v>
      </c>
      <c r="T314" s="2" t="s">
        <v>32</v>
      </c>
    </row>
    <row r="315" spans="1:20" ht="12.5" x14ac:dyDescent="0.25">
      <c r="A315" s="2" t="s">
        <v>1261</v>
      </c>
      <c r="B315" s="2" t="s">
        <v>34</v>
      </c>
      <c r="C315" s="2" t="s">
        <v>1262</v>
      </c>
      <c r="D315" s="2" t="s">
        <v>1263</v>
      </c>
      <c r="E315" s="2" t="s">
        <v>147</v>
      </c>
      <c r="F315" s="2" t="s">
        <v>148</v>
      </c>
      <c r="G315" s="5">
        <v>1099</v>
      </c>
      <c r="H315" s="5">
        <v>10</v>
      </c>
      <c r="I315" s="5">
        <v>990</v>
      </c>
      <c r="J315" s="5">
        <v>2</v>
      </c>
      <c r="K315" s="2">
        <v>40</v>
      </c>
      <c r="L315" s="2" t="s">
        <v>103</v>
      </c>
      <c r="M315" s="4">
        <v>3.8</v>
      </c>
      <c r="N315" s="5">
        <v>254</v>
      </c>
      <c r="O315" s="3">
        <v>45830</v>
      </c>
      <c r="P315" s="2" t="s">
        <v>40</v>
      </c>
      <c r="Q315" s="2" t="s">
        <v>78</v>
      </c>
      <c r="R315" s="2" t="s">
        <v>149</v>
      </c>
      <c r="S315" s="2" t="s">
        <v>150</v>
      </c>
      <c r="T315" s="2" t="s">
        <v>134</v>
      </c>
    </row>
    <row r="316" spans="1:20" ht="12.5" x14ac:dyDescent="0.25">
      <c r="A316" s="2" t="s">
        <v>1264</v>
      </c>
      <c r="B316" s="2" t="s">
        <v>1265</v>
      </c>
      <c r="C316" s="2" t="s">
        <v>1266</v>
      </c>
      <c r="D316" s="2" t="s">
        <v>1267</v>
      </c>
      <c r="E316" s="2" t="s">
        <v>37</v>
      </c>
      <c r="F316" s="2" t="s">
        <v>38</v>
      </c>
      <c r="G316" s="5">
        <v>2014</v>
      </c>
      <c r="H316" s="5">
        <v>30</v>
      </c>
      <c r="I316" s="5">
        <v>1410</v>
      </c>
      <c r="J316" s="5">
        <v>1</v>
      </c>
      <c r="K316" s="2" t="s">
        <v>261</v>
      </c>
      <c r="L316" s="2" t="s">
        <v>168</v>
      </c>
      <c r="M316" s="4">
        <v>4.0999999999999996</v>
      </c>
      <c r="N316" s="5">
        <v>243</v>
      </c>
      <c r="O316" s="3">
        <v>45837</v>
      </c>
      <c r="P316" s="2" t="s">
        <v>57</v>
      </c>
      <c r="Q316" s="2" t="s">
        <v>29</v>
      </c>
      <c r="R316" s="2" t="s">
        <v>30</v>
      </c>
      <c r="S316" s="2" t="s">
        <v>31</v>
      </c>
      <c r="T316" s="2" t="s">
        <v>32</v>
      </c>
    </row>
    <row r="317" spans="1:20" ht="12.5" x14ac:dyDescent="0.25">
      <c r="A317" s="2" t="s">
        <v>1268</v>
      </c>
      <c r="B317" s="2" t="s">
        <v>1269</v>
      </c>
      <c r="C317" s="2" t="s">
        <v>1270</v>
      </c>
      <c r="D317" s="2" t="s">
        <v>1271</v>
      </c>
      <c r="E317" s="2" t="s">
        <v>24</v>
      </c>
      <c r="F317" s="2" t="s">
        <v>25</v>
      </c>
      <c r="G317" s="5">
        <v>4605</v>
      </c>
      <c r="H317" s="5">
        <v>15</v>
      </c>
      <c r="I317" s="5">
        <v>3915</v>
      </c>
      <c r="J317" s="5">
        <v>2</v>
      </c>
      <c r="K317" s="2" t="s">
        <v>261</v>
      </c>
      <c r="L317" s="2" t="s">
        <v>88</v>
      </c>
      <c r="M317" s="4">
        <v>4.0999999999999996</v>
      </c>
      <c r="N317" s="5">
        <v>40</v>
      </c>
      <c r="O317" s="3">
        <v>45848</v>
      </c>
      <c r="P317" s="2" t="s">
        <v>28</v>
      </c>
      <c r="Q317" s="2" t="s">
        <v>65</v>
      </c>
      <c r="R317" s="2" t="s">
        <v>110</v>
      </c>
      <c r="S317" s="2" t="s">
        <v>111</v>
      </c>
      <c r="T317" s="2" t="s">
        <v>32</v>
      </c>
    </row>
    <row r="318" spans="1:20" ht="12.5" x14ac:dyDescent="0.25">
      <c r="A318" s="2" t="s">
        <v>1272</v>
      </c>
      <c r="B318" s="2" t="s">
        <v>1273</v>
      </c>
      <c r="C318" s="2" t="s">
        <v>1274</v>
      </c>
      <c r="D318" s="2" t="s">
        <v>1275</v>
      </c>
      <c r="E318" s="2" t="s">
        <v>208</v>
      </c>
      <c r="F318" s="2" t="s">
        <v>117</v>
      </c>
      <c r="G318" s="5">
        <v>2449</v>
      </c>
      <c r="H318" s="5">
        <v>30</v>
      </c>
      <c r="I318" s="5">
        <v>1715</v>
      </c>
      <c r="J318" s="5">
        <v>3</v>
      </c>
      <c r="K318" s="2" t="s">
        <v>261</v>
      </c>
      <c r="L318" s="2" t="s">
        <v>209</v>
      </c>
      <c r="M318" s="4">
        <v>3.6</v>
      </c>
      <c r="N318" s="5">
        <v>255</v>
      </c>
      <c r="O318" s="3">
        <v>45834</v>
      </c>
      <c r="P318" s="2" t="s">
        <v>57</v>
      </c>
      <c r="Q318" s="2" t="s">
        <v>78</v>
      </c>
      <c r="R318" s="2" t="s">
        <v>30</v>
      </c>
      <c r="S318" s="2" t="s">
        <v>31</v>
      </c>
      <c r="T318" s="2" t="s">
        <v>32</v>
      </c>
    </row>
    <row r="319" spans="1:20" ht="12.5" x14ac:dyDescent="0.25">
      <c r="A319" s="2" t="s">
        <v>1276</v>
      </c>
      <c r="B319" s="2" t="s">
        <v>1277</v>
      </c>
      <c r="C319" s="2" t="s">
        <v>1278</v>
      </c>
      <c r="D319" s="2" t="s">
        <v>1279</v>
      </c>
      <c r="E319" s="2" t="s">
        <v>132</v>
      </c>
      <c r="F319" s="2" t="s">
        <v>38</v>
      </c>
      <c r="G319" s="5">
        <v>3269</v>
      </c>
      <c r="H319" s="5">
        <v>10</v>
      </c>
      <c r="I319" s="5">
        <v>2943</v>
      </c>
      <c r="J319" s="5">
        <v>2</v>
      </c>
      <c r="K319" s="2" t="s">
        <v>56</v>
      </c>
      <c r="L319" s="2" t="s">
        <v>103</v>
      </c>
      <c r="M319" s="4">
        <v>4</v>
      </c>
      <c r="N319" s="5">
        <v>143</v>
      </c>
      <c r="O319" s="3">
        <v>45807</v>
      </c>
      <c r="P319" s="2" t="s">
        <v>28</v>
      </c>
      <c r="Q319" s="2" t="s">
        <v>78</v>
      </c>
      <c r="R319" s="2" t="s">
        <v>185</v>
      </c>
      <c r="S319" s="2" t="s">
        <v>186</v>
      </c>
      <c r="T319" s="2" t="s">
        <v>32</v>
      </c>
    </row>
    <row r="320" spans="1:20" ht="12.5" x14ac:dyDescent="0.25">
      <c r="A320" s="2" t="s">
        <v>1280</v>
      </c>
      <c r="B320" s="2" t="s">
        <v>1236</v>
      </c>
      <c r="C320" s="2" t="s">
        <v>1281</v>
      </c>
      <c r="D320" s="2" t="s">
        <v>1282</v>
      </c>
      <c r="E320" s="2" t="s">
        <v>116</v>
      </c>
      <c r="F320" s="2" t="s">
        <v>117</v>
      </c>
      <c r="G320" s="5">
        <v>3039</v>
      </c>
      <c r="H320" s="5">
        <v>25</v>
      </c>
      <c r="I320" s="5">
        <v>2280</v>
      </c>
      <c r="J320" s="5">
        <v>1</v>
      </c>
      <c r="K320" s="2">
        <v>42</v>
      </c>
      <c r="L320" s="2" t="s">
        <v>64</v>
      </c>
      <c r="M320" s="4">
        <v>4.3</v>
      </c>
      <c r="N320" s="5">
        <v>194</v>
      </c>
      <c r="O320" s="3">
        <v>45816</v>
      </c>
      <c r="P320" s="2" t="s">
        <v>28</v>
      </c>
      <c r="Q320" s="2" t="s">
        <v>78</v>
      </c>
      <c r="R320" s="2" t="s">
        <v>185</v>
      </c>
      <c r="S320" s="2" t="s">
        <v>186</v>
      </c>
      <c r="T320" s="2" t="s">
        <v>32</v>
      </c>
    </row>
    <row r="321" spans="1:20" ht="12.5" x14ac:dyDescent="0.25">
      <c r="A321" s="2" t="s">
        <v>1283</v>
      </c>
      <c r="B321" s="2" t="s">
        <v>1284</v>
      </c>
      <c r="C321" s="2" t="s">
        <v>1285</v>
      </c>
      <c r="D321" s="2" t="s">
        <v>1286</v>
      </c>
      <c r="E321" s="2" t="s">
        <v>132</v>
      </c>
      <c r="F321" s="2" t="s">
        <v>38</v>
      </c>
      <c r="G321" s="5">
        <v>1391</v>
      </c>
      <c r="H321" s="5">
        <v>10</v>
      </c>
      <c r="I321" s="5">
        <v>1252</v>
      </c>
      <c r="J321" s="5">
        <v>1</v>
      </c>
      <c r="K321" s="2">
        <v>42</v>
      </c>
      <c r="L321" s="2" t="s">
        <v>209</v>
      </c>
      <c r="M321" s="4">
        <v>4.3</v>
      </c>
      <c r="N321" s="5">
        <v>58</v>
      </c>
      <c r="O321" s="3">
        <v>45852</v>
      </c>
      <c r="P321" s="2" t="s">
        <v>40</v>
      </c>
      <c r="Q321" s="2" t="s">
        <v>29</v>
      </c>
      <c r="R321" s="2" t="s">
        <v>104</v>
      </c>
      <c r="S321" s="2" t="s">
        <v>105</v>
      </c>
      <c r="T321" s="2" t="s">
        <v>32</v>
      </c>
    </row>
    <row r="322" spans="1:20" ht="12.5" x14ac:dyDescent="0.25">
      <c r="A322" s="2" t="s">
        <v>1287</v>
      </c>
      <c r="B322" s="2" t="s">
        <v>1288</v>
      </c>
      <c r="C322" s="2" t="s">
        <v>1289</v>
      </c>
      <c r="D322" s="2" t="s">
        <v>1290</v>
      </c>
      <c r="E322" s="2" t="s">
        <v>208</v>
      </c>
      <c r="F322" s="2" t="s">
        <v>117</v>
      </c>
      <c r="G322" s="5">
        <v>2541</v>
      </c>
      <c r="H322" s="5">
        <v>10</v>
      </c>
      <c r="I322" s="5">
        <v>2287</v>
      </c>
      <c r="J322" s="5">
        <v>1</v>
      </c>
      <c r="K322" s="2" t="s">
        <v>261</v>
      </c>
      <c r="L322" s="2" t="s">
        <v>133</v>
      </c>
      <c r="M322" s="4">
        <v>3.6</v>
      </c>
      <c r="N322" s="5">
        <v>205</v>
      </c>
      <c r="O322" s="3">
        <v>45797</v>
      </c>
      <c r="P322" s="2" t="s">
        <v>40</v>
      </c>
      <c r="Q322" s="2" t="s">
        <v>65</v>
      </c>
      <c r="R322" s="2" t="s">
        <v>66</v>
      </c>
      <c r="S322" s="2" t="s">
        <v>67</v>
      </c>
      <c r="T322" s="2" t="s">
        <v>50</v>
      </c>
    </row>
    <row r="323" spans="1:20" ht="12.5" x14ac:dyDescent="0.25">
      <c r="A323" s="2" t="s">
        <v>1291</v>
      </c>
      <c r="B323" s="2" t="s">
        <v>1292</v>
      </c>
      <c r="C323" s="2" t="s">
        <v>1293</v>
      </c>
      <c r="D323" s="2" t="s">
        <v>1294</v>
      </c>
      <c r="E323" s="2" t="s">
        <v>48</v>
      </c>
      <c r="F323" s="2" t="s">
        <v>25</v>
      </c>
      <c r="G323" s="5">
        <v>4987</v>
      </c>
      <c r="H323" s="5">
        <v>20</v>
      </c>
      <c r="I323" s="5">
        <v>3990</v>
      </c>
      <c r="J323" s="5">
        <v>3</v>
      </c>
      <c r="K323" s="2" t="s">
        <v>26</v>
      </c>
      <c r="L323" s="2" t="s">
        <v>168</v>
      </c>
      <c r="M323" s="4">
        <v>4.0999999999999996</v>
      </c>
      <c r="N323" s="5">
        <v>19</v>
      </c>
      <c r="O323" s="3">
        <v>45843</v>
      </c>
      <c r="P323" s="2" t="s">
        <v>28</v>
      </c>
      <c r="Q323" s="2" t="s">
        <v>65</v>
      </c>
      <c r="R323" s="2" t="s">
        <v>58</v>
      </c>
      <c r="S323" s="2" t="s">
        <v>59</v>
      </c>
      <c r="T323" s="2" t="s">
        <v>32</v>
      </c>
    </row>
    <row r="324" spans="1:20" ht="12.5" x14ac:dyDescent="0.25">
      <c r="A324" s="2" t="s">
        <v>1295</v>
      </c>
      <c r="B324" s="2" t="s">
        <v>152</v>
      </c>
      <c r="C324" s="2" t="s">
        <v>1296</v>
      </c>
      <c r="D324" s="2" t="s">
        <v>1297</v>
      </c>
      <c r="E324" s="2" t="s">
        <v>116</v>
      </c>
      <c r="F324" s="2" t="s">
        <v>117</v>
      </c>
      <c r="G324" s="5">
        <v>4266</v>
      </c>
      <c r="H324" s="5">
        <v>15</v>
      </c>
      <c r="I324" s="5">
        <v>3627</v>
      </c>
      <c r="J324" s="5">
        <v>1</v>
      </c>
      <c r="K324" s="2">
        <v>40</v>
      </c>
      <c r="L324" s="2" t="s">
        <v>73</v>
      </c>
      <c r="M324" s="4">
        <v>4.4000000000000004</v>
      </c>
      <c r="N324" s="5">
        <v>187</v>
      </c>
      <c r="O324" s="3">
        <v>45846</v>
      </c>
      <c r="P324" s="2" t="s">
        <v>40</v>
      </c>
      <c r="Q324" s="2" t="s">
        <v>78</v>
      </c>
      <c r="R324" s="2" t="s">
        <v>89</v>
      </c>
      <c r="S324" s="2" t="s">
        <v>90</v>
      </c>
      <c r="T324" s="2" t="s">
        <v>203</v>
      </c>
    </row>
    <row r="325" spans="1:20" ht="12.5" x14ac:dyDescent="0.25">
      <c r="A325" s="2" t="s">
        <v>1298</v>
      </c>
      <c r="B325" s="2" t="s">
        <v>1018</v>
      </c>
      <c r="C325" s="2" t="s">
        <v>1299</v>
      </c>
      <c r="D325" s="2" t="s">
        <v>1300</v>
      </c>
      <c r="E325" s="2" t="s">
        <v>24</v>
      </c>
      <c r="F325" s="2" t="s">
        <v>25</v>
      </c>
      <c r="G325" s="5">
        <v>3300</v>
      </c>
      <c r="H325" s="5">
        <v>40</v>
      </c>
      <c r="I325" s="5">
        <v>1980</v>
      </c>
      <c r="J325" s="5">
        <v>3</v>
      </c>
      <c r="K325" s="2" t="s">
        <v>163</v>
      </c>
      <c r="L325" s="2" t="s">
        <v>39</v>
      </c>
      <c r="M325" s="4">
        <v>4.3</v>
      </c>
      <c r="N325" s="5">
        <v>219</v>
      </c>
      <c r="O325" s="3">
        <v>45785</v>
      </c>
      <c r="P325" s="2" t="s">
        <v>28</v>
      </c>
      <c r="Q325" s="2" t="s">
        <v>78</v>
      </c>
      <c r="R325" s="2" t="s">
        <v>83</v>
      </c>
      <c r="S325" s="2" t="s">
        <v>83</v>
      </c>
      <c r="T325" s="2" t="s">
        <v>32</v>
      </c>
    </row>
    <row r="326" spans="1:20" ht="12.5" x14ac:dyDescent="0.25">
      <c r="A326" s="2" t="s">
        <v>1301</v>
      </c>
      <c r="B326" s="2" t="s">
        <v>791</v>
      </c>
      <c r="C326" s="2" t="s">
        <v>1302</v>
      </c>
      <c r="D326" s="2" t="s">
        <v>1303</v>
      </c>
      <c r="E326" s="2" t="s">
        <v>24</v>
      </c>
      <c r="F326" s="2" t="s">
        <v>25</v>
      </c>
      <c r="G326" s="5">
        <v>3283</v>
      </c>
      <c r="H326" s="5">
        <v>10</v>
      </c>
      <c r="I326" s="5">
        <v>2955</v>
      </c>
      <c r="J326" s="5">
        <v>2</v>
      </c>
      <c r="K326" s="2" t="s">
        <v>56</v>
      </c>
      <c r="L326" s="2" t="s">
        <v>168</v>
      </c>
      <c r="M326" s="4">
        <v>3.6</v>
      </c>
      <c r="N326" s="5">
        <v>255</v>
      </c>
      <c r="O326" s="3">
        <v>45837</v>
      </c>
      <c r="P326" s="2" t="s">
        <v>28</v>
      </c>
      <c r="Q326" s="2" t="s">
        <v>29</v>
      </c>
      <c r="R326" s="2" t="s">
        <v>66</v>
      </c>
      <c r="S326" s="2" t="s">
        <v>67</v>
      </c>
      <c r="T326" s="2" t="s">
        <v>32</v>
      </c>
    </row>
    <row r="327" spans="1:20" ht="12.5" x14ac:dyDescent="0.25">
      <c r="A327" s="2" t="s">
        <v>1304</v>
      </c>
      <c r="B327" s="2" t="s">
        <v>1305</v>
      </c>
      <c r="C327" s="2" t="s">
        <v>1306</v>
      </c>
      <c r="D327" s="2" t="s">
        <v>1307</v>
      </c>
      <c r="E327" s="2" t="s">
        <v>147</v>
      </c>
      <c r="F327" s="2" t="s">
        <v>148</v>
      </c>
      <c r="G327" s="5">
        <v>2978</v>
      </c>
      <c r="H327" s="5">
        <v>30</v>
      </c>
      <c r="I327" s="5">
        <v>2085</v>
      </c>
      <c r="J327" s="5">
        <v>2</v>
      </c>
      <c r="K327" s="2" t="s">
        <v>72</v>
      </c>
      <c r="L327" s="2" t="s">
        <v>133</v>
      </c>
      <c r="M327" s="4">
        <v>4.8</v>
      </c>
      <c r="N327" s="5">
        <v>299</v>
      </c>
      <c r="O327" s="3">
        <v>45810</v>
      </c>
      <c r="P327" s="2" t="s">
        <v>57</v>
      </c>
      <c r="Q327" s="2" t="s">
        <v>29</v>
      </c>
      <c r="R327" s="2" t="s">
        <v>41</v>
      </c>
      <c r="S327" s="2" t="s">
        <v>42</v>
      </c>
      <c r="T327" s="2" t="s">
        <v>32</v>
      </c>
    </row>
    <row r="328" spans="1:20" ht="12.5" x14ac:dyDescent="0.25">
      <c r="A328" s="2" t="s">
        <v>1308</v>
      </c>
      <c r="B328" s="2" t="s">
        <v>400</v>
      </c>
      <c r="C328" s="2" t="s">
        <v>1309</v>
      </c>
      <c r="D328" s="2" t="s">
        <v>1310</v>
      </c>
      <c r="E328" s="2" t="s">
        <v>247</v>
      </c>
      <c r="F328" s="2" t="s">
        <v>248</v>
      </c>
      <c r="G328" s="5">
        <v>3578</v>
      </c>
      <c r="H328" s="5">
        <v>20</v>
      </c>
      <c r="I328" s="5">
        <v>2863</v>
      </c>
      <c r="J328" s="5">
        <v>2</v>
      </c>
      <c r="K328" s="2" t="s">
        <v>163</v>
      </c>
      <c r="L328" s="2" t="s">
        <v>168</v>
      </c>
      <c r="M328" s="4">
        <v>4.7</v>
      </c>
      <c r="N328" s="5">
        <v>158</v>
      </c>
      <c r="O328" s="3">
        <v>45772</v>
      </c>
      <c r="P328" s="2" t="s">
        <v>40</v>
      </c>
      <c r="Q328" s="2" t="s">
        <v>65</v>
      </c>
      <c r="R328" s="2" t="s">
        <v>89</v>
      </c>
      <c r="S328" s="2" t="s">
        <v>90</v>
      </c>
      <c r="T328" s="2" t="s">
        <v>203</v>
      </c>
    </row>
    <row r="329" spans="1:20" ht="12.5" x14ac:dyDescent="0.25">
      <c r="A329" s="2" t="s">
        <v>1311</v>
      </c>
      <c r="B329" s="2" t="s">
        <v>75</v>
      </c>
      <c r="C329" s="2" t="s">
        <v>1312</v>
      </c>
      <c r="D329" s="2" t="s">
        <v>1313</v>
      </c>
      <c r="E329" s="2" t="s">
        <v>208</v>
      </c>
      <c r="F329" s="2" t="s">
        <v>117</v>
      </c>
      <c r="G329" s="5">
        <v>4285</v>
      </c>
      <c r="H329" s="5">
        <v>35</v>
      </c>
      <c r="I329" s="5">
        <v>2786</v>
      </c>
      <c r="J329" s="5">
        <v>1</v>
      </c>
      <c r="K329" s="2" t="s">
        <v>26</v>
      </c>
      <c r="L329" s="2" t="s">
        <v>49</v>
      </c>
      <c r="M329" s="4">
        <v>4.5</v>
      </c>
      <c r="N329" s="5">
        <v>274</v>
      </c>
      <c r="O329" s="3">
        <v>45845</v>
      </c>
      <c r="P329" s="2" t="s">
        <v>28</v>
      </c>
      <c r="Q329" s="2" t="s">
        <v>29</v>
      </c>
      <c r="R329" s="2" t="s">
        <v>41</v>
      </c>
      <c r="S329" s="2" t="s">
        <v>42</v>
      </c>
      <c r="T329" s="2" t="s">
        <v>32</v>
      </c>
    </row>
    <row r="330" spans="1:20" ht="12.5" x14ac:dyDescent="0.25">
      <c r="A330" s="2" t="s">
        <v>1314</v>
      </c>
      <c r="B330" s="2" t="s">
        <v>839</v>
      </c>
      <c r="C330" s="2" t="s">
        <v>1315</v>
      </c>
      <c r="D330" s="2" t="s">
        <v>1316</v>
      </c>
      <c r="E330" s="2" t="s">
        <v>24</v>
      </c>
      <c r="F330" s="2" t="s">
        <v>25</v>
      </c>
      <c r="G330" s="5">
        <v>3115</v>
      </c>
      <c r="H330" s="5">
        <v>10</v>
      </c>
      <c r="I330" s="5">
        <v>2804</v>
      </c>
      <c r="J330" s="5">
        <v>1</v>
      </c>
      <c r="K330" s="2" t="s">
        <v>72</v>
      </c>
      <c r="L330" s="2" t="s">
        <v>168</v>
      </c>
      <c r="M330" s="4">
        <v>3.6</v>
      </c>
      <c r="N330" s="5">
        <v>288</v>
      </c>
      <c r="O330" s="3">
        <v>45828</v>
      </c>
      <c r="P330" s="2" t="s">
        <v>28</v>
      </c>
      <c r="Q330" s="2" t="s">
        <v>29</v>
      </c>
      <c r="R330" s="2" t="s">
        <v>104</v>
      </c>
      <c r="S330" s="2" t="s">
        <v>105</v>
      </c>
      <c r="T330" s="2" t="s">
        <v>32</v>
      </c>
    </row>
    <row r="331" spans="1:20" ht="12.5" x14ac:dyDescent="0.25">
      <c r="A331" s="2" t="s">
        <v>1317</v>
      </c>
      <c r="B331" s="2" t="s">
        <v>1318</v>
      </c>
      <c r="C331" s="2" t="s">
        <v>1319</v>
      </c>
      <c r="D331" s="2" t="s">
        <v>1320</v>
      </c>
      <c r="E331" s="2" t="s">
        <v>48</v>
      </c>
      <c r="F331" s="2" t="s">
        <v>25</v>
      </c>
      <c r="G331" s="5">
        <v>2076</v>
      </c>
      <c r="H331" s="5">
        <v>10</v>
      </c>
      <c r="I331" s="5">
        <v>1869</v>
      </c>
      <c r="J331" s="5">
        <v>3</v>
      </c>
      <c r="K331" s="2">
        <v>44</v>
      </c>
      <c r="L331" s="2" t="s">
        <v>88</v>
      </c>
      <c r="M331" s="4">
        <v>4</v>
      </c>
      <c r="N331" s="5">
        <v>248</v>
      </c>
      <c r="O331" s="3">
        <v>45778</v>
      </c>
      <c r="P331" s="2" t="s">
        <v>40</v>
      </c>
      <c r="Q331" s="2" t="s">
        <v>29</v>
      </c>
      <c r="R331" s="2" t="s">
        <v>185</v>
      </c>
      <c r="S331" s="2" t="s">
        <v>186</v>
      </c>
      <c r="T331" s="2" t="s">
        <v>203</v>
      </c>
    </row>
    <row r="332" spans="1:20" ht="12.5" x14ac:dyDescent="0.25">
      <c r="A332" s="2" t="s">
        <v>1321</v>
      </c>
      <c r="B332" s="2" t="s">
        <v>271</v>
      </c>
      <c r="C332" s="2" t="s">
        <v>1322</v>
      </c>
      <c r="D332" s="2" t="s">
        <v>1323</v>
      </c>
      <c r="E332" s="2" t="s">
        <v>48</v>
      </c>
      <c r="F332" s="2" t="s">
        <v>25</v>
      </c>
      <c r="G332" s="5">
        <v>4851</v>
      </c>
      <c r="H332" s="5">
        <v>40</v>
      </c>
      <c r="I332" s="5">
        <v>2911</v>
      </c>
      <c r="J332" s="5">
        <v>2</v>
      </c>
      <c r="K332" s="2" t="s">
        <v>163</v>
      </c>
      <c r="L332" s="2" t="s">
        <v>73</v>
      </c>
      <c r="M332" s="4">
        <v>4.9000000000000004</v>
      </c>
      <c r="N332" s="5">
        <v>145</v>
      </c>
      <c r="O332" s="3">
        <v>45779</v>
      </c>
      <c r="P332" s="2" t="s">
        <v>28</v>
      </c>
      <c r="Q332" s="2" t="s">
        <v>65</v>
      </c>
      <c r="R332" s="2" t="s">
        <v>58</v>
      </c>
      <c r="S332" s="2" t="s">
        <v>59</v>
      </c>
      <c r="T332" s="2" t="s">
        <v>32</v>
      </c>
    </row>
    <row r="333" spans="1:20" ht="12.5" x14ac:dyDescent="0.25">
      <c r="A333" s="2" t="s">
        <v>1324</v>
      </c>
      <c r="B333" s="2" t="s">
        <v>1325</v>
      </c>
      <c r="C333" s="2" t="s">
        <v>1326</v>
      </c>
      <c r="D333" s="2" t="s">
        <v>1327</v>
      </c>
      <c r="E333" s="2" t="s">
        <v>48</v>
      </c>
      <c r="F333" s="2" t="s">
        <v>25</v>
      </c>
      <c r="G333" s="5">
        <v>3223</v>
      </c>
      <c r="H333" s="5">
        <v>20</v>
      </c>
      <c r="I333" s="5">
        <v>2579</v>
      </c>
      <c r="J333" s="5">
        <v>1</v>
      </c>
      <c r="K333" s="2" t="s">
        <v>56</v>
      </c>
      <c r="L333" s="2" t="s">
        <v>64</v>
      </c>
      <c r="M333" s="4">
        <v>4.5999999999999996</v>
      </c>
      <c r="N333" s="5">
        <v>284</v>
      </c>
      <c r="O333" s="3">
        <v>45770</v>
      </c>
      <c r="P333" s="2" t="s">
        <v>57</v>
      </c>
      <c r="Q333" s="2" t="s">
        <v>78</v>
      </c>
      <c r="R333" s="2" t="s">
        <v>58</v>
      </c>
      <c r="S333" s="2" t="s">
        <v>59</v>
      </c>
      <c r="T333" s="2" t="s">
        <v>32</v>
      </c>
    </row>
    <row r="334" spans="1:20" ht="12.5" x14ac:dyDescent="0.25">
      <c r="A334" s="2" t="s">
        <v>1328</v>
      </c>
      <c r="B334" s="2" t="s">
        <v>456</v>
      </c>
      <c r="C334" s="2" t="s">
        <v>1329</v>
      </c>
      <c r="D334" s="2" t="s">
        <v>1330</v>
      </c>
      <c r="E334" s="2" t="s">
        <v>55</v>
      </c>
      <c r="F334" s="2" t="s">
        <v>38</v>
      </c>
      <c r="G334" s="5">
        <v>3210</v>
      </c>
      <c r="H334" s="5">
        <v>25</v>
      </c>
      <c r="I334" s="5">
        <v>2408</v>
      </c>
      <c r="J334" s="5">
        <v>2</v>
      </c>
      <c r="K334" s="2">
        <v>44</v>
      </c>
      <c r="L334" s="2" t="s">
        <v>168</v>
      </c>
      <c r="M334" s="4">
        <v>4.0999999999999996</v>
      </c>
      <c r="N334" s="5">
        <v>192</v>
      </c>
      <c r="O334" s="3">
        <v>45797</v>
      </c>
      <c r="P334" s="2" t="s">
        <v>28</v>
      </c>
      <c r="Q334" s="2" t="s">
        <v>29</v>
      </c>
      <c r="R334" s="2" t="s">
        <v>104</v>
      </c>
      <c r="S334" s="2" t="s">
        <v>105</v>
      </c>
      <c r="T334" s="2" t="s">
        <v>32</v>
      </c>
    </row>
    <row r="335" spans="1:20" ht="12.5" x14ac:dyDescent="0.25">
      <c r="A335" s="2" t="s">
        <v>1331</v>
      </c>
      <c r="B335" s="2" t="s">
        <v>1332</v>
      </c>
      <c r="C335" s="2" t="s">
        <v>1333</v>
      </c>
      <c r="D335" s="2" t="s">
        <v>1334</v>
      </c>
      <c r="E335" s="2" t="s">
        <v>208</v>
      </c>
      <c r="F335" s="2" t="s">
        <v>117</v>
      </c>
      <c r="G335" s="5">
        <v>4572</v>
      </c>
      <c r="H335" s="5">
        <v>15</v>
      </c>
      <c r="I335" s="5">
        <v>3887</v>
      </c>
      <c r="J335" s="5">
        <v>3</v>
      </c>
      <c r="K335" s="2" t="s">
        <v>26</v>
      </c>
      <c r="L335" s="2" t="s">
        <v>103</v>
      </c>
      <c r="M335" s="4">
        <v>4.2</v>
      </c>
      <c r="N335" s="5">
        <v>11</v>
      </c>
      <c r="O335" s="3">
        <v>45798</v>
      </c>
      <c r="P335" s="2" t="s">
        <v>28</v>
      </c>
      <c r="Q335" s="2" t="s">
        <v>29</v>
      </c>
      <c r="R335" s="2" t="s">
        <v>89</v>
      </c>
      <c r="S335" s="2" t="s">
        <v>90</v>
      </c>
      <c r="T335" s="2" t="s">
        <v>32</v>
      </c>
    </row>
    <row r="336" spans="1:20" ht="12.5" x14ac:dyDescent="0.25">
      <c r="A336" s="2" t="s">
        <v>1335</v>
      </c>
      <c r="B336" s="2" t="s">
        <v>1336</v>
      </c>
      <c r="C336" s="2" t="s">
        <v>1337</v>
      </c>
      <c r="D336" s="2" t="s">
        <v>1338</v>
      </c>
      <c r="E336" s="2" t="s">
        <v>132</v>
      </c>
      <c r="F336" s="2" t="s">
        <v>38</v>
      </c>
      <c r="G336" s="5">
        <v>3145</v>
      </c>
      <c r="H336" s="5">
        <v>20</v>
      </c>
      <c r="I336" s="5">
        <v>2516</v>
      </c>
      <c r="J336" s="5">
        <v>3</v>
      </c>
      <c r="K336" s="2" t="s">
        <v>72</v>
      </c>
      <c r="L336" s="2" t="s">
        <v>209</v>
      </c>
      <c r="M336" s="4">
        <v>3.6</v>
      </c>
      <c r="N336" s="5">
        <v>132</v>
      </c>
      <c r="O336" s="3">
        <v>45843</v>
      </c>
      <c r="P336" s="2" t="s">
        <v>57</v>
      </c>
      <c r="Q336" s="2" t="s">
        <v>65</v>
      </c>
      <c r="R336" s="2" t="s">
        <v>89</v>
      </c>
      <c r="S336" s="2" t="s">
        <v>90</v>
      </c>
      <c r="T336" s="2" t="s">
        <v>32</v>
      </c>
    </row>
    <row r="337" spans="1:20" ht="12.5" x14ac:dyDescent="0.25">
      <c r="A337" s="2" t="s">
        <v>1339</v>
      </c>
      <c r="B337" s="2" t="s">
        <v>436</v>
      </c>
      <c r="C337" s="2" t="s">
        <v>1340</v>
      </c>
      <c r="D337" s="2" t="s">
        <v>1341</v>
      </c>
      <c r="E337" s="2" t="s">
        <v>37</v>
      </c>
      <c r="F337" s="2" t="s">
        <v>38</v>
      </c>
      <c r="G337" s="5">
        <v>4846</v>
      </c>
      <c r="H337" s="5">
        <v>30</v>
      </c>
      <c r="I337" s="5">
        <v>3393</v>
      </c>
      <c r="J337" s="5">
        <v>2</v>
      </c>
      <c r="K337" s="2" t="s">
        <v>32</v>
      </c>
      <c r="L337" s="2" t="s">
        <v>39</v>
      </c>
      <c r="M337" s="4">
        <v>4.3</v>
      </c>
      <c r="N337" s="5">
        <v>261</v>
      </c>
      <c r="O337" s="3">
        <v>45804</v>
      </c>
      <c r="P337" s="2" t="s">
        <v>28</v>
      </c>
      <c r="Q337" s="2" t="s">
        <v>29</v>
      </c>
      <c r="R337" s="2" t="s">
        <v>104</v>
      </c>
      <c r="S337" s="2" t="s">
        <v>105</v>
      </c>
      <c r="T337" s="2" t="s">
        <v>32</v>
      </c>
    </row>
    <row r="338" spans="1:20" ht="12.5" x14ac:dyDescent="0.25">
      <c r="A338" s="2" t="s">
        <v>1342</v>
      </c>
      <c r="B338" s="2" t="s">
        <v>61</v>
      </c>
      <c r="C338" s="2" t="s">
        <v>1343</v>
      </c>
      <c r="D338" s="2" t="s">
        <v>1344</v>
      </c>
      <c r="E338" s="2" t="s">
        <v>122</v>
      </c>
      <c r="F338" s="2" t="s">
        <v>123</v>
      </c>
      <c r="G338" s="5">
        <v>4938</v>
      </c>
      <c r="H338" s="5">
        <v>25</v>
      </c>
      <c r="I338" s="5">
        <v>3704</v>
      </c>
      <c r="J338" s="5">
        <v>1</v>
      </c>
      <c r="K338" s="2" t="s">
        <v>32</v>
      </c>
      <c r="L338" s="2" t="s">
        <v>133</v>
      </c>
      <c r="M338" s="4">
        <v>4.3</v>
      </c>
      <c r="N338" s="5">
        <v>10</v>
      </c>
      <c r="O338" s="3">
        <v>45844</v>
      </c>
      <c r="P338" s="2" t="s">
        <v>28</v>
      </c>
      <c r="Q338" s="2" t="s">
        <v>78</v>
      </c>
      <c r="R338" s="2" t="s">
        <v>83</v>
      </c>
      <c r="S338" s="2" t="s">
        <v>83</v>
      </c>
      <c r="T338" s="2" t="s">
        <v>32</v>
      </c>
    </row>
    <row r="339" spans="1:20" ht="12.5" x14ac:dyDescent="0.25">
      <c r="A339" s="2" t="s">
        <v>1345</v>
      </c>
      <c r="B339" s="2" t="s">
        <v>263</v>
      </c>
      <c r="C339" s="2" t="s">
        <v>1346</v>
      </c>
      <c r="D339" s="2" t="s">
        <v>1347</v>
      </c>
      <c r="E339" s="2" t="s">
        <v>24</v>
      </c>
      <c r="F339" s="2" t="s">
        <v>25</v>
      </c>
      <c r="G339" s="5">
        <v>4175</v>
      </c>
      <c r="H339" s="5">
        <v>25</v>
      </c>
      <c r="I339" s="5">
        <v>3132</v>
      </c>
      <c r="J339" s="5">
        <v>1</v>
      </c>
      <c r="K339" s="2" t="s">
        <v>261</v>
      </c>
      <c r="L339" s="2" t="s">
        <v>88</v>
      </c>
      <c r="M339" s="4">
        <v>3.6</v>
      </c>
      <c r="N339" s="5">
        <v>184</v>
      </c>
      <c r="O339" s="3">
        <v>45839</v>
      </c>
      <c r="P339" s="2" t="s">
        <v>28</v>
      </c>
      <c r="Q339" s="2" t="s">
        <v>78</v>
      </c>
      <c r="R339" s="2" t="s">
        <v>149</v>
      </c>
      <c r="S339" s="2" t="s">
        <v>150</v>
      </c>
      <c r="T339" s="2" t="s">
        <v>32</v>
      </c>
    </row>
    <row r="340" spans="1:20" ht="12.5" x14ac:dyDescent="0.25">
      <c r="A340" s="2" t="s">
        <v>1348</v>
      </c>
      <c r="B340" s="2" t="s">
        <v>1018</v>
      </c>
      <c r="C340" s="2" t="s">
        <v>1349</v>
      </c>
      <c r="D340" s="2" t="s">
        <v>1350</v>
      </c>
      <c r="E340" s="2" t="s">
        <v>247</v>
      </c>
      <c r="F340" s="2" t="s">
        <v>248</v>
      </c>
      <c r="G340" s="5">
        <v>3082</v>
      </c>
      <c r="H340" s="5">
        <v>25</v>
      </c>
      <c r="I340" s="5">
        <v>2312</v>
      </c>
      <c r="J340" s="5">
        <v>1</v>
      </c>
      <c r="K340" s="2" t="s">
        <v>226</v>
      </c>
      <c r="L340" s="2" t="s">
        <v>49</v>
      </c>
      <c r="M340" s="4">
        <v>4.7</v>
      </c>
      <c r="N340" s="5">
        <v>93</v>
      </c>
      <c r="O340" s="3">
        <v>45826</v>
      </c>
      <c r="P340" s="2" t="s">
        <v>28</v>
      </c>
      <c r="Q340" s="2" t="s">
        <v>65</v>
      </c>
      <c r="R340" s="2" t="s">
        <v>89</v>
      </c>
      <c r="S340" s="2" t="s">
        <v>90</v>
      </c>
      <c r="T340" s="2" t="s">
        <v>32</v>
      </c>
    </row>
    <row r="341" spans="1:20" ht="12.5" x14ac:dyDescent="0.25">
      <c r="A341" s="2" t="s">
        <v>1351</v>
      </c>
      <c r="B341" s="2" t="s">
        <v>1352</v>
      </c>
      <c r="C341" s="2" t="s">
        <v>1353</v>
      </c>
      <c r="D341" s="2" t="s">
        <v>1354</v>
      </c>
      <c r="E341" s="2" t="s">
        <v>208</v>
      </c>
      <c r="F341" s="2" t="s">
        <v>117</v>
      </c>
      <c r="G341" s="5">
        <v>1376</v>
      </c>
      <c r="H341" s="5">
        <v>20</v>
      </c>
      <c r="I341" s="5">
        <v>1101</v>
      </c>
      <c r="J341" s="5">
        <v>2</v>
      </c>
      <c r="K341" s="2" t="s">
        <v>226</v>
      </c>
      <c r="L341" s="2" t="s">
        <v>64</v>
      </c>
      <c r="M341" s="4">
        <v>3.7</v>
      </c>
      <c r="N341" s="5">
        <v>16</v>
      </c>
      <c r="O341" s="3">
        <v>45830</v>
      </c>
      <c r="P341" s="2" t="s">
        <v>57</v>
      </c>
      <c r="Q341" s="2" t="s">
        <v>65</v>
      </c>
      <c r="R341" s="2" t="s">
        <v>83</v>
      </c>
      <c r="S341" s="2" t="s">
        <v>83</v>
      </c>
      <c r="T341" s="2" t="s">
        <v>32</v>
      </c>
    </row>
    <row r="342" spans="1:20" ht="12.5" x14ac:dyDescent="0.25">
      <c r="A342" s="2" t="s">
        <v>1355</v>
      </c>
      <c r="B342" s="2" t="s">
        <v>215</v>
      </c>
      <c r="C342" s="2" t="s">
        <v>1356</v>
      </c>
      <c r="D342" s="2" t="s">
        <v>1357</v>
      </c>
      <c r="E342" s="2" t="s">
        <v>147</v>
      </c>
      <c r="F342" s="2" t="s">
        <v>148</v>
      </c>
      <c r="G342" s="5">
        <v>954</v>
      </c>
      <c r="H342" s="5">
        <v>15</v>
      </c>
      <c r="I342" s="5">
        <v>811</v>
      </c>
      <c r="J342" s="5">
        <v>3</v>
      </c>
      <c r="K342" s="2" t="s">
        <v>261</v>
      </c>
      <c r="L342" s="2" t="s">
        <v>103</v>
      </c>
      <c r="M342" s="4">
        <v>4.2</v>
      </c>
      <c r="N342" s="5">
        <v>198</v>
      </c>
      <c r="O342" s="3">
        <v>45821</v>
      </c>
      <c r="P342" s="2" t="s">
        <v>40</v>
      </c>
      <c r="Q342" s="2" t="s">
        <v>65</v>
      </c>
      <c r="R342" s="2" t="s">
        <v>110</v>
      </c>
      <c r="S342" s="2" t="s">
        <v>111</v>
      </c>
      <c r="T342" s="2" t="s">
        <v>32</v>
      </c>
    </row>
    <row r="343" spans="1:20" ht="12.5" x14ac:dyDescent="0.25">
      <c r="A343" s="2" t="s">
        <v>1358</v>
      </c>
      <c r="B343" s="2" t="s">
        <v>1359</v>
      </c>
      <c r="C343" s="2" t="s">
        <v>1360</v>
      </c>
      <c r="D343" s="2" t="s">
        <v>1361</v>
      </c>
      <c r="E343" s="2" t="s">
        <v>122</v>
      </c>
      <c r="F343" s="2" t="s">
        <v>123</v>
      </c>
      <c r="G343" s="5">
        <v>2580</v>
      </c>
      <c r="H343" s="5">
        <v>10</v>
      </c>
      <c r="I343" s="5">
        <v>2322</v>
      </c>
      <c r="J343" s="5">
        <v>2</v>
      </c>
      <c r="K343" s="2" t="s">
        <v>261</v>
      </c>
      <c r="L343" s="2" t="s">
        <v>73</v>
      </c>
      <c r="M343" s="4">
        <v>3.8</v>
      </c>
      <c r="N343" s="5">
        <v>207</v>
      </c>
      <c r="O343" s="3">
        <v>45841</v>
      </c>
      <c r="P343" s="2" t="s">
        <v>40</v>
      </c>
      <c r="Q343" s="2" t="s">
        <v>78</v>
      </c>
      <c r="R343" s="2" t="s">
        <v>89</v>
      </c>
      <c r="S343" s="2" t="s">
        <v>90</v>
      </c>
      <c r="T343" s="2" t="s">
        <v>32</v>
      </c>
    </row>
    <row r="344" spans="1:20" ht="12.5" x14ac:dyDescent="0.25">
      <c r="A344" s="2" t="s">
        <v>1362</v>
      </c>
      <c r="B344" s="2" t="s">
        <v>1363</v>
      </c>
      <c r="C344" s="2" t="s">
        <v>1364</v>
      </c>
      <c r="D344" s="2" t="s">
        <v>1365</v>
      </c>
      <c r="E344" s="2" t="s">
        <v>208</v>
      </c>
      <c r="F344" s="2" t="s">
        <v>117</v>
      </c>
      <c r="G344" s="5">
        <v>3283</v>
      </c>
      <c r="H344" s="5">
        <v>10</v>
      </c>
      <c r="I344" s="5">
        <v>2955</v>
      </c>
      <c r="J344" s="5">
        <v>3</v>
      </c>
      <c r="K344" s="2">
        <v>44</v>
      </c>
      <c r="L344" s="2" t="s">
        <v>133</v>
      </c>
      <c r="M344" s="4">
        <v>4.9000000000000004</v>
      </c>
      <c r="N344" s="5">
        <v>128</v>
      </c>
      <c r="O344" s="3">
        <v>45810</v>
      </c>
      <c r="P344" s="2" t="s">
        <v>40</v>
      </c>
      <c r="Q344" s="2" t="s">
        <v>29</v>
      </c>
      <c r="R344" s="2" t="s">
        <v>185</v>
      </c>
      <c r="S344" s="2" t="s">
        <v>186</v>
      </c>
      <c r="T344" s="2" t="s">
        <v>32</v>
      </c>
    </row>
    <row r="345" spans="1:20" ht="12.5" x14ac:dyDescent="0.25">
      <c r="A345" s="2" t="s">
        <v>1366</v>
      </c>
      <c r="B345" s="2" t="s">
        <v>1367</v>
      </c>
      <c r="C345" s="2" t="s">
        <v>1368</v>
      </c>
      <c r="D345" s="2" t="s">
        <v>1369</v>
      </c>
      <c r="E345" s="2" t="s">
        <v>116</v>
      </c>
      <c r="F345" s="2" t="s">
        <v>117</v>
      </c>
      <c r="G345" s="5">
        <v>2832</v>
      </c>
      <c r="H345" s="5">
        <v>35</v>
      </c>
      <c r="I345" s="5">
        <v>1841</v>
      </c>
      <c r="J345" s="5">
        <v>1</v>
      </c>
      <c r="K345" s="2" t="s">
        <v>72</v>
      </c>
      <c r="L345" s="2" t="s">
        <v>168</v>
      </c>
      <c r="M345" s="4">
        <v>3.8</v>
      </c>
      <c r="N345" s="5">
        <v>129</v>
      </c>
      <c r="O345" s="3">
        <v>45784</v>
      </c>
      <c r="P345" s="2" t="s">
        <v>57</v>
      </c>
      <c r="Q345" s="2" t="s">
        <v>78</v>
      </c>
      <c r="R345" s="2" t="s">
        <v>149</v>
      </c>
      <c r="S345" s="2" t="s">
        <v>150</v>
      </c>
      <c r="T345" s="2" t="s">
        <v>32</v>
      </c>
    </row>
    <row r="346" spans="1:20" ht="12.5" x14ac:dyDescent="0.25">
      <c r="A346" s="2" t="s">
        <v>1370</v>
      </c>
      <c r="B346" s="2" t="s">
        <v>850</v>
      </c>
      <c r="C346" s="2" t="s">
        <v>1371</v>
      </c>
      <c r="D346" s="2" t="s">
        <v>1372</v>
      </c>
      <c r="E346" s="2" t="s">
        <v>122</v>
      </c>
      <c r="F346" s="2" t="s">
        <v>123</v>
      </c>
      <c r="G346" s="5">
        <v>4167</v>
      </c>
      <c r="H346" s="5">
        <v>30</v>
      </c>
      <c r="I346" s="5">
        <v>2917</v>
      </c>
      <c r="J346" s="5">
        <v>3</v>
      </c>
      <c r="K346" s="2">
        <v>44</v>
      </c>
      <c r="L346" s="2" t="s">
        <v>64</v>
      </c>
      <c r="M346" s="4">
        <v>4.0999999999999996</v>
      </c>
      <c r="N346" s="5">
        <v>41</v>
      </c>
      <c r="O346" s="3">
        <v>45824</v>
      </c>
      <c r="P346" s="2" t="s">
        <v>40</v>
      </c>
      <c r="Q346" s="2" t="s">
        <v>65</v>
      </c>
      <c r="R346" s="2" t="s">
        <v>149</v>
      </c>
      <c r="S346" s="2" t="s">
        <v>150</v>
      </c>
      <c r="T346" s="2" t="s">
        <v>134</v>
      </c>
    </row>
    <row r="347" spans="1:20" ht="12.5" x14ac:dyDescent="0.25">
      <c r="A347" s="2" t="s">
        <v>1373</v>
      </c>
      <c r="B347" s="2" t="s">
        <v>1374</v>
      </c>
      <c r="C347" s="2" t="s">
        <v>1375</v>
      </c>
      <c r="D347" s="2" t="s">
        <v>1376</v>
      </c>
      <c r="E347" s="2" t="s">
        <v>247</v>
      </c>
      <c r="F347" s="2" t="s">
        <v>248</v>
      </c>
      <c r="G347" s="5">
        <v>4271</v>
      </c>
      <c r="H347" s="5">
        <v>10</v>
      </c>
      <c r="I347" s="5">
        <v>3844</v>
      </c>
      <c r="J347" s="5">
        <v>2</v>
      </c>
      <c r="K347" s="2" t="s">
        <v>26</v>
      </c>
      <c r="L347" s="2" t="s">
        <v>27</v>
      </c>
      <c r="M347" s="4">
        <v>4.5999999999999996</v>
      </c>
      <c r="N347" s="5">
        <v>41</v>
      </c>
      <c r="O347" s="3">
        <v>45803</v>
      </c>
      <c r="P347" s="2" t="s">
        <v>40</v>
      </c>
      <c r="Q347" s="2" t="s">
        <v>78</v>
      </c>
      <c r="R347" s="2" t="s">
        <v>149</v>
      </c>
      <c r="S347" s="2" t="s">
        <v>150</v>
      </c>
      <c r="T347" s="2" t="s">
        <v>43</v>
      </c>
    </row>
    <row r="348" spans="1:20" ht="12.5" x14ac:dyDescent="0.25">
      <c r="A348" s="2" t="s">
        <v>1377</v>
      </c>
      <c r="B348" s="2" t="s">
        <v>1378</v>
      </c>
      <c r="C348" s="2" t="s">
        <v>1379</v>
      </c>
      <c r="D348" s="2" t="s">
        <v>1380</v>
      </c>
      <c r="E348" s="2" t="s">
        <v>48</v>
      </c>
      <c r="F348" s="2" t="s">
        <v>25</v>
      </c>
      <c r="G348" s="5">
        <v>1963</v>
      </c>
      <c r="H348" s="5">
        <v>20</v>
      </c>
      <c r="I348" s="5">
        <v>1571</v>
      </c>
      <c r="J348" s="5">
        <v>1</v>
      </c>
      <c r="K348" s="2">
        <v>40</v>
      </c>
      <c r="L348" s="2" t="s">
        <v>27</v>
      </c>
      <c r="M348" s="4">
        <v>4.0999999999999996</v>
      </c>
      <c r="N348" s="5">
        <v>176</v>
      </c>
      <c r="O348" s="3">
        <v>45800</v>
      </c>
      <c r="P348" s="2" t="s">
        <v>57</v>
      </c>
      <c r="Q348" s="2" t="s">
        <v>65</v>
      </c>
      <c r="R348" s="2" t="s">
        <v>30</v>
      </c>
      <c r="S348" s="2" t="s">
        <v>31</v>
      </c>
      <c r="T348" s="2" t="s">
        <v>32</v>
      </c>
    </row>
    <row r="349" spans="1:20" ht="12.5" x14ac:dyDescent="0.25">
      <c r="A349" s="2" t="s">
        <v>1381</v>
      </c>
      <c r="B349" s="2" t="s">
        <v>1140</v>
      </c>
      <c r="C349" s="2" t="s">
        <v>1382</v>
      </c>
      <c r="D349" s="2" t="s">
        <v>1383</v>
      </c>
      <c r="E349" s="2" t="s">
        <v>37</v>
      </c>
      <c r="F349" s="2" t="s">
        <v>38</v>
      </c>
      <c r="G349" s="5">
        <v>4941</v>
      </c>
      <c r="H349" s="5">
        <v>30</v>
      </c>
      <c r="I349" s="5">
        <v>3459</v>
      </c>
      <c r="J349" s="5">
        <v>1</v>
      </c>
      <c r="K349" s="2" t="s">
        <v>56</v>
      </c>
      <c r="L349" s="2" t="s">
        <v>103</v>
      </c>
      <c r="M349" s="4">
        <v>4.0999999999999996</v>
      </c>
      <c r="N349" s="5">
        <v>89</v>
      </c>
      <c r="O349" s="3">
        <v>45845</v>
      </c>
      <c r="P349" s="2" t="s">
        <v>40</v>
      </c>
      <c r="Q349" s="2" t="s">
        <v>78</v>
      </c>
      <c r="R349" s="2" t="s">
        <v>41</v>
      </c>
      <c r="S349" s="2" t="s">
        <v>42</v>
      </c>
      <c r="T349" s="2" t="s">
        <v>134</v>
      </c>
    </row>
    <row r="350" spans="1:20" ht="12.5" x14ac:dyDescent="0.25">
      <c r="A350" s="2" t="s">
        <v>1384</v>
      </c>
      <c r="B350" s="2" t="s">
        <v>1385</v>
      </c>
      <c r="C350" s="2" t="s">
        <v>1386</v>
      </c>
      <c r="D350" s="2" t="s">
        <v>1387</v>
      </c>
      <c r="E350" s="2" t="s">
        <v>247</v>
      </c>
      <c r="F350" s="2" t="s">
        <v>248</v>
      </c>
      <c r="G350" s="5">
        <v>1055</v>
      </c>
      <c r="H350" s="5">
        <v>20</v>
      </c>
      <c r="I350" s="5">
        <v>844</v>
      </c>
      <c r="J350" s="5">
        <v>2</v>
      </c>
      <c r="K350" s="2" t="s">
        <v>56</v>
      </c>
      <c r="L350" s="2" t="s">
        <v>49</v>
      </c>
      <c r="M350" s="4">
        <v>4.4000000000000004</v>
      </c>
      <c r="N350" s="5">
        <v>74</v>
      </c>
      <c r="O350" s="3">
        <v>45858</v>
      </c>
      <c r="P350" s="2" t="s">
        <v>57</v>
      </c>
      <c r="Q350" s="2" t="s">
        <v>29</v>
      </c>
      <c r="R350" s="2" t="s">
        <v>149</v>
      </c>
      <c r="S350" s="2" t="s">
        <v>150</v>
      </c>
      <c r="T350" s="2" t="s">
        <v>32</v>
      </c>
    </row>
    <row r="351" spans="1:20" ht="12.5" x14ac:dyDescent="0.25">
      <c r="A351" s="2" t="s">
        <v>1388</v>
      </c>
      <c r="B351" s="2" t="s">
        <v>1389</v>
      </c>
      <c r="C351" s="2" t="s">
        <v>1390</v>
      </c>
      <c r="D351" s="2" t="s">
        <v>1391</v>
      </c>
      <c r="E351" s="2" t="s">
        <v>132</v>
      </c>
      <c r="F351" s="2" t="s">
        <v>38</v>
      </c>
      <c r="G351" s="5">
        <v>2105</v>
      </c>
      <c r="H351" s="5">
        <v>35</v>
      </c>
      <c r="I351" s="5">
        <v>1369</v>
      </c>
      <c r="J351" s="5">
        <v>1</v>
      </c>
      <c r="K351" s="2">
        <v>40</v>
      </c>
      <c r="L351" s="2" t="s">
        <v>64</v>
      </c>
      <c r="M351" s="4">
        <v>4.9000000000000004</v>
      </c>
      <c r="N351" s="5">
        <v>22</v>
      </c>
      <c r="O351" s="3">
        <v>45833</v>
      </c>
      <c r="P351" s="2" t="s">
        <v>57</v>
      </c>
      <c r="Q351" s="2" t="s">
        <v>65</v>
      </c>
      <c r="R351" s="2" t="s">
        <v>30</v>
      </c>
      <c r="S351" s="2" t="s">
        <v>31</v>
      </c>
      <c r="T351" s="2" t="s">
        <v>32</v>
      </c>
    </row>
    <row r="352" spans="1:20" ht="12.5" x14ac:dyDescent="0.25">
      <c r="A352" s="2" t="s">
        <v>1392</v>
      </c>
      <c r="B352" s="2" t="s">
        <v>858</v>
      </c>
      <c r="C352" s="2" t="s">
        <v>1393</v>
      </c>
      <c r="D352" s="2" t="s">
        <v>1394</v>
      </c>
      <c r="E352" s="2" t="s">
        <v>116</v>
      </c>
      <c r="F352" s="2" t="s">
        <v>117</v>
      </c>
      <c r="G352" s="5">
        <v>2487</v>
      </c>
      <c r="H352" s="5">
        <v>30</v>
      </c>
      <c r="I352" s="5">
        <v>1741</v>
      </c>
      <c r="J352" s="5">
        <v>1</v>
      </c>
      <c r="K352" s="2" t="s">
        <v>226</v>
      </c>
      <c r="L352" s="2" t="s">
        <v>168</v>
      </c>
      <c r="M352" s="4">
        <v>4.3</v>
      </c>
      <c r="N352" s="5">
        <v>198</v>
      </c>
      <c r="O352" s="3">
        <v>45835</v>
      </c>
      <c r="P352" s="2" t="s">
        <v>57</v>
      </c>
      <c r="Q352" s="2" t="s">
        <v>78</v>
      </c>
      <c r="R352" s="2" t="s">
        <v>30</v>
      </c>
      <c r="S352" s="2" t="s">
        <v>31</v>
      </c>
      <c r="T352" s="2" t="s">
        <v>32</v>
      </c>
    </row>
    <row r="353" spans="1:20" ht="12.5" x14ac:dyDescent="0.25">
      <c r="A353" s="2" t="s">
        <v>1395</v>
      </c>
      <c r="B353" s="2" t="s">
        <v>1396</v>
      </c>
      <c r="C353" s="2" t="s">
        <v>1397</v>
      </c>
      <c r="D353" s="2" t="s">
        <v>1398</v>
      </c>
      <c r="E353" s="2" t="s">
        <v>247</v>
      </c>
      <c r="F353" s="2" t="s">
        <v>248</v>
      </c>
      <c r="G353" s="5">
        <v>3435</v>
      </c>
      <c r="H353" s="5">
        <v>35</v>
      </c>
      <c r="I353" s="5">
        <v>2233</v>
      </c>
      <c r="J353" s="5">
        <v>2</v>
      </c>
      <c r="K353" s="2">
        <v>42</v>
      </c>
      <c r="L353" s="2" t="s">
        <v>103</v>
      </c>
      <c r="M353" s="4">
        <v>3.5</v>
      </c>
      <c r="N353" s="5">
        <v>123</v>
      </c>
      <c r="O353" s="3">
        <v>45827</v>
      </c>
      <c r="P353" s="2" t="s">
        <v>57</v>
      </c>
      <c r="Q353" s="2" t="s">
        <v>65</v>
      </c>
      <c r="R353" s="2" t="s">
        <v>30</v>
      </c>
      <c r="S353" s="2" t="s">
        <v>31</v>
      </c>
      <c r="T353" s="2" t="s">
        <v>32</v>
      </c>
    </row>
    <row r="354" spans="1:20" ht="12.5" x14ac:dyDescent="0.25">
      <c r="A354" s="2" t="s">
        <v>1399</v>
      </c>
      <c r="B354" s="2" t="s">
        <v>258</v>
      </c>
      <c r="C354" s="2" t="s">
        <v>1400</v>
      </c>
      <c r="D354" s="2" t="s">
        <v>1401</v>
      </c>
      <c r="E354" s="2" t="s">
        <v>24</v>
      </c>
      <c r="F354" s="2" t="s">
        <v>25</v>
      </c>
      <c r="G354" s="5">
        <v>671</v>
      </c>
      <c r="H354" s="5">
        <v>15</v>
      </c>
      <c r="I354" s="5">
        <v>571</v>
      </c>
      <c r="J354" s="5">
        <v>1</v>
      </c>
      <c r="K354" s="2" t="s">
        <v>226</v>
      </c>
      <c r="L354" s="2" t="s">
        <v>27</v>
      </c>
      <c r="M354" s="4">
        <v>3.6</v>
      </c>
      <c r="N354" s="5">
        <v>78</v>
      </c>
      <c r="O354" s="3">
        <v>45856</v>
      </c>
      <c r="P354" s="2" t="s">
        <v>57</v>
      </c>
      <c r="Q354" s="2" t="s">
        <v>65</v>
      </c>
      <c r="R354" s="2" t="s">
        <v>149</v>
      </c>
      <c r="S354" s="2" t="s">
        <v>150</v>
      </c>
      <c r="T354" s="2" t="s">
        <v>32</v>
      </c>
    </row>
    <row r="355" spans="1:20" ht="12.5" x14ac:dyDescent="0.25">
      <c r="A355" s="2" t="s">
        <v>1402</v>
      </c>
      <c r="B355" s="2" t="s">
        <v>917</v>
      </c>
      <c r="C355" s="2" t="s">
        <v>1403</v>
      </c>
      <c r="D355" s="2" t="s">
        <v>1404</v>
      </c>
      <c r="E355" s="2" t="s">
        <v>147</v>
      </c>
      <c r="F355" s="2" t="s">
        <v>148</v>
      </c>
      <c r="G355" s="5">
        <v>4216</v>
      </c>
      <c r="H355" s="5">
        <v>15</v>
      </c>
      <c r="I355" s="5">
        <v>3584</v>
      </c>
      <c r="J355" s="5">
        <v>1</v>
      </c>
      <c r="K355" s="2" t="s">
        <v>26</v>
      </c>
      <c r="L355" s="2" t="s">
        <v>73</v>
      </c>
      <c r="M355" s="4">
        <v>4.3</v>
      </c>
      <c r="N355" s="5">
        <v>43</v>
      </c>
      <c r="O355" s="3">
        <v>45792</v>
      </c>
      <c r="P355" s="2" t="s">
        <v>40</v>
      </c>
      <c r="Q355" s="2" t="s">
        <v>65</v>
      </c>
      <c r="R355" s="2" t="s">
        <v>66</v>
      </c>
      <c r="S355" s="2" t="s">
        <v>67</v>
      </c>
      <c r="T355" s="2" t="s">
        <v>43</v>
      </c>
    </row>
    <row r="356" spans="1:20" ht="12.5" x14ac:dyDescent="0.25">
      <c r="A356" s="2" t="s">
        <v>1405</v>
      </c>
      <c r="B356" s="2" t="s">
        <v>713</v>
      </c>
      <c r="C356" s="2" t="s">
        <v>1406</v>
      </c>
      <c r="D356" s="2" t="s">
        <v>1407</v>
      </c>
      <c r="E356" s="2" t="s">
        <v>116</v>
      </c>
      <c r="F356" s="2" t="s">
        <v>117</v>
      </c>
      <c r="G356" s="5">
        <v>1776</v>
      </c>
      <c r="H356" s="5">
        <v>10</v>
      </c>
      <c r="I356" s="5">
        <v>1599</v>
      </c>
      <c r="J356" s="5">
        <v>1</v>
      </c>
      <c r="K356" s="2" t="s">
        <v>163</v>
      </c>
      <c r="L356" s="2" t="s">
        <v>73</v>
      </c>
      <c r="M356" s="4">
        <v>3.9</v>
      </c>
      <c r="N356" s="5">
        <v>271</v>
      </c>
      <c r="O356" s="3">
        <v>45784</v>
      </c>
      <c r="P356" s="2" t="s">
        <v>57</v>
      </c>
      <c r="Q356" s="2" t="s">
        <v>29</v>
      </c>
      <c r="R356" s="2" t="s">
        <v>41</v>
      </c>
      <c r="S356" s="2" t="s">
        <v>42</v>
      </c>
      <c r="T356" s="2" t="s">
        <v>32</v>
      </c>
    </row>
    <row r="357" spans="1:20" ht="12.5" x14ac:dyDescent="0.25">
      <c r="A357" s="2" t="s">
        <v>1408</v>
      </c>
      <c r="B357" s="2" t="s">
        <v>1409</v>
      </c>
      <c r="C357" s="2" t="s">
        <v>571</v>
      </c>
      <c r="D357" s="2" t="s">
        <v>1410</v>
      </c>
      <c r="E357" s="2" t="s">
        <v>147</v>
      </c>
      <c r="F357" s="2" t="s">
        <v>148</v>
      </c>
      <c r="G357" s="5">
        <v>2213</v>
      </c>
      <c r="H357" s="5">
        <v>40</v>
      </c>
      <c r="I357" s="5">
        <v>1328</v>
      </c>
      <c r="J357" s="5">
        <v>1</v>
      </c>
      <c r="K357" s="2">
        <v>40</v>
      </c>
      <c r="L357" s="2" t="s">
        <v>133</v>
      </c>
      <c r="M357" s="4">
        <v>3.8</v>
      </c>
      <c r="N357" s="5">
        <v>234</v>
      </c>
      <c r="O357" s="3">
        <v>45839</v>
      </c>
      <c r="P357" s="2" t="s">
        <v>40</v>
      </c>
      <c r="Q357" s="2" t="s">
        <v>78</v>
      </c>
      <c r="R357" s="2" t="s">
        <v>110</v>
      </c>
      <c r="S357" s="2" t="s">
        <v>111</v>
      </c>
      <c r="T357" s="2" t="s">
        <v>134</v>
      </c>
    </row>
    <row r="358" spans="1:20" ht="12.5" x14ac:dyDescent="0.25">
      <c r="A358" s="2" t="s">
        <v>1411</v>
      </c>
      <c r="B358" s="2" t="s">
        <v>1412</v>
      </c>
      <c r="C358" s="2" t="s">
        <v>1413</v>
      </c>
      <c r="D358" s="2" t="s">
        <v>1414</v>
      </c>
      <c r="E358" s="2" t="s">
        <v>122</v>
      </c>
      <c r="F358" s="2" t="s">
        <v>123</v>
      </c>
      <c r="G358" s="5">
        <v>3573</v>
      </c>
      <c r="H358" s="5">
        <v>10</v>
      </c>
      <c r="I358" s="5">
        <v>3216</v>
      </c>
      <c r="J358" s="5">
        <v>1</v>
      </c>
      <c r="K358" s="2">
        <v>42</v>
      </c>
      <c r="L358" s="2" t="s">
        <v>39</v>
      </c>
      <c r="M358" s="4">
        <v>4.4000000000000004</v>
      </c>
      <c r="N358" s="5">
        <v>182</v>
      </c>
      <c r="O358" s="3">
        <v>45836</v>
      </c>
      <c r="P358" s="2" t="s">
        <v>40</v>
      </c>
      <c r="Q358" s="2" t="s">
        <v>78</v>
      </c>
      <c r="R358" s="2" t="s">
        <v>41</v>
      </c>
      <c r="S358" s="2" t="s">
        <v>42</v>
      </c>
      <c r="T358" s="2" t="s">
        <v>134</v>
      </c>
    </row>
    <row r="359" spans="1:20" ht="12.5" x14ac:dyDescent="0.25">
      <c r="A359" s="2" t="s">
        <v>1415</v>
      </c>
      <c r="B359" s="2" t="s">
        <v>61</v>
      </c>
      <c r="C359" s="2" t="s">
        <v>1416</v>
      </c>
      <c r="D359" s="2" t="s">
        <v>1417</v>
      </c>
      <c r="E359" s="2" t="s">
        <v>247</v>
      </c>
      <c r="F359" s="2" t="s">
        <v>248</v>
      </c>
      <c r="G359" s="5">
        <v>3798</v>
      </c>
      <c r="H359" s="5">
        <v>30</v>
      </c>
      <c r="I359" s="5">
        <v>2659</v>
      </c>
      <c r="J359" s="5">
        <v>2</v>
      </c>
      <c r="K359" s="2" t="s">
        <v>72</v>
      </c>
      <c r="L359" s="2" t="s">
        <v>88</v>
      </c>
      <c r="M359" s="4">
        <v>4.3</v>
      </c>
      <c r="N359" s="5">
        <v>199</v>
      </c>
      <c r="O359" s="3">
        <v>45840</v>
      </c>
      <c r="P359" s="2" t="s">
        <v>57</v>
      </c>
      <c r="Q359" s="2" t="s">
        <v>65</v>
      </c>
      <c r="R359" s="2" t="s">
        <v>83</v>
      </c>
      <c r="S359" s="2" t="s">
        <v>83</v>
      </c>
      <c r="T359" s="2" t="s">
        <v>32</v>
      </c>
    </row>
    <row r="360" spans="1:20" ht="12.5" x14ac:dyDescent="0.25">
      <c r="A360" s="2" t="s">
        <v>1418</v>
      </c>
      <c r="B360" s="2" t="s">
        <v>205</v>
      </c>
      <c r="C360" s="2" t="s">
        <v>1419</v>
      </c>
      <c r="D360" s="2" t="s">
        <v>1420</v>
      </c>
      <c r="E360" s="2" t="s">
        <v>122</v>
      </c>
      <c r="F360" s="2" t="s">
        <v>123</v>
      </c>
      <c r="G360" s="5">
        <v>4281</v>
      </c>
      <c r="H360" s="5">
        <v>35</v>
      </c>
      <c r="I360" s="5">
        <v>2783</v>
      </c>
      <c r="J360" s="5">
        <v>3</v>
      </c>
      <c r="K360" s="2" t="s">
        <v>226</v>
      </c>
      <c r="L360" s="2" t="s">
        <v>39</v>
      </c>
      <c r="M360" s="4">
        <v>3.6</v>
      </c>
      <c r="N360" s="5">
        <v>11</v>
      </c>
      <c r="O360" s="3">
        <v>45838</v>
      </c>
      <c r="P360" s="2" t="s">
        <v>40</v>
      </c>
      <c r="Q360" s="2" t="s">
        <v>29</v>
      </c>
      <c r="R360" s="2" t="s">
        <v>89</v>
      </c>
      <c r="S360" s="2" t="s">
        <v>90</v>
      </c>
      <c r="T360" s="2" t="s">
        <v>43</v>
      </c>
    </row>
    <row r="361" spans="1:20" ht="12.5" x14ac:dyDescent="0.25">
      <c r="A361" s="2" t="s">
        <v>1421</v>
      </c>
      <c r="B361" s="2" t="s">
        <v>271</v>
      </c>
      <c r="C361" s="2" t="s">
        <v>1422</v>
      </c>
      <c r="D361" s="2" t="s">
        <v>1423</v>
      </c>
      <c r="E361" s="2" t="s">
        <v>37</v>
      </c>
      <c r="F361" s="2" t="s">
        <v>38</v>
      </c>
      <c r="G361" s="5">
        <v>3265</v>
      </c>
      <c r="H361" s="5">
        <v>15</v>
      </c>
      <c r="I361" s="5">
        <v>2776</v>
      </c>
      <c r="J361" s="5">
        <v>1</v>
      </c>
      <c r="K361" s="2" t="s">
        <v>226</v>
      </c>
      <c r="L361" s="2" t="s">
        <v>73</v>
      </c>
      <c r="M361" s="4">
        <v>4.5999999999999996</v>
      </c>
      <c r="N361" s="5">
        <v>37</v>
      </c>
      <c r="O361" s="3">
        <v>45852</v>
      </c>
      <c r="P361" s="2" t="s">
        <v>40</v>
      </c>
      <c r="Q361" s="2" t="s">
        <v>29</v>
      </c>
      <c r="R361" s="2" t="s">
        <v>41</v>
      </c>
      <c r="S361" s="2" t="s">
        <v>42</v>
      </c>
      <c r="T361" s="2" t="s">
        <v>134</v>
      </c>
    </row>
    <row r="362" spans="1:20" ht="12.5" x14ac:dyDescent="0.25">
      <c r="A362" s="2" t="s">
        <v>1424</v>
      </c>
      <c r="B362" s="2" t="s">
        <v>1425</v>
      </c>
      <c r="C362" s="2" t="s">
        <v>1426</v>
      </c>
      <c r="D362" s="2" t="s">
        <v>1427</v>
      </c>
      <c r="E362" s="2" t="s">
        <v>247</v>
      </c>
      <c r="F362" s="2" t="s">
        <v>248</v>
      </c>
      <c r="G362" s="5">
        <v>1118</v>
      </c>
      <c r="H362" s="5">
        <v>30</v>
      </c>
      <c r="I362" s="5">
        <v>783</v>
      </c>
      <c r="J362" s="5">
        <v>3</v>
      </c>
      <c r="K362" s="2">
        <v>44</v>
      </c>
      <c r="L362" s="2" t="s">
        <v>64</v>
      </c>
      <c r="M362" s="4">
        <v>4.9000000000000004</v>
      </c>
      <c r="N362" s="5">
        <v>53</v>
      </c>
      <c r="O362" s="3">
        <v>45858</v>
      </c>
      <c r="P362" s="2" t="s">
        <v>28</v>
      </c>
      <c r="Q362" s="2" t="s">
        <v>29</v>
      </c>
      <c r="R362" s="2" t="s">
        <v>104</v>
      </c>
      <c r="S362" s="2" t="s">
        <v>105</v>
      </c>
      <c r="T362" s="2" t="s">
        <v>32</v>
      </c>
    </row>
    <row r="363" spans="1:20" ht="12.5" x14ac:dyDescent="0.25">
      <c r="A363" s="2" t="s">
        <v>1428</v>
      </c>
      <c r="B363" s="2" t="s">
        <v>1385</v>
      </c>
      <c r="C363" s="2" t="s">
        <v>1429</v>
      </c>
      <c r="D363" s="2" t="s">
        <v>1430</v>
      </c>
      <c r="E363" s="2" t="s">
        <v>48</v>
      </c>
      <c r="F363" s="2" t="s">
        <v>25</v>
      </c>
      <c r="G363" s="5">
        <v>4659</v>
      </c>
      <c r="H363" s="5">
        <v>25</v>
      </c>
      <c r="I363" s="5">
        <v>3495</v>
      </c>
      <c r="J363" s="5">
        <v>1</v>
      </c>
      <c r="K363" s="2">
        <v>44</v>
      </c>
      <c r="L363" s="2" t="s">
        <v>88</v>
      </c>
      <c r="M363" s="4">
        <v>4.2</v>
      </c>
      <c r="N363" s="5">
        <v>13</v>
      </c>
      <c r="O363" s="3">
        <v>45783</v>
      </c>
      <c r="P363" s="2" t="s">
        <v>57</v>
      </c>
      <c r="Q363" s="2" t="s">
        <v>29</v>
      </c>
      <c r="R363" s="2" t="s">
        <v>58</v>
      </c>
      <c r="S363" s="2" t="s">
        <v>59</v>
      </c>
      <c r="T363" s="2" t="s">
        <v>32</v>
      </c>
    </row>
    <row r="364" spans="1:20" ht="12.5" x14ac:dyDescent="0.25">
      <c r="A364" s="2" t="s">
        <v>1431</v>
      </c>
      <c r="B364" s="2" t="s">
        <v>1432</v>
      </c>
      <c r="C364" s="2" t="s">
        <v>1433</v>
      </c>
      <c r="D364" s="2" t="s">
        <v>1434</v>
      </c>
      <c r="E364" s="2" t="s">
        <v>37</v>
      </c>
      <c r="F364" s="2" t="s">
        <v>38</v>
      </c>
      <c r="G364" s="5">
        <v>866</v>
      </c>
      <c r="H364" s="5">
        <v>40</v>
      </c>
      <c r="I364" s="5">
        <v>520</v>
      </c>
      <c r="J364" s="5">
        <v>2</v>
      </c>
      <c r="K364" s="2" t="s">
        <v>163</v>
      </c>
      <c r="L364" s="2" t="s">
        <v>39</v>
      </c>
      <c r="M364" s="4">
        <v>4.2</v>
      </c>
      <c r="N364" s="5">
        <v>294</v>
      </c>
      <c r="O364" s="3">
        <v>45829</v>
      </c>
      <c r="P364" s="2" t="s">
        <v>40</v>
      </c>
      <c r="Q364" s="2" t="s">
        <v>29</v>
      </c>
      <c r="R364" s="2" t="s">
        <v>66</v>
      </c>
      <c r="S364" s="2" t="s">
        <v>67</v>
      </c>
      <c r="T364" s="2" t="s">
        <v>203</v>
      </c>
    </row>
    <row r="365" spans="1:20" ht="12.5" x14ac:dyDescent="0.25">
      <c r="A365" s="2" t="s">
        <v>1435</v>
      </c>
      <c r="B365" s="2" t="s">
        <v>369</v>
      </c>
      <c r="C365" s="2" t="s">
        <v>1436</v>
      </c>
      <c r="D365" s="2" t="s">
        <v>1437</v>
      </c>
      <c r="E365" s="2" t="s">
        <v>24</v>
      </c>
      <c r="F365" s="2" t="s">
        <v>25</v>
      </c>
      <c r="G365" s="5">
        <v>777</v>
      </c>
      <c r="H365" s="5">
        <v>15</v>
      </c>
      <c r="I365" s="5">
        <v>661</v>
      </c>
      <c r="J365" s="5">
        <v>1</v>
      </c>
      <c r="K365" s="2" t="s">
        <v>163</v>
      </c>
      <c r="L365" s="2" t="s">
        <v>133</v>
      </c>
      <c r="M365" s="4">
        <v>3.7</v>
      </c>
      <c r="N365" s="5">
        <v>198</v>
      </c>
      <c r="O365" s="3">
        <v>45792</v>
      </c>
      <c r="P365" s="2" t="s">
        <v>40</v>
      </c>
      <c r="Q365" s="2" t="s">
        <v>78</v>
      </c>
      <c r="R365" s="2" t="s">
        <v>89</v>
      </c>
      <c r="S365" s="2" t="s">
        <v>90</v>
      </c>
      <c r="T365" s="2" t="s">
        <v>203</v>
      </c>
    </row>
    <row r="366" spans="1:20" ht="12.5" x14ac:dyDescent="0.25">
      <c r="A366" s="2" t="s">
        <v>1438</v>
      </c>
      <c r="B366" s="2" t="s">
        <v>1439</v>
      </c>
      <c r="C366" s="2" t="s">
        <v>1440</v>
      </c>
      <c r="D366" s="2" t="s">
        <v>1441</v>
      </c>
      <c r="E366" s="2" t="s">
        <v>247</v>
      </c>
      <c r="F366" s="2" t="s">
        <v>248</v>
      </c>
      <c r="G366" s="5">
        <v>1091</v>
      </c>
      <c r="H366" s="5">
        <v>30</v>
      </c>
      <c r="I366" s="5">
        <v>764</v>
      </c>
      <c r="J366" s="5">
        <v>3</v>
      </c>
      <c r="K366" s="2" t="s">
        <v>226</v>
      </c>
      <c r="L366" s="2" t="s">
        <v>209</v>
      </c>
      <c r="M366" s="4">
        <v>3.6</v>
      </c>
      <c r="N366" s="5">
        <v>274</v>
      </c>
      <c r="O366" s="3">
        <v>45813</v>
      </c>
      <c r="P366" s="2" t="s">
        <v>57</v>
      </c>
      <c r="Q366" s="2" t="s">
        <v>65</v>
      </c>
      <c r="R366" s="2" t="s">
        <v>89</v>
      </c>
      <c r="S366" s="2" t="s">
        <v>90</v>
      </c>
      <c r="T366" s="2" t="s">
        <v>32</v>
      </c>
    </row>
    <row r="367" spans="1:20" ht="12.5" x14ac:dyDescent="0.25">
      <c r="A367" s="2" t="s">
        <v>1442</v>
      </c>
      <c r="B367" s="2" t="s">
        <v>483</v>
      </c>
      <c r="C367" s="2" t="s">
        <v>1443</v>
      </c>
      <c r="D367" s="2" t="s">
        <v>1444</v>
      </c>
      <c r="E367" s="2" t="s">
        <v>37</v>
      </c>
      <c r="F367" s="2" t="s">
        <v>38</v>
      </c>
      <c r="G367" s="5">
        <v>2783</v>
      </c>
      <c r="H367" s="5">
        <v>30</v>
      </c>
      <c r="I367" s="5">
        <v>1949</v>
      </c>
      <c r="J367" s="5">
        <v>1</v>
      </c>
      <c r="K367" s="2" t="s">
        <v>226</v>
      </c>
      <c r="L367" s="2" t="s">
        <v>88</v>
      </c>
      <c r="M367" s="4">
        <v>5</v>
      </c>
      <c r="N367" s="5">
        <v>236</v>
      </c>
      <c r="O367" s="3">
        <v>45799</v>
      </c>
      <c r="P367" s="2" t="s">
        <v>57</v>
      </c>
      <c r="Q367" s="2" t="s">
        <v>29</v>
      </c>
      <c r="R367" s="2" t="s">
        <v>185</v>
      </c>
      <c r="S367" s="2" t="s">
        <v>186</v>
      </c>
      <c r="T367" s="2" t="s">
        <v>32</v>
      </c>
    </row>
    <row r="368" spans="1:20" ht="12.5" x14ac:dyDescent="0.25">
      <c r="A368" s="2" t="s">
        <v>1445</v>
      </c>
      <c r="B368" s="2" t="s">
        <v>862</v>
      </c>
      <c r="C368" s="2" t="s">
        <v>296</v>
      </c>
      <c r="D368" s="2" t="s">
        <v>1446</v>
      </c>
      <c r="E368" s="2" t="s">
        <v>24</v>
      </c>
      <c r="F368" s="2" t="s">
        <v>25</v>
      </c>
      <c r="G368" s="5">
        <v>700</v>
      </c>
      <c r="H368" s="5">
        <v>25</v>
      </c>
      <c r="I368" s="5">
        <v>525</v>
      </c>
      <c r="J368" s="5">
        <v>3</v>
      </c>
      <c r="K368" s="2" t="s">
        <v>56</v>
      </c>
      <c r="L368" s="2" t="s">
        <v>73</v>
      </c>
      <c r="M368" s="4">
        <v>3.8</v>
      </c>
      <c r="N368" s="5">
        <v>286</v>
      </c>
      <c r="O368" s="3">
        <v>45826</v>
      </c>
      <c r="P368" s="2" t="s">
        <v>57</v>
      </c>
      <c r="Q368" s="2" t="s">
        <v>65</v>
      </c>
      <c r="R368" s="2" t="s">
        <v>185</v>
      </c>
      <c r="S368" s="2" t="s">
        <v>186</v>
      </c>
      <c r="T368" s="2" t="s">
        <v>32</v>
      </c>
    </row>
    <row r="369" spans="1:20" ht="12.5" x14ac:dyDescent="0.25">
      <c r="A369" s="2" t="s">
        <v>1447</v>
      </c>
      <c r="B369" s="2" t="s">
        <v>1378</v>
      </c>
      <c r="C369" s="2" t="s">
        <v>1448</v>
      </c>
      <c r="D369" s="2" t="s">
        <v>1449</v>
      </c>
      <c r="E369" s="2" t="s">
        <v>37</v>
      </c>
      <c r="F369" s="2" t="s">
        <v>38</v>
      </c>
      <c r="G369" s="5">
        <v>1092</v>
      </c>
      <c r="H369" s="5">
        <v>30</v>
      </c>
      <c r="I369" s="5">
        <v>765</v>
      </c>
      <c r="J369" s="5">
        <v>2</v>
      </c>
      <c r="K369" s="2" t="s">
        <v>56</v>
      </c>
      <c r="L369" s="2" t="s">
        <v>64</v>
      </c>
      <c r="M369" s="4">
        <v>4.3</v>
      </c>
      <c r="N369" s="5">
        <v>74</v>
      </c>
      <c r="O369" s="3">
        <v>45806</v>
      </c>
      <c r="P369" s="2" t="s">
        <v>40</v>
      </c>
      <c r="Q369" s="2" t="s">
        <v>65</v>
      </c>
      <c r="R369" s="2" t="s">
        <v>30</v>
      </c>
      <c r="S369" s="2" t="s">
        <v>31</v>
      </c>
      <c r="T369" s="2" t="s">
        <v>203</v>
      </c>
    </row>
    <row r="370" spans="1:20" ht="12.5" x14ac:dyDescent="0.25">
      <c r="A370" s="2" t="s">
        <v>1450</v>
      </c>
      <c r="B370" s="2" t="s">
        <v>1136</v>
      </c>
      <c r="C370" s="2" t="s">
        <v>1451</v>
      </c>
      <c r="D370" s="2" t="s">
        <v>1452</v>
      </c>
      <c r="E370" s="2" t="s">
        <v>132</v>
      </c>
      <c r="F370" s="2" t="s">
        <v>38</v>
      </c>
      <c r="G370" s="5">
        <v>1608</v>
      </c>
      <c r="H370" s="5">
        <v>40</v>
      </c>
      <c r="I370" s="5">
        <v>965</v>
      </c>
      <c r="J370" s="5">
        <v>1</v>
      </c>
      <c r="K370" s="2" t="s">
        <v>72</v>
      </c>
      <c r="L370" s="2" t="s">
        <v>133</v>
      </c>
      <c r="M370" s="4">
        <v>3.7</v>
      </c>
      <c r="N370" s="5">
        <v>172</v>
      </c>
      <c r="O370" s="3">
        <v>45793</v>
      </c>
      <c r="P370" s="2" t="s">
        <v>40</v>
      </c>
      <c r="Q370" s="2" t="s">
        <v>29</v>
      </c>
      <c r="R370" s="2" t="s">
        <v>58</v>
      </c>
      <c r="S370" s="2" t="s">
        <v>59</v>
      </c>
      <c r="T370" s="2" t="s">
        <v>203</v>
      </c>
    </row>
    <row r="371" spans="1:20" ht="12.5" x14ac:dyDescent="0.25">
      <c r="A371" s="2" t="s">
        <v>1453</v>
      </c>
      <c r="B371" s="2" t="s">
        <v>1000</v>
      </c>
      <c r="C371" s="2" t="s">
        <v>1454</v>
      </c>
      <c r="D371" s="2" t="s">
        <v>1455</v>
      </c>
      <c r="E371" s="2" t="s">
        <v>48</v>
      </c>
      <c r="F371" s="2" t="s">
        <v>25</v>
      </c>
      <c r="G371" s="5">
        <v>1317</v>
      </c>
      <c r="H371" s="5">
        <v>10</v>
      </c>
      <c r="I371" s="5">
        <v>1186</v>
      </c>
      <c r="J371" s="5">
        <v>1</v>
      </c>
      <c r="K371" s="2">
        <v>44</v>
      </c>
      <c r="L371" s="2" t="s">
        <v>39</v>
      </c>
      <c r="M371" s="4">
        <v>4.9000000000000004</v>
      </c>
      <c r="N371" s="5">
        <v>139</v>
      </c>
      <c r="O371" s="3">
        <v>45843</v>
      </c>
      <c r="P371" s="2" t="s">
        <v>28</v>
      </c>
      <c r="Q371" s="2" t="s">
        <v>65</v>
      </c>
      <c r="R371" s="2" t="s">
        <v>83</v>
      </c>
      <c r="S371" s="2" t="s">
        <v>83</v>
      </c>
      <c r="T371" s="2" t="s">
        <v>32</v>
      </c>
    </row>
    <row r="372" spans="1:20" ht="12.5" x14ac:dyDescent="0.25">
      <c r="A372" s="2" t="s">
        <v>1456</v>
      </c>
      <c r="B372" s="2" t="s">
        <v>1132</v>
      </c>
      <c r="C372" s="2" t="s">
        <v>1457</v>
      </c>
      <c r="D372" s="2" t="s">
        <v>1458</v>
      </c>
      <c r="E372" s="2" t="s">
        <v>116</v>
      </c>
      <c r="F372" s="2" t="s">
        <v>117</v>
      </c>
      <c r="G372" s="5">
        <v>868</v>
      </c>
      <c r="H372" s="5">
        <v>40</v>
      </c>
      <c r="I372" s="5">
        <v>521</v>
      </c>
      <c r="J372" s="5">
        <v>3</v>
      </c>
      <c r="K372" s="2" t="s">
        <v>261</v>
      </c>
      <c r="L372" s="2" t="s">
        <v>103</v>
      </c>
      <c r="M372" s="4">
        <v>4.2</v>
      </c>
      <c r="N372" s="5">
        <v>112</v>
      </c>
      <c r="O372" s="3">
        <v>45850</v>
      </c>
      <c r="P372" s="2" t="s">
        <v>40</v>
      </c>
      <c r="Q372" s="2" t="s">
        <v>65</v>
      </c>
      <c r="R372" s="2" t="s">
        <v>30</v>
      </c>
      <c r="S372" s="2" t="s">
        <v>31</v>
      </c>
      <c r="T372" s="2" t="s">
        <v>203</v>
      </c>
    </row>
    <row r="373" spans="1:20" ht="12.5" x14ac:dyDescent="0.25">
      <c r="A373" s="2" t="s">
        <v>1459</v>
      </c>
      <c r="B373" s="2" t="s">
        <v>1460</v>
      </c>
      <c r="C373" s="2" t="s">
        <v>997</v>
      </c>
      <c r="D373" s="2" t="s">
        <v>1461</v>
      </c>
      <c r="E373" s="2" t="s">
        <v>55</v>
      </c>
      <c r="F373" s="2" t="s">
        <v>38</v>
      </c>
      <c r="G373" s="5">
        <v>2872</v>
      </c>
      <c r="H373" s="5">
        <v>35</v>
      </c>
      <c r="I373" s="5">
        <v>1867</v>
      </c>
      <c r="J373" s="5">
        <v>1</v>
      </c>
      <c r="K373" s="2" t="s">
        <v>226</v>
      </c>
      <c r="L373" s="2" t="s">
        <v>168</v>
      </c>
      <c r="M373" s="4">
        <v>4.9000000000000004</v>
      </c>
      <c r="N373" s="5">
        <v>215</v>
      </c>
      <c r="O373" s="3">
        <v>45771</v>
      </c>
      <c r="P373" s="2" t="s">
        <v>40</v>
      </c>
      <c r="Q373" s="2" t="s">
        <v>78</v>
      </c>
      <c r="R373" s="2" t="s">
        <v>185</v>
      </c>
      <c r="S373" s="2" t="s">
        <v>186</v>
      </c>
      <c r="T373" s="2" t="s">
        <v>32</v>
      </c>
    </row>
    <row r="374" spans="1:20" ht="12.5" x14ac:dyDescent="0.25">
      <c r="A374" s="2" t="s">
        <v>1462</v>
      </c>
      <c r="B374" s="2" t="s">
        <v>765</v>
      </c>
      <c r="C374" s="2" t="s">
        <v>1463</v>
      </c>
      <c r="D374" s="2" t="s">
        <v>1464</v>
      </c>
      <c r="E374" s="2" t="s">
        <v>37</v>
      </c>
      <c r="F374" s="2" t="s">
        <v>38</v>
      </c>
      <c r="G374" s="5">
        <v>4146</v>
      </c>
      <c r="H374" s="5">
        <v>15</v>
      </c>
      <c r="I374" s="5">
        <v>3525</v>
      </c>
      <c r="J374" s="5">
        <v>2</v>
      </c>
      <c r="K374" s="2">
        <v>44</v>
      </c>
      <c r="L374" s="2" t="s">
        <v>73</v>
      </c>
      <c r="M374" s="4">
        <v>4.7</v>
      </c>
      <c r="N374" s="5">
        <v>50</v>
      </c>
      <c r="O374" s="3">
        <v>45845</v>
      </c>
      <c r="P374" s="2" t="s">
        <v>57</v>
      </c>
      <c r="Q374" s="2" t="s">
        <v>29</v>
      </c>
      <c r="R374" s="2" t="s">
        <v>89</v>
      </c>
      <c r="S374" s="2" t="s">
        <v>90</v>
      </c>
      <c r="T374" s="2" t="s">
        <v>32</v>
      </c>
    </row>
    <row r="375" spans="1:20" ht="12.5" x14ac:dyDescent="0.25">
      <c r="A375" s="2" t="s">
        <v>1465</v>
      </c>
      <c r="B375" s="2" t="s">
        <v>1318</v>
      </c>
      <c r="C375" s="2" t="s">
        <v>1466</v>
      </c>
      <c r="D375" s="2" t="s">
        <v>1467</v>
      </c>
      <c r="E375" s="2" t="s">
        <v>48</v>
      </c>
      <c r="F375" s="2" t="s">
        <v>25</v>
      </c>
      <c r="G375" s="5">
        <v>3789</v>
      </c>
      <c r="H375" s="5">
        <v>25</v>
      </c>
      <c r="I375" s="5">
        <v>2842</v>
      </c>
      <c r="J375" s="5">
        <v>3</v>
      </c>
      <c r="K375" s="2" t="s">
        <v>72</v>
      </c>
      <c r="L375" s="2" t="s">
        <v>49</v>
      </c>
      <c r="M375" s="4">
        <v>3.7</v>
      </c>
      <c r="N375" s="5">
        <v>101</v>
      </c>
      <c r="O375" s="3">
        <v>45791</v>
      </c>
      <c r="P375" s="2" t="s">
        <v>28</v>
      </c>
      <c r="Q375" s="2" t="s">
        <v>29</v>
      </c>
      <c r="R375" s="2" t="s">
        <v>58</v>
      </c>
      <c r="S375" s="2" t="s">
        <v>59</v>
      </c>
      <c r="T375" s="2" t="s">
        <v>32</v>
      </c>
    </row>
    <row r="376" spans="1:20" ht="12.5" x14ac:dyDescent="0.25">
      <c r="A376" s="2" t="s">
        <v>1468</v>
      </c>
      <c r="B376" s="2" t="s">
        <v>1469</v>
      </c>
      <c r="C376" s="2" t="s">
        <v>1470</v>
      </c>
      <c r="D376" s="2" t="s">
        <v>1471</v>
      </c>
      <c r="E376" s="2" t="s">
        <v>147</v>
      </c>
      <c r="F376" s="2" t="s">
        <v>148</v>
      </c>
      <c r="G376" s="5">
        <v>3401</v>
      </c>
      <c r="H376" s="5">
        <v>30</v>
      </c>
      <c r="I376" s="5">
        <v>2381</v>
      </c>
      <c r="J376" s="5">
        <v>1</v>
      </c>
      <c r="K376" s="2" t="s">
        <v>163</v>
      </c>
      <c r="L376" s="2" t="s">
        <v>39</v>
      </c>
      <c r="M376" s="4">
        <v>4.0999999999999996</v>
      </c>
      <c r="N376" s="5">
        <v>282</v>
      </c>
      <c r="O376" s="3">
        <v>45807</v>
      </c>
      <c r="P376" s="2" t="s">
        <v>40</v>
      </c>
      <c r="Q376" s="2" t="s">
        <v>78</v>
      </c>
      <c r="R376" s="2" t="s">
        <v>104</v>
      </c>
      <c r="S376" s="2" t="s">
        <v>105</v>
      </c>
      <c r="T376" s="2" t="s">
        <v>203</v>
      </c>
    </row>
    <row r="377" spans="1:20" ht="12.5" x14ac:dyDescent="0.25">
      <c r="A377" s="2" t="s">
        <v>1472</v>
      </c>
      <c r="B377" s="2" t="s">
        <v>85</v>
      </c>
      <c r="C377" s="2" t="s">
        <v>1473</v>
      </c>
      <c r="D377" s="2" t="s">
        <v>1474</v>
      </c>
      <c r="E377" s="2" t="s">
        <v>116</v>
      </c>
      <c r="F377" s="2" t="s">
        <v>117</v>
      </c>
      <c r="G377" s="5">
        <v>4567</v>
      </c>
      <c r="H377" s="5">
        <v>20</v>
      </c>
      <c r="I377" s="5">
        <v>3654</v>
      </c>
      <c r="J377" s="5">
        <v>3</v>
      </c>
      <c r="K377" s="2">
        <v>42</v>
      </c>
      <c r="L377" s="2" t="s">
        <v>168</v>
      </c>
      <c r="M377" s="4">
        <v>4.7</v>
      </c>
      <c r="N377" s="5">
        <v>152</v>
      </c>
      <c r="O377" s="3">
        <v>45810</v>
      </c>
      <c r="P377" s="2" t="s">
        <v>28</v>
      </c>
      <c r="Q377" s="2" t="s">
        <v>29</v>
      </c>
      <c r="R377" s="2" t="s">
        <v>104</v>
      </c>
      <c r="S377" s="2" t="s">
        <v>105</v>
      </c>
      <c r="T377" s="2" t="s">
        <v>32</v>
      </c>
    </row>
    <row r="378" spans="1:20" ht="12.5" x14ac:dyDescent="0.25">
      <c r="A378" s="2" t="s">
        <v>1475</v>
      </c>
      <c r="B378" s="2" t="s">
        <v>325</v>
      </c>
      <c r="C378" s="2" t="s">
        <v>1476</v>
      </c>
      <c r="D378" s="2" t="s">
        <v>1477</v>
      </c>
      <c r="E378" s="2" t="s">
        <v>37</v>
      </c>
      <c r="F378" s="2" t="s">
        <v>38</v>
      </c>
      <c r="G378" s="5">
        <v>3310</v>
      </c>
      <c r="H378" s="5">
        <v>10</v>
      </c>
      <c r="I378" s="5">
        <v>2979</v>
      </c>
      <c r="J378" s="5">
        <v>3</v>
      </c>
      <c r="K378" s="2" t="s">
        <v>32</v>
      </c>
      <c r="L378" s="2" t="s">
        <v>39</v>
      </c>
      <c r="M378" s="4">
        <v>3.6</v>
      </c>
      <c r="N378" s="5">
        <v>112</v>
      </c>
      <c r="O378" s="3">
        <v>45854</v>
      </c>
      <c r="P378" s="2" t="s">
        <v>40</v>
      </c>
      <c r="Q378" s="2" t="s">
        <v>65</v>
      </c>
      <c r="R378" s="2" t="s">
        <v>149</v>
      </c>
      <c r="S378" s="2" t="s">
        <v>150</v>
      </c>
      <c r="T378" s="2" t="s">
        <v>43</v>
      </c>
    </row>
    <row r="379" spans="1:20" ht="12.5" x14ac:dyDescent="0.25">
      <c r="A379" s="2" t="s">
        <v>1478</v>
      </c>
      <c r="B379" s="2" t="s">
        <v>1479</v>
      </c>
      <c r="C379" s="2" t="s">
        <v>1480</v>
      </c>
      <c r="D379" s="2" t="s">
        <v>1481</v>
      </c>
      <c r="E379" s="2" t="s">
        <v>24</v>
      </c>
      <c r="F379" s="2" t="s">
        <v>25</v>
      </c>
      <c r="G379" s="5">
        <v>2750</v>
      </c>
      <c r="H379" s="5">
        <v>10</v>
      </c>
      <c r="I379" s="5">
        <v>2475</v>
      </c>
      <c r="J379" s="5">
        <v>3</v>
      </c>
      <c r="K379" s="2" t="s">
        <v>226</v>
      </c>
      <c r="L379" s="2" t="s">
        <v>88</v>
      </c>
      <c r="M379" s="4">
        <v>3.8</v>
      </c>
      <c r="N379" s="5">
        <v>127</v>
      </c>
      <c r="O379" s="3">
        <v>45834</v>
      </c>
      <c r="P379" s="2" t="s">
        <v>57</v>
      </c>
      <c r="Q379" s="2" t="s">
        <v>78</v>
      </c>
      <c r="R379" s="2" t="s">
        <v>89</v>
      </c>
      <c r="S379" s="2" t="s">
        <v>90</v>
      </c>
      <c r="T379" s="2" t="s">
        <v>32</v>
      </c>
    </row>
    <row r="380" spans="1:20" ht="12.5" x14ac:dyDescent="0.25">
      <c r="A380" s="2" t="s">
        <v>1482</v>
      </c>
      <c r="B380" s="2" t="s">
        <v>1483</v>
      </c>
      <c r="C380" s="2" t="s">
        <v>1484</v>
      </c>
      <c r="D380" s="2" t="s">
        <v>1485</v>
      </c>
      <c r="E380" s="2" t="s">
        <v>24</v>
      </c>
      <c r="F380" s="2" t="s">
        <v>25</v>
      </c>
      <c r="G380" s="5">
        <v>2927</v>
      </c>
      <c r="H380" s="5">
        <v>15</v>
      </c>
      <c r="I380" s="5">
        <v>2488</v>
      </c>
      <c r="J380" s="5">
        <v>1</v>
      </c>
      <c r="K380" s="2">
        <v>44</v>
      </c>
      <c r="L380" s="2" t="s">
        <v>133</v>
      </c>
      <c r="M380" s="4">
        <v>4.3</v>
      </c>
      <c r="N380" s="5">
        <v>230</v>
      </c>
      <c r="O380" s="3">
        <v>45774</v>
      </c>
      <c r="P380" s="2" t="s">
        <v>28</v>
      </c>
      <c r="Q380" s="2" t="s">
        <v>29</v>
      </c>
      <c r="R380" s="2" t="s">
        <v>30</v>
      </c>
      <c r="S380" s="2" t="s">
        <v>31</v>
      </c>
      <c r="T380" s="2" t="s">
        <v>32</v>
      </c>
    </row>
    <row r="381" spans="1:20" ht="12.5" x14ac:dyDescent="0.25">
      <c r="A381" s="2" t="s">
        <v>1486</v>
      </c>
      <c r="B381" s="2" t="s">
        <v>1487</v>
      </c>
      <c r="C381" s="2" t="s">
        <v>1488</v>
      </c>
      <c r="D381" s="2" t="s">
        <v>1489</v>
      </c>
      <c r="E381" s="2" t="s">
        <v>132</v>
      </c>
      <c r="F381" s="2" t="s">
        <v>38</v>
      </c>
      <c r="G381" s="5">
        <v>2233</v>
      </c>
      <c r="H381" s="5">
        <v>10</v>
      </c>
      <c r="I381" s="5">
        <v>2010</v>
      </c>
      <c r="J381" s="5">
        <v>1</v>
      </c>
      <c r="K381" s="2" t="s">
        <v>226</v>
      </c>
      <c r="L381" s="2" t="s">
        <v>39</v>
      </c>
      <c r="M381" s="4">
        <v>4</v>
      </c>
      <c r="N381" s="5">
        <v>233</v>
      </c>
      <c r="O381" s="3">
        <v>45787</v>
      </c>
      <c r="P381" s="2" t="s">
        <v>28</v>
      </c>
      <c r="Q381" s="2" t="s">
        <v>78</v>
      </c>
      <c r="R381" s="2" t="s">
        <v>149</v>
      </c>
      <c r="S381" s="2" t="s">
        <v>150</v>
      </c>
      <c r="T381" s="2" t="s">
        <v>32</v>
      </c>
    </row>
    <row r="382" spans="1:20" ht="12.5" x14ac:dyDescent="0.25">
      <c r="A382" s="2" t="s">
        <v>1490</v>
      </c>
      <c r="B382" s="2" t="s">
        <v>1491</v>
      </c>
      <c r="C382" s="2" t="s">
        <v>1492</v>
      </c>
      <c r="D382" s="2" t="s">
        <v>1493</v>
      </c>
      <c r="E382" s="2" t="s">
        <v>132</v>
      </c>
      <c r="F382" s="2" t="s">
        <v>38</v>
      </c>
      <c r="G382" s="5">
        <v>3734</v>
      </c>
      <c r="H382" s="5">
        <v>10</v>
      </c>
      <c r="I382" s="5">
        <v>3361</v>
      </c>
      <c r="J382" s="5">
        <v>1</v>
      </c>
      <c r="K382" s="2">
        <v>44</v>
      </c>
      <c r="L382" s="2" t="s">
        <v>64</v>
      </c>
      <c r="M382" s="4">
        <v>4.4000000000000004</v>
      </c>
      <c r="N382" s="5">
        <v>215</v>
      </c>
      <c r="O382" s="3">
        <v>45783</v>
      </c>
      <c r="P382" s="2" t="s">
        <v>40</v>
      </c>
      <c r="Q382" s="2" t="s">
        <v>65</v>
      </c>
      <c r="R382" s="2" t="s">
        <v>58</v>
      </c>
      <c r="S382" s="2" t="s">
        <v>59</v>
      </c>
      <c r="T382" s="2" t="s">
        <v>134</v>
      </c>
    </row>
    <row r="383" spans="1:20" ht="12.5" x14ac:dyDescent="0.25">
      <c r="A383" s="2" t="s">
        <v>1494</v>
      </c>
      <c r="B383" s="2" t="s">
        <v>1495</v>
      </c>
      <c r="C383" s="2" t="s">
        <v>1496</v>
      </c>
      <c r="D383" s="2" t="s">
        <v>1497</v>
      </c>
      <c r="E383" s="2" t="s">
        <v>37</v>
      </c>
      <c r="F383" s="2" t="s">
        <v>38</v>
      </c>
      <c r="G383" s="5">
        <v>3222</v>
      </c>
      <c r="H383" s="5">
        <v>40</v>
      </c>
      <c r="I383" s="5">
        <v>1934</v>
      </c>
      <c r="J383" s="5">
        <v>1</v>
      </c>
      <c r="K383" s="2">
        <v>44</v>
      </c>
      <c r="L383" s="2" t="s">
        <v>209</v>
      </c>
      <c r="M383" s="4">
        <v>5</v>
      </c>
      <c r="N383" s="5">
        <v>26</v>
      </c>
      <c r="O383" s="3">
        <v>45841</v>
      </c>
      <c r="P383" s="2" t="s">
        <v>40</v>
      </c>
      <c r="Q383" s="2" t="s">
        <v>78</v>
      </c>
      <c r="R383" s="2" t="s">
        <v>30</v>
      </c>
      <c r="S383" s="2" t="s">
        <v>31</v>
      </c>
      <c r="T383" s="2" t="s">
        <v>50</v>
      </c>
    </row>
    <row r="384" spans="1:20" ht="12.5" x14ac:dyDescent="0.25">
      <c r="A384" s="2" t="s">
        <v>1498</v>
      </c>
      <c r="B384" s="2" t="s">
        <v>603</v>
      </c>
      <c r="C384" s="2" t="s">
        <v>1499</v>
      </c>
      <c r="D384" s="2" t="s">
        <v>1500</v>
      </c>
      <c r="E384" s="2" t="s">
        <v>247</v>
      </c>
      <c r="F384" s="2" t="s">
        <v>248</v>
      </c>
      <c r="G384" s="5">
        <v>1794</v>
      </c>
      <c r="H384" s="5">
        <v>40</v>
      </c>
      <c r="I384" s="5">
        <v>1077</v>
      </c>
      <c r="J384" s="5">
        <v>2</v>
      </c>
      <c r="K384" s="2" t="s">
        <v>26</v>
      </c>
      <c r="L384" s="2" t="s">
        <v>88</v>
      </c>
      <c r="M384" s="4">
        <v>4.3</v>
      </c>
      <c r="N384" s="5">
        <v>71</v>
      </c>
      <c r="O384" s="3">
        <v>45798</v>
      </c>
      <c r="P384" s="2" t="s">
        <v>57</v>
      </c>
      <c r="Q384" s="2" t="s">
        <v>29</v>
      </c>
      <c r="R384" s="2" t="s">
        <v>41</v>
      </c>
      <c r="S384" s="2" t="s">
        <v>42</v>
      </c>
      <c r="T384" s="2" t="s">
        <v>32</v>
      </c>
    </row>
    <row r="385" spans="1:20" ht="12.5" x14ac:dyDescent="0.25">
      <c r="A385" s="2" t="s">
        <v>1501</v>
      </c>
      <c r="B385" s="2" t="s">
        <v>1502</v>
      </c>
      <c r="C385" s="2" t="s">
        <v>1503</v>
      </c>
      <c r="D385" s="2" t="s">
        <v>1504</v>
      </c>
      <c r="E385" s="2" t="s">
        <v>55</v>
      </c>
      <c r="F385" s="2" t="s">
        <v>38</v>
      </c>
      <c r="G385" s="5">
        <v>1336</v>
      </c>
      <c r="H385" s="5">
        <v>35</v>
      </c>
      <c r="I385" s="5">
        <v>869</v>
      </c>
      <c r="J385" s="5">
        <v>3</v>
      </c>
      <c r="K385" s="2" t="s">
        <v>56</v>
      </c>
      <c r="L385" s="2" t="s">
        <v>73</v>
      </c>
      <c r="M385" s="4">
        <v>4.2</v>
      </c>
      <c r="N385" s="5">
        <v>74</v>
      </c>
      <c r="O385" s="3">
        <v>45825</v>
      </c>
      <c r="P385" s="2" t="s">
        <v>40</v>
      </c>
      <c r="Q385" s="2" t="s">
        <v>29</v>
      </c>
      <c r="R385" s="2" t="s">
        <v>89</v>
      </c>
      <c r="S385" s="2" t="s">
        <v>90</v>
      </c>
      <c r="T385" s="2" t="s">
        <v>43</v>
      </c>
    </row>
    <row r="386" spans="1:20" ht="12.5" x14ac:dyDescent="0.25">
      <c r="A386" s="2" t="s">
        <v>1505</v>
      </c>
      <c r="B386" s="2" t="s">
        <v>1506</v>
      </c>
      <c r="C386" s="2" t="s">
        <v>1507</v>
      </c>
      <c r="D386" s="2" t="s">
        <v>1508</v>
      </c>
      <c r="E386" s="2" t="s">
        <v>24</v>
      </c>
      <c r="F386" s="2" t="s">
        <v>25</v>
      </c>
      <c r="G386" s="5">
        <v>1272</v>
      </c>
      <c r="H386" s="5">
        <v>15</v>
      </c>
      <c r="I386" s="5">
        <v>1082</v>
      </c>
      <c r="J386" s="5">
        <v>3</v>
      </c>
      <c r="K386" s="2">
        <v>44</v>
      </c>
      <c r="L386" s="2" t="s">
        <v>73</v>
      </c>
      <c r="M386" s="4">
        <v>4</v>
      </c>
      <c r="N386" s="5">
        <v>281</v>
      </c>
      <c r="O386" s="3">
        <v>45781</v>
      </c>
      <c r="P386" s="2" t="s">
        <v>28</v>
      </c>
      <c r="Q386" s="2" t="s">
        <v>29</v>
      </c>
      <c r="R386" s="2" t="s">
        <v>58</v>
      </c>
      <c r="S386" s="2" t="s">
        <v>59</v>
      </c>
      <c r="T386" s="2" t="s">
        <v>32</v>
      </c>
    </row>
    <row r="387" spans="1:20" ht="12.5" x14ac:dyDescent="0.25">
      <c r="A387" s="2" t="s">
        <v>1509</v>
      </c>
      <c r="B387" s="2" t="s">
        <v>626</v>
      </c>
      <c r="C387" s="2" t="s">
        <v>1510</v>
      </c>
      <c r="D387" s="2" t="s">
        <v>1511</v>
      </c>
      <c r="E387" s="2" t="s">
        <v>55</v>
      </c>
      <c r="F387" s="2" t="s">
        <v>38</v>
      </c>
      <c r="G387" s="5">
        <v>2984</v>
      </c>
      <c r="H387" s="5">
        <v>15</v>
      </c>
      <c r="I387" s="5">
        <v>2537</v>
      </c>
      <c r="J387" s="5">
        <v>1</v>
      </c>
      <c r="K387" s="2">
        <v>40</v>
      </c>
      <c r="L387" s="2" t="s">
        <v>27</v>
      </c>
      <c r="M387" s="4">
        <v>4.0999999999999996</v>
      </c>
      <c r="N387" s="5">
        <v>104</v>
      </c>
      <c r="O387" s="3">
        <v>45784</v>
      </c>
      <c r="P387" s="2" t="s">
        <v>57</v>
      </c>
      <c r="Q387" s="2" t="s">
        <v>65</v>
      </c>
      <c r="R387" s="2" t="s">
        <v>110</v>
      </c>
      <c r="S387" s="2" t="s">
        <v>111</v>
      </c>
      <c r="T387" s="2" t="s">
        <v>32</v>
      </c>
    </row>
    <row r="388" spans="1:20" ht="12.5" x14ac:dyDescent="0.25">
      <c r="A388" s="2" t="s">
        <v>1512</v>
      </c>
      <c r="B388" s="2" t="s">
        <v>1182</v>
      </c>
      <c r="C388" s="2" t="s">
        <v>1513</v>
      </c>
      <c r="D388" s="2" t="s">
        <v>1514</v>
      </c>
      <c r="E388" s="2" t="s">
        <v>48</v>
      </c>
      <c r="F388" s="2" t="s">
        <v>25</v>
      </c>
      <c r="G388" s="5">
        <v>3062</v>
      </c>
      <c r="H388" s="5">
        <v>40</v>
      </c>
      <c r="I388" s="5">
        <v>1838</v>
      </c>
      <c r="J388" s="5">
        <v>1</v>
      </c>
      <c r="K388" s="2" t="s">
        <v>226</v>
      </c>
      <c r="L388" s="2" t="s">
        <v>64</v>
      </c>
      <c r="M388" s="4">
        <v>3.6</v>
      </c>
      <c r="N388" s="5">
        <v>76</v>
      </c>
      <c r="O388" s="3">
        <v>45799</v>
      </c>
      <c r="P388" s="2" t="s">
        <v>40</v>
      </c>
      <c r="Q388" s="2" t="s">
        <v>65</v>
      </c>
      <c r="R388" s="2" t="s">
        <v>104</v>
      </c>
      <c r="S388" s="2" t="s">
        <v>105</v>
      </c>
      <c r="T388" s="2" t="s">
        <v>32</v>
      </c>
    </row>
    <row r="389" spans="1:20" ht="12.5" x14ac:dyDescent="0.25">
      <c r="A389" s="2" t="s">
        <v>1515</v>
      </c>
      <c r="B389" s="2" t="s">
        <v>1516</v>
      </c>
      <c r="C389" s="2" t="s">
        <v>694</v>
      </c>
      <c r="D389" s="2" t="s">
        <v>1517</v>
      </c>
      <c r="E389" s="2" t="s">
        <v>55</v>
      </c>
      <c r="F389" s="2" t="s">
        <v>38</v>
      </c>
      <c r="G389" s="5">
        <v>724</v>
      </c>
      <c r="H389" s="5">
        <v>35</v>
      </c>
      <c r="I389" s="5">
        <v>471</v>
      </c>
      <c r="J389" s="5">
        <v>1</v>
      </c>
      <c r="K389" s="2">
        <v>44</v>
      </c>
      <c r="L389" s="2" t="s">
        <v>27</v>
      </c>
      <c r="M389" s="4">
        <v>4.7</v>
      </c>
      <c r="N389" s="5">
        <v>130</v>
      </c>
      <c r="O389" s="3">
        <v>45849</v>
      </c>
      <c r="P389" s="2" t="s">
        <v>40</v>
      </c>
      <c r="Q389" s="2" t="s">
        <v>78</v>
      </c>
      <c r="R389" s="2" t="s">
        <v>110</v>
      </c>
      <c r="S389" s="2" t="s">
        <v>111</v>
      </c>
      <c r="T389" s="2" t="s">
        <v>134</v>
      </c>
    </row>
    <row r="390" spans="1:20" ht="12.5" x14ac:dyDescent="0.25">
      <c r="A390" s="2" t="s">
        <v>1518</v>
      </c>
      <c r="B390" s="2" t="s">
        <v>1169</v>
      </c>
      <c r="C390" s="2" t="s">
        <v>1519</v>
      </c>
      <c r="D390" s="2" t="s">
        <v>1520</v>
      </c>
      <c r="E390" s="2" t="s">
        <v>147</v>
      </c>
      <c r="F390" s="2" t="s">
        <v>148</v>
      </c>
      <c r="G390" s="5">
        <v>3817</v>
      </c>
      <c r="H390" s="5">
        <v>40</v>
      </c>
      <c r="I390" s="5">
        <v>2291</v>
      </c>
      <c r="J390" s="5">
        <v>2</v>
      </c>
      <c r="K390" s="2" t="s">
        <v>261</v>
      </c>
      <c r="L390" s="2" t="s">
        <v>39</v>
      </c>
      <c r="M390" s="4">
        <v>4.8</v>
      </c>
      <c r="N390" s="5">
        <v>82</v>
      </c>
      <c r="O390" s="3">
        <v>45775</v>
      </c>
      <c r="P390" s="2" t="s">
        <v>57</v>
      </c>
      <c r="Q390" s="2" t="s">
        <v>65</v>
      </c>
      <c r="R390" s="2" t="s">
        <v>89</v>
      </c>
      <c r="S390" s="2" t="s">
        <v>90</v>
      </c>
      <c r="T390" s="2" t="s">
        <v>32</v>
      </c>
    </row>
    <row r="391" spans="1:20" ht="12.5" x14ac:dyDescent="0.25">
      <c r="A391" s="2" t="s">
        <v>1521</v>
      </c>
      <c r="B391" s="2" t="s">
        <v>522</v>
      </c>
      <c r="C391" s="2" t="s">
        <v>1522</v>
      </c>
      <c r="D391" s="2" t="s">
        <v>1523</v>
      </c>
      <c r="E391" s="2" t="s">
        <v>48</v>
      </c>
      <c r="F391" s="2" t="s">
        <v>25</v>
      </c>
      <c r="G391" s="5">
        <v>1104</v>
      </c>
      <c r="H391" s="5">
        <v>10</v>
      </c>
      <c r="I391" s="5">
        <v>994</v>
      </c>
      <c r="J391" s="5">
        <v>3</v>
      </c>
      <c r="K391" s="2" t="s">
        <v>261</v>
      </c>
      <c r="L391" s="2" t="s">
        <v>103</v>
      </c>
      <c r="M391" s="4">
        <v>3.8</v>
      </c>
      <c r="N391" s="5">
        <v>146</v>
      </c>
      <c r="O391" s="3">
        <v>45802</v>
      </c>
      <c r="P391" s="2" t="s">
        <v>57</v>
      </c>
      <c r="Q391" s="2" t="s">
        <v>78</v>
      </c>
      <c r="R391" s="2" t="s">
        <v>185</v>
      </c>
      <c r="S391" s="2" t="s">
        <v>186</v>
      </c>
      <c r="T391" s="2" t="s">
        <v>32</v>
      </c>
    </row>
    <row r="392" spans="1:20" ht="12.5" x14ac:dyDescent="0.25">
      <c r="A392" s="2" t="s">
        <v>1524</v>
      </c>
      <c r="B392" s="2" t="s">
        <v>1525</v>
      </c>
      <c r="C392" s="2" t="s">
        <v>330</v>
      </c>
      <c r="D392" s="2" t="s">
        <v>1526</v>
      </c>
      <c r="E392" s="2" t="s">
        <v>147</v>
      </c>
      <c r="F392" s="2" t="s">
        <v>148</v>
      </c>
      <c r="G392" s="5">
        <v>1669</v>
      </c>
      <c r="H392" s="5">
        <v>40</v>
      </c>
      <c r="I392" s="5">
        <v>1002</v>
      </c>
      <c r="J392" s="5">
        <v>1</v>
      </c>
      <c r="K392" s="2" t="s">
        <v>32</v>
      </c>
      <c r="L392" s="2" t="s">
        <v>103</v>
      </c>
      <c r="M392" s="4">
        <v>4.9000000000000004</v>
      </c>
      <c r="N392" s="5">
        <v>52</v>
      </c>
      <c r="O392" s="3">
        <v>45780</v>
      </c>
      <c r="P392" s="2" t="s">
        <v>28</v>
      </c>
      <c r="Q392" s="2" t="s">
        <v>29</v>
      </c>
      <c r="R392" s="2" t="s">
        <v>66</v>
      </c>
      <c r="S392" s="2" t="s">
        <v>67</v>
      </c>
      <c r="T392" s="2" t="s">
        <v>32</v>
      </c>
    </row>
    <row r="393" spans="1:20" ht="12.5" x14ac:dyDescent="0.25">
      <c r="A393" s="2" t="s">
        <v>1527</v>
      </c>
      <c r="B393" s="2" t="s">
        <v>125</v>
      </c>
      <c r="C393" s="2" t="s">
        <v>1528</v>
      </c>
      <c r="D393" s="2" t="s">
        <v>1529</v>
      </c>
      <c r="E393" s="2" t="s">
        <v>147</v>
      </c>
      <c r="F393" s="2" t="s">
        <v>148</v>
      </c>
      <c r="G393" s="5">
        <v>3651</v>
      </c>
      <c r="H393" s="5">
        <v>40</v>
      </c>
      <c r="I393" s="5">
        <v>2191</v>
      </c>
      <c r="J393" s="5">
        <v>3</v>
      </c>
      <c r="K393" s="2">
        <v>42</v>
      </c>
      <c r="L393" s="2" t="s">
        <v>49</v>
      </c>
      <c r="M393" s="4">
        <v>4.7</v>
      </c>
      <c r="N393" s="5">
        <v>231</v>
      </c>
      <c r="O393" s="3">
        <v>45839</v>
      </c>
      <c r="P393" s="2" t="s">
        <v>57</v>
      </c>
      <c r="Q393" s="2" t="s">
        <v>29</v>
      </c>
      <c r="R393" s="2" t="s">
        <v>41</v>
      </c>
      <c r="S393" s="2" t="s">
        <v>42</v>
      </c>
      <c r="T393" s="2" t="s">
        <v>32</v>
      </c>
    </row>
    <row r="394" spans="1:20" ht="12.5" x14ac:dyDescent="0.25">
      <c r="A394" s="2" t="s">
        <v>1530</v>
      </c>
      <c r="B394" s="2" t="s">
        <v>1531</v>
      </c>
      <c r="C394" s="2" t="s">
        <v>652</v>
      </c>
      <c r="D394" s="2" t="s">
        <v>1532</v>
      </c>
      <c r="E394" s="2" t="s">
        <v>48</v>
      </c>
      <c r="F394" s="2" t="s">
        <v>25</v>
      </c>
      <c r="G394" s="5">
        <v>2068</v>
      </c>
      <c r="H394" s="5">
        <v>40</v>
      </c>
      <c r="I394" s="5">
        <v>1241</v>
      </c>
      <c r="J394" s="5">
        <v>2</v>
      </c>
      <c r="K394" s="2" t="s">
        <v>26</v>
      </c>
      <c r="L394" s="2" t="s">
        <v>168</v>
      </c>
      <c r="M394" s="4">
        <v>3.5</v>
      </c>
      <c r="N394" s="5">
        <v>112</v>
      </c>
      <c r="O394" s="3">
        <v>45800</v>
      </c>
      <c r="P394" s="2" t="s">
        <v>28</v>
      </c>
      <c r="Q394" s="2" t="s">
        <v>65</v>
      </c>
      <c r="R394" s="2" t="s">
        <v>41</v>
      </c>
      <c r="S394" s="2" t="s">
        <v>42</v>
      </c>
      <c r="T394" s="2" t="s">
        <v>32</v>
      </c>
    </row>
    <row r="395" spans="1:20" ht="12.5" x14ac:dyDescent="0.25">
      <c r="A395" s="2" t="s">
        <v>1533</v>
      </c>
      <c r="B395" s="2" t="s">
        <v>1534</v>
      </c>
      <c r="C395" s="2" t="s">
        <v>1535</v>
      </c>
      <c r="D395" s="2" t="s">
        <v>1536</v>
      </c>
      <c r="E395" s="2" t="s">
        <v>48</v>
      </c>
      <c r="F395" s="2" t="s">
        <v>25</v>
      </c>
      <c r="G395" s="5">
        <v>2298</v>
      </c>
      <c r="H395" s="5">
        <v>35</v>
      </c>
      <c r="I395" s="5">
        <v>1494</v>
      </c>
      <c r="J395" s="5">
        <v>3</v>
      </c>
      <c r="K395" s="2" t="s">
        <v>26</v>
      </c>
      <c r="L395" s="2" t="s">
        <v>168</v>
      </c>
      <c r="M395" s="4">
        <v>3.8</v>
      </c>
      <c r="N395" s="5">
        <v>28</v>
      </c>
      <c r="O395" s="3">
        <v>45777</v>
      </c>
      <c r="P395" s="2" t="s">
        <v>28</v>
      </c>
      <c r="Q395" s="2" t="s">
        <v>65</v>
      </c>
      <c r="R395" s="2" t="s">
        <v>58</v>
      </c>
      <c r="S395" s="2" t="s">
        <v>59</v>
      </c>
      <c r="T395" s="2" t="s">
        <v>32</v>
      </c>
    </row>
    <row r="396" spans="1:20" ht="12.5" x14ac:dyDescent="0.25">
      <c r="A396" s="2" t="s">
        <v>1537</v>
      </c>
      <c r="B396" s="2" t="s">
        <v>1538</v>
      </c>
      <c r="C396" s="2" t="s">
        <v>1539</v>
      </c>
      <c r="D396" s="2" t="s">
        <v>1540</v>
      </c>
      <c r="E396" s="2" t="s">
        <v>132</v>
      </c>
      <c r="F396" s="2" t="s">
        <v>38</v>
      </c>
      <c r="G396" s="5">
        <v>4656</v>
      </c>
      <c r="H396" s="5">
        <v>20</v>
      </c>
      <c r="I396" s="5">
        <v>3725</v>
      </c>
      <c r="J396" s="5">
        <v>2</v>
      </c>
      <c r="K396" s="2">
        <v>42</v>
      </c>
      <c r="L396" s="2" t="s">
        <v>88</v>
      </c>
      <c r="M396" s="4">
        <v>4.5999999999999996</v>
      </c>
      <c r="N396" s="5">
        <v>115</v>
      </c>
      <c r="O396" s="3">
        <v>45786</v>
      </c>
      <c r="P396" s="2" t="s">
        <v>40</v>
      </c>
      <c r="Q396" s="2" t="s">
        <v>78</v>
      </c>
      <c r="R396" s="2" t="s">
        <v>149</v>
      </c>
      <c r="S396" s="2" t="s">
        <v>150</v>
      </c>
      <c r="T396" s="2" t="s">
        <v>203</v>
      </c>
    </row>
    <row r="397" spans="1:20" ht="12.5" x14ac:dyDescent="0.25">
      <c r="A397" s="2" t="s">
        <v>1541</v>
      </c>
      <c r="B397" s="2" t="s">
        <v>314</v>
      </c>
      <c r="C397" s="2" t="s">
        <v>1542</v>
      </c>
      <c r="D397" s="2" t="s">
        <v>1543</v>
      </c>
      <c r="E397" s="2" t="s">
        <v>208</v>
      </c>
      <c r="F397" s="2" t="s">
        <v>117</v>
      </c>
      <c r="G397" s="5">
        <v>4279</v>
      </c>
      <c r="H397" s="5">
        <v>40</v>
      </c>
      <c r="I397" s="5">
        <v>2568</v>
      </c>
      <c r="J397" s="5">
        <v>1</v>
      </c>
      <c r="K397" s="2" t="s">
        <v>226</v>
      </c>
      <c r="L397" s="2" t="s">
        <v>133</v>
      </c>
      <c r="M397" s="4">
        <v>3.6</v>
      </c>
      <c r="N397" s="5">
        <v>122</v>
      </c>
      <c r="O397" s="3">
        <v>45824</v>
      </c>
      <c r="P397" s="2" t="s">
        <v>40</v>
      </c>
      <c r="Q397" s="2" t="s">
        <v>78</v>
      </c>
      <c r="R397" s="2" t="s">
        <v>185</v>
      </c>
      <c r="S397" s="2" t="s">
        <v>186</v>
      </c>
      <c r="T397" s="2" t="s">
        <v>203</v>
      </c>
    </row>
    <row r="398" spans="1:20" ht="12.5" x14ac:dyDescent="0.25">
      <c r="A398" s="2" t="s">
        <v>1544</v>
      </c>
      <c r="B398" s="2" t="s">
        <v>1545</v>
      </c>
      <c r="C398" s="2" t="s">
        <v>1546</v>
      </c>
      <c r="D398" s="2" t="s">
        <v>1547</v>
      </c>
      <c r="E398" s="2" t="s">
        <v>247</v>
      </c>
      <c r="F398" s="2" t="s">
        <v>248</v>
      </c>
      <c r="G398" s="5">
        <v>1119</v>
      </c>
      <c r="H398" s="5">
        <v>15</v>
      </c>
      <c r="I398" s="5">
        <v>952</v>
      </c>
      <c r="J398" s="5">
        <v>3</v>
      </c>
      <c r="K398" s="2" t="s">
        <v>163</v>
      </c>
      <c r="L398" s="2" t="s">
        <v>88</v>
      </c>
      <c r="M398" s="4">
        <v>4.8</v>
      </c>
      <c r="N398" s="5">
        <v>132</v>
      </c>
      <c r="O398" s="3">
        <v>45781</v>
      </c>
      <c r="P398" s="2" t="s">
        <v>28</v>
      </c>
      <c r="Q398" s="2" t="s">
        <v>29</v>
      </c>
      <c r="R398" s="2" t="s">
        <v>30</v>
      </c>
      <c r="S398" s="2" t="s">
        <v>31</v>
      </c>
      <c r="T398" s="2" t="s">
        <v>32</v>
      </c>
    </row>
    <row r="399" spans="1:20" ht="12.5" x14ac:dyDescent="0.25">
      <c r="A399" s="2" t="s">
        <v>1548</v>
      </c>
      <c r="B399" s="2" t="s">
        <v>1549</v>
      </c>
      <c r="C399" s="2" t="s">
        <v>1550</v>
      </c>
      <c r="D399" s="2" t="s">
        <v>1551</v>
      </c>
      <c r="E399" s="2" t="s">
        <v>208</v>
      </c>
      <c r="F399" s="2" t="s">
        <v>117</v>
      </c>
      <c r="G399" s="5">
        <v>3450</v>
      </c>
      <c r="H399" s="5">
        <v>10</v>
      </c>
      <c r="I399" s="5">
        <v>3105</v>
      </c>
      <c r="J399" s="5">
        <v>3</v>
      </c>
      <c r="K399" s="2" t="s">
        <v>56</v>
      </c>
      <c r="L399" s="2" t="s">
        <v>133</v>
      </c>
      <c r="M399" s="4">
        <v>5</v>
      </c>
      <c r="N399" s="5">
        <v>29</v>
      </c>
      <c r="O399" s="3">
        <v>45857</v>
      </c>
      <c r="P399" s="2" t="s">
        <v>28</v>
      </c>
      <c r="Q399" s="2" t="s">
        <v>78</v>
      </c>
      <c r="R399" s="2" t="s">
        <v>104</v>
      </c>
      <c r="S399" s="2" t="s">
        <v>105</v>
      </c>
      <c r="T399" s="2" t="s">
        <v>32</v>
      </c>
    </row>
    <row r="400" spans="1:20" ht="12.5" x14ac:dyDescent="0.25">
      <c r="A400" s="2" t="s">
        <v>1552</v>
      </c>
      <c r="B400" s="2" t="s">
        <v>1553</v>
      </c>
      <c r="C400" s="2" t="s">
        <v>1554</v>
      </c>
      <c r="D400" s="2" t="s">
        <v>1555</v>
      </c>
      <c r="E400" s="2" t="s">
        <v>122</v>
      </c>
      <c r="F400" s="2" t="s">
        <v>123</v>
      </c>
      <c r="G400" s="5">
        <v>4054</v>
      </c>
      <c r="H400" s="5">
        <v>10</v>
      </c>
      <c r="I400" s="5">
        <v>3649</v>
      </c>
      <c r="J400" s="5">
        <v>3</v>
      </c>
      <c r="K400" s="2" t="s">
        <v>261</v>
      </c>
      <c r="L400" s="2" t="s">
        <v>103</v>
      </c>
      <c r="M400" s="4">
        <v>4.9000000000000004</v>
      </c>
      <c r="N400" s="5">
        <v>92</v>
      </c>
      <c r="O400" s="3">
        <v>45835</v>
      </c>
      <c r="P400" s="2" t="s">
        <v>40</v>
      </c>
      <c r="Q400" s="2" t="s">
        <v>29</v>
      </c>
      <c r="R400" s="2" t="s">
        <v>104</v>
      </c>
      <c r="S400" s="2" t="s">
        <v>105</v>
      </c>
      <c r="T400" s="2" t="s">
        <v>134</v>
      </c>
    </row>
    <row r="401" spans="1:20" ht="12.5" x14ac:dyDescent="0.25">
      <c r="A401" s="2" t="s">
        <v>1556</v>
      </c>
      <c r="B401" s="2" t="s">
        <v>1557</v>
      </c>
      <c r="C401" s="2" t="s">
        <v>1558</v>
      </c>
      <c r="D401" s="2" t="s">
        <v>1559</v>
      </c>
      <c r="E401" s="2" t="s">
        <v>247</v>
      </c>
      <c r="F401" s="2" t="s">
        <v>248</v>
      </c>
      <c r="G401" s="5">
        <v>4586</v>
      </c>
      <c r="H401" s="5">
        <v>10</v>
      </c>
      <c r="I401" s="5">
        <v>4128</v>
      </c>
      <c r="J401" s="5">
        <v>2</v>
      </c>
      <c r="K401" s="2">
        <v>42</v>
      </c>
      <c r="L401" s="2" t="s">
        <v>209</v>
      </c>
      <c r="M401" s="4">
        <v>4.5</v>
      </c>
      <c r="N401" s="5">
        <v>239</v>
      </c>
      <c r="O401" s="3">
        <v>45848</v>
      </c>
      <c r="P401" s="2" t="s">
        <v>28</v>
      </c>
      <c r="Q401" s="2" t="s">
        <v>29</v>
      </c>
      <c r="R401" s="2" t="s">
        <v>30</v>
      </c>
      <c r="S401" s="2" t="s">
        <v>31</v>
      </c>
      <c r="T401" s="2" t="s">
        <v>32</v>
      </c>
    </row>
    <row r="402" spans="1:20" ht="12.5" x14ac:dyDescent="0.25">
      <c r="A402" s="2" t="s">
        <v>1560</v>
      </c>
      <c r="B402" s="2" t="s">
        <v>275</v>
      </c>
      <c r="C402" s="2" t="s">
        <v>1561</v>
      </c>
      <c r="D402" s="2" t="s">
        <v>1562</v>
      </c>
      <c r="E402" s="2" t="s">
        <v>116</v>
      </c>
      <c r="F402" s="2" t="s">
        <v>117</v>
      </c>
      <c r="G402" s="5">
        <v>1578</v>
      </c>
      <c r="H402" s="5">
        <v>10</v>
      </c>
      <c r="I402" s="5">
        <v>1421</v>
      </c>
      <c r="J402" s="5">
        <v>2</v>
      </c>
      <c r="K402" s="2">
        <v>44</v>
      </c>
      <c r="L402" s="2" t="s">
        <v>27</v>
      </c>
      <c r="M402" s="4">
        <v>3.7</v>
      </c>
      <c r="N402" s="5">
        <v>38</v>
      </c>
      <c r="O402" s="3">
        <v>45773</v>
      </c>
      <c r="P402" s="2" t="s">
        <v>57</v>
      </c>
      <c r="Q402" s="2" t="s">
        <v>29</v>
      </c>
      <c r="R402" s="2" t="s">
        <v>66</v>
      </c>
      <c r="S402" s="2" t="s">
        <v>67</v>
      </c>
      <c r="T402" s="2" t="s">
        <v>32</v>
      </c>
    </row>
    <row r="403" spans="1:20" ht="12.5" x14ac:dyDescent="0.25">
      <c r="A403" s="2" t="s">
        <v>1563</v>
      </c>
      <c r="B403" s="2" t="s">
        <v>1564</v>
      </c>
      <c r="C403" s="2" t="s">
        <v>1565</v>
      </c>
      <c r="D403" s="2" t="s">
        <v>1566</v>
      </c>
      <c r="E403" s="2" t="s">
        <v>48</v>
      </c>
      <c r="F403" s="2" t="s">
        <v>25</v>
      </c>
      <c r="G403" s="5">
        <v>3118</v>
      </c>
      <c r="H403" s="5">
        <v>20</v>
      </c>
      <c r="I403" s="5">
        <v>2495</v>
      </c>
      <c r="J403" s="5">
        <v>2</v>
      </c>
      <c r="K403" s="2" t="s">
        <v>226</v>
      </c>
      <c r="L403" s="2" t="s">
        <v>133</v>
      </c>
      <c r="M403" s="4">
        <v>4.2</v>
      </c>
      <c r="N403" s="5">
        <v>186</v>
      </c>
      <c r="O403" s="3">
        <v>45840</v>
      </c>
      <c r="P403" s="2" t="s">
        <v>57</v>
      </c>
      <c r="Q403" s="2" t="s">
        <v>78</v>
      </c>
      <c r="R403" s="2" t="s">
        <v>185</v>
      </c>
      <c r="S403" s="2" t="s">
        <v>186</v>
      </c>
      <c r="T403" s="2" t="s">
        <v>32</v>
      </c>
    </row>
    <row r="404" spans="1:20" ht="12.5" x14ac:dyDescent="0.25">
      <c r="A404" s="2" t="s">
        <v>1567</v>
      </c>
      <c r="B404" s="2" t="s">
        <v>1568</v>
      </c>
      <c r="C404" s="2" t="s">
        <v>1569</v>
      </c>
      <c r="D404" s="2" t="s">
        <v>1570</v>
      </c>
      <c r="E404" s="2" t="s">
        <v>55</v>
      </c>
      <c r="F404" s="2" t="s">
        <v>38</v>
      </c>
      <c r="G404" s="5">
        <v>3792</v>
      </c>
      <c r="H404" s="5">
        <v>30</v>
      </c>
      <c r="I404" s="5">
        <v>2655</v>
      </c>
      <c r="J404" s="5">
        <v>3</v>
      </c>
      <c r="K404" s="2" t="s">
        <v>261</v>
      </c>
      <c r="L404" s="2" t="s">
        <v>73</v>
      </c>
      <c r="M404" s="4">
        <v>4.7</v>
      </c>
      <c r="N404" s="5">
        <v>133</v>
      </c>
      <c r="O404" s="3">
        <v>45782</v>
      </c>
      <c r="P404" s="2" t="s">
        <v>28</v>
      </c>
      <c r="Q404" s="2" t="s">
        <v>65</v>
      </c>
      <c r="R404" s="2" t="s">
        <v>30</v>
      </c>
      <c r="S404" s="2" t="s">
        <v>31</v>
      </c>
      <c r="T404" s="2" t="s">
        <v>32</v>
      </c>
    </row>
    <row r="405" spans="1:20" ht="12.5" x14ac:dyDescent="0.25">
      <c r="A405" s="2" t="s">
        <v>1571</v>
      </c>
      <c r="B405" s="2" t="s">
        <v>160</v>
      </c>
      <c r="C405" s="2" t="s">
        <v>1572</v>
      </c>
      <c r="D405" s="2" t="s">
        <v>1573</v>
      </c>
      <c r="E405" s="2" t="s">
        <v>55</v>
      </c>
      <c r="F405" s="2" t="s">
        <v>38</v>
      </c>
      <c r="G405" s="5">
        <v>4550</v>
      </c>
      <c r="H405" s="5">
        <v>40</v>
      </c>
      <c r="I405" s="5">
        <v>2730</v>
      </c>
      <c r="J405" s="5">
        <v>3</v>
      </c>
      <c r="K405" s="2" t="s">
        <v>32</v>
      </c>
      <c r="L405" s="2" t="s">
        <v>39</v>
      </c>
      <c r="M405" s="4">
        <v>3.5</v>
      </c>
      <c r="N405" s="5">
        <v>252</v>
      </c>
      <c r="O405" s="3">
        <v>45786</v>
      </c>
      <c r="P405" s="2" t="s">
        <v>40</v>
      </c>
      <c r="Q405" s="2" t="s">
        <v>78</v>
      </c>
      <c r="R405" s="2" t="s">
        <v>185</v>
      </c>
      <c r="S405" s="2" t="s">
        <v>186</v>
      </c>
      <c r="T405" s="2" t="s">
        <v>32</v>
      </c>
    </row>
    <row r="406" spans="1:20" ht="12.5" x14ac:dyDescent="0.25">
      <c r="A406" s="2" t="s">
        <v>1574</v>
      </c>
      <c r="B406" s="2" t="s">
        <v>69</v>
      </c>
      <c r="C406" s="2" t="s">
        <v>1575</v>
      </c>
      <c r="D406" s="2" t="s">
        <v>1576</v>
      </c>
      <c r="E406" s="2" t="s">
        <v>122</v>
      </c>
      <c r="F406" s="2" t="s">
        <v>123</v>
      </c>
      <c r="G406" s="5">
        <v>1729</v>
      </c>
      <c r="H406" s="5">
        <v>20</v>
      </c>
      <c r="I406" s="5">
        <v>1384</v>
      </c>
      <c r="J406" s="5">
        <v>2</v>
      </c>
      <c r="K406" s="2">
        <v>44</v>
      </c>
      <c r="L406" s="2" t="s">
        <v>133</v>
      </c>
      <c r="M406" s="4">
        <v>4.0999999999999996</v>
      </c>
      <c r="N406" s="5">
        <v>37</v>
      </c>
      <c r="O406" s="3">
        <v>45818</v>
      </c>
      <c r="P406" s="2" t="s">
        <v>28</v>
      </c>
      <c r="Q406" s="2" t="s">
        <v>65</v>
      </c>
      <c r="R406" s="2" t="s">
        <v>66</v>
      </c>
      <c r="S406" s="2" t="s">
        <v>67</v>
      </c>
      <c r="T406" s="2" t="s">
        <v>32</v>
      </c>
    </row>
    <row r="407" spans="1:20" ht="12.5" x14ac:dyDescent="0.25">
      <c r="A407" s="2" t="s">
        <v>1577</v>
      </c>
      <c r="B407" s="2" t="s">
        <v>80</v>
      </c>
      <c r="C407" s="2" t="s">
        <v>1578</v>
      </c>
      <c r="D407" s="2" t="s">
        <v>1579</v>
      </c>
      <c r="E407" s="2" t="s">
        <v>132</v>
      </c>
      <c r="F407" s="2" t="s">
        <v>38</v>
      </c>
      <c r="G407" s="5">
        <v>1792</v>
      </c>
      <c r="H407" s="5">
        <v>25</v>
      </c>
      <c r="I407" s="5">
        <v>1344</v>
      </c>
      <c r="J407" s="5">
        <v>2</v>
      </c>
      <c r="K407" s="2" t="s">
        <v>32</v>
      </c>
      <c r="L407" s="2" t="s">
        <v>209</v>
      </c>
      <c r="M407" s="4">
        <v>4.5</v>
      </c>
      <c r="N407" s="5">
        <v>141</v>
      </c>
      <c r="O407" s="3">
        <v>45799</v>
      </c>
      <c r="P407" s="2" t="s">
        <v>40</v>
      </c>
      <c r="Q407" s="2" t="s">
        <v>65</v>
      </c>
      <c r="R407" s="2" t="s">
        <v>185</v>
      </c>
      <c r="S407" s="2" t="s">
        <v>186</v>
      </c>
      <c r="T407" s="2" t="s">
        <v>203</v>
      </c>
    </row>
    <row r="408" spans="1:20" ht="12.5" x14ac:dyDescent="0.25">
      <c r="A408" s="2" t="s">
        <v>1580</v>
      </c>
      <c r="B408" s="2" t="s">
        <v>809</v>
      </c>
      <c r="C408" s="2" t="s">
        <v>1581</v>
      </c>
      <c r="D408" s="2" t="s">
        <v>1582</v>
      </c>
      <c r="E408" s="2" t="s">
        <v>48</v>
      </c>
      <c r="F408" s="2" t="s">
        <v>25</v>
      </c>
      <c r="G408" s="5">
        <v>2430</v>
      </c>
      <c r="H408" s="5">
        <v>35</v>
      </c>
      <c r="I408" s="5">
        <v>1580</v>
      </c>
      <c r="J408" s="5">
        <v>1</v>
      </c>
      <c r="K408" s="2" t="s">
        <v>261</v>
      </c>
      <c r="L408" s="2" t="s">
        <v>64</v>
      </c>
      <c r="M408" s="4">
        <v>3.7</v>
      </c>
      <c r="N408" s="5">
        <v>221</v>
      </c>
      <c r="O408" s="3">
        <v>45795</v>
      </c>
      <c r="P408" s="2" t="s">
        <v>40</v>
      </c>
      <c r="Q408" s="2" t="s">
        <v>65</v>
      </c>
      <c r="R408" s="2" t="s">
        <v>41</v>
      </c>
      <c r="S408" s="2" t="s">
        <v>42</v>
      </c>
      <c r="T408" s="2" t="s">
        <v>134</v>
      </c>
    </row>
    <row r="409" spans="1:20" ht="12.5" x14ac:dyDescent="0.25">
      <c r="A409" s="2" t="s">
        <v>1583</v>
      </c>
      <c r="B409" s="2" t="s">
        <v>905</v>
      </c>
      <c r="C409" s="2" t="s">
        <v>1584</v>
      </c>
      <c r="D409" s="2" t="s">
        <v>1585</v>
      </c>
      <c r="E409" s="2" t="s">
        <v>37</v>
      </c>
      <c r="F409" s="2" t="s">
        <v>38</v>
      </c>
      <c r="G409" s="5">
        <v>4647</v>
      </c>
      <c r="H409" s="5">
        <v>40</v>
      </c>
      <c r="I409" s="5">
        <v>2789</v>
      </c>
      <c r="J409" s="5">
        <v>2</v>
      </c>
      <c r="K409" s="2">
        <v>44</v>
      </c>
      <c r="L409" s="2" t="s">
        <v>49</v>
      </c>
      <c r="M409" s="4">
        <v>4.2</v>
      </c>
      <c r="N409" s="5">
        <v>267</v>
      </c>
      <c r="O409" s="3">
        <v>45825</v>
      </c>
      <c r="P409" s="2" t="s">
        <v>28</v>
      </c>
      <c r="Q409" s="2" t="s">
        <v>29</v>
      </c>
      <c r="R409" s="2" t="s">
        <v>83</v>
      </c>
      <c r="S409" s="2" t="s">
        <v>83</v>
      </c>
      <c r="T409" s="2" t="s">
        <v>32</v>
      </c>
    </row>
    <row r="410" spans="1:20" ht="12.5" x14ac:dyDescent="0.25">
      <c r="A410" s="2" t="s">
        <v>1586</v>
      </c>
      <c r="B410" s="2" t="s">
        <v>1050</v>
      </c>
      <c r="C410" s="2" t="s">
        <v>1587</v>
      </c>
      <c r="D410" s="2" t="s">
        <v>1588</v>
      </c>
      <c r="E410" s="2" t="s">
        <v>116</v>
      </c>
      <c r="F410" s="2" t="s">
        <v>117</v>
      </c>
      <c r="G410" s="5">
        <v>4486</v>
      </c>
      <c r="H410" s="5">
        <v>20</v>
      </c>
      <c r="I410" s="5">
        <v>3589</v>
      </c>
      <c r="J410" s="5">
        <v>1</v>
      </c>
      <c r="K410" s="2">
        <v>44</v>
      </c>
      <c r="L410" s="2" t="s">
        <v>39</v>
      </c>
      <c r="M410" s="4">
        <v>4.9000000000000004</v>
      </c>
      <c r="N410" s="5">
        <v>63</v>
      </c>
      <c r="O410" s="3">
        <v>45823</v>
      </c>
      <c r="P410" s="2" t="s">
        <v>28</v>
      </c>
      <c r="Q410" s="2" t="s">
        <v>65</v>
      </c>
      <c r="R410" s="2" t="s">
        <v>149</v>
      </c>
      <c r="S410" s="2" t="s">
        <v>150</v>
      </c>
      <c r="T410" s="2" t="s">
        <v>32</v>
      </c>
    </row>
    <row r="411" spans="1:20" ht="12.5" x14ac:dyDescent="0.25">
      <c r="A411" s="2" t="s">
        <v>1589</v>
      </c>
      <c r="B411" s="2" t="s">
        <v>107</v>
      </c>
      <c r="C411" s="2" t="s">
        <v>1590</v>
      </c>
      <c r="D411" s="2" t="s">
        <v>1591</v>
      </c>
      <c r="E411" s="2" t="s">
        <v>132</v>
      </c>
      <c r="F411" s="2" t="s">
        <v>38</v>
      </c>
      <c r="G411" s="5">
        <v>3126</v>
      </c>
      <c r="H411" s="5">
        <v>10</v>
      </c>
      <c r="I411" s="5">
        <v>2814</v>
      </c>
      <c r="J411" s="5">
        <v>3</v>
      </c>
      <c r="K411" s="2" t="s">
        <v>226</v>
      </c>
      <c r="L411" s="2" t="s">
        <v>133</v>
      </c>
      <c r="M411" s="4">
        <v>3.7</v>
      </c>
      <c r="N411" s="5">
        <v>15</v>
      </c>
      <c r="O411" s="3">
        <v>45837</v>
      </c>
      <c r="P411" s="2" t="s">
        <v>28</v>
      </c>
      <c r="Q411" s="2" t="s">
        <v>29</v>
      </c>
      <c r="R411" s="2" t="s">
        <v>104</v>
      </c>
      <c r="S411" s="2" t="s">
        <v>105</v>
      </c>
      <c r="T411" s="2" t="s">
        <v>32</v>
      </c>
    </row>
    <row r="412" spans="1:20" ht="12.5" x14ac:dyDescent="0.25">
      <c r="A412" s="2" t="s">
        <v>1592</v>
      </c>
      <c r="B412" s="2" t="s">
        <v>677</v>
      </c>
      <c r="C412" s="2" t="s">
        <v>1593</v>
      </c>
      <c r="D412" s="2" t="s">
        <v>1594</v>
      </c>
      <c r="E412" s="2" t="s">
        <v>37</v>
      </c>
      <c r="F412" s="2" t="s">
        <v>38</v>
      </c>
      <c r="G412" s="5">
        <v>1404</v>
      </c>
      <c r="H412" s="5">
        <v>10</v>
      </c>
      <c r="I412" s="5">
        <v>1264</v>
      </c>
      <c r="J412" s="5">
        <v>1</v>
      </c>
      <c r="K412" s="2">
        <v>44</v>
      </c>
      <c r="L412" s="2" t="s">
        <v>168</v>
      </c>
      <c r="M412" s="4">
        <v>3.7</v>
      </c>
      <c r="N412" s="5">
        <v>239</v>
      </c>
      <c r="O412" s="3">
        <v>45791</v>
      </c>
      <c r="P412" s="2" t="s">
        <v>40</v>
      </c>
      <c r="Q412" s="2" t="s">
        <v>29</v>
      </c>
      <c r="R412" s="2" t="s">
        <v>66</v>
      </c>
      <c r="S412" s="2" t="s">
        <v>67</v>
      </c>
      <c r="T412" s="2" t="s">
        <v>134</v>
      </c>
    </row>
    <row r="413" spans="1:20" ht="12.5" x14ac:dyDescent="0.25">
      <c r="A413" s="2" t="s">
        <v>1595</v>
      </c>
      <c r="B413" s="2" t="s">
        <v>1596</v>
      </c>
      <c r="C413" s="2" t="s">
        <v>1597</v>
      </c>
      <c r="D413" s="2" t="s">
        <v>1598</v>
      </c>
      <c r="E413" s="2" t="s">
        <v>55</v>
      </c>
      <c r="F413" s="2" t="s">
        <v>38</v>
      </c>
      <c r="G413" s="5">
        <v>4075</v>
      </c>
      <c r="H413" s="5">
        <v>10</v>
      </c>
      <c r="I413" s="5">
        <v>3668</v>
      </c>
      <c r="J413" s="5">
        <v>3</v>
      </c>
      <c r="K413" s="2" t="s">
        <v>72</v>
      </c>
      <c r="L413" s="2" t="s">
        <v>27</v>
      </c>
      <c r="M413" s="4">
        <v>4.2</v>
      </c>
      <c r="N413" s="5">
        <v>170</v>
      </c>
      <c r="O413" s="3">
        <v>45802</v>
      </c>
      <c r="P413" s="2" t="s">
        <v>28</v>
      </c>
      <c r="Q413" s="2" t="s">
        <v>65</v>
      </c>
      <c r="R413" s="2" t="s">
        <v>89</v>
      </c>
      <c r="S413" s="2" t="s">
        <v>90</v>
      </c>
      <c r="T413" s="2" t="s">
        <v>32</v>
      </c>
    </row>
    <row r="414" spans="1:20" ht="12.5" x14ac:dyDescent="0.25">
      <c r="A414" s="2" t="s">
        <v>1599</v>
      </c>
      <c r="B414" s="2" t="s">
        <v>1600</v>
      </c>
      <c r="C414" s="2" t="s">
        <v>1601</v>
      </c>
      <c r="D414" s="2" t="s">
        <v>1602</v>
      </c>
      <c r="E414" s="2" t="s">
        <v>48</v>
      </c>
      <c r="F414" s="2" t="s">
        <v>25</v>
      </c>
      <c r="G414" s="5">
        <v>1014</v>
      </c>
      <c r="H414" s="5">
        <v>20</v>
      </c>
      <c r="I414" s="5">
        <v>812</v>
      </c>
      <c r="J414" s="5">
        <v>2</v>
      </c>
      <c r="K414" s="2" t="s">
        <v>261</v>
      </c>
      <c r="L414" s="2" t="s">
        <v>133</v>
      </c>
      <c r="M414" s="4">
        <v>3.7</v>
      </c>
      <c r="N414" s="5">
        <v>12</v>
      </c>
      <c r="O414" s="3">
        <v>45827</v>
      </c>
      <c r="P414" s="2" t="s">
        <v>57</v>
      </c>
      <c r="Q414" s="2" t="s">
        <v>65</v>
      </c>
      <c r="R414" s="2" t="s">
        <v>58</v>
      </c>
      <c r="S414" s="2" t="s">
        <v>59</v>
      </c>
      <c r="T414" s="2" t="s">
        <v>32</v>
      </c>
    </row>
    <row r="415" spans="1:20" ht="12.5" x14ac:dyDescent="0.25">
      <c r="A415" s="2" t="s">
        <v>1603</v>
      </c>
      <c r="B415" s="2" t="s">
        <v>677</v>
      </c>
      <c r="C415" s="2" t="s">
        <v>1604</v>
      </c>
      <c r="D415" s="2" t="s">
        <v>1605</v>
      </c>
      <c r="E415" s="2" t="s">
        <v>122</v>
      </c>
      <c r="F415" s="2" t="s">
        <v>123</v>
      </c>
      <c r="G415" s="5">
        <v>2286</v>
      </c>
      <c r="H415" s="5">
        <v>10</v>
      </c>
      <c r="I415" s="5">
        <v>2058</v>
      </c>
      <c r="J415" s="5">
        <v>3</v>
      </c>
      <c r="K415" s="2" t="s">
        <v>226</v>
      </c>
      <c r="L415" s="2" t="s">
        <v>209</v>
      </c>
      <c r="M415" s="4">
        <v>4.8</v>
      </c>
      <c r="N415" s="5">
        <v>269</v>
      </c>
      <c r="O415" s="3">
        <v>45838</v>
      </c>
      <c r="P415" s="2" t="s">
        <v>57</v>
      </c>
      <c r="Q415" s="2" t="s">
        <v>29</v>
      </c>
      <c r="R415" s="2" t="s">
        <v>41</v>
      </c>
      <c r="S415" s="2" t="s">
        <v>42</v>
      </c>
      <c r="T415" s="2" t="s">
        <v>32</v>
      </c>
    </row>
    <row r="416" spans="1:20" ht="12.5" x14ac:dyDescent="0.25">
      <c r="A416" s="2" t="s">
        <v>1606</v>
      </c>
      <c r="B416" s="2" t="s">
        <v>1549</v>
      </c>
      <c r="C416" s="2" t="s">
        <v>1607</v>
      </c>
      <c r="D416" s="2" t="s">
        <v>1608</v>
      </c>
      <c r="E416" s="2" t="s">
        <v>132</v>
      </c>
      <c r="F416" s="2" t="s">
        <v>38</v>
      </c>
      <c r="G416" s="5">
        <v>1508</v>
      </c>
      <c r="H416" s="5">
        <v>35</v>
      </c>
      <c r="I416" s="5">
        <v>981</v>
      </c>
      <c r="J416" s="5">
        <v>2</v>
      </c>
      <c r="K416" s="2" t="s">
        <v>72</v>
      </c>
      <c r="L416" s="2" t="s">
        <v>209</v>
      </c>
      <c r="M416" s="4">
        <v>4.8</v>
      </c>
      <c r="N416" s="5">
        <v>142</v>
      </c>
      <c r="O416" s="3">
        <v>45799</v>
      </c>
      <c r="P416" s="2" t="s">
        <v>28</v>
      </c>
      <c r="Q416" s="2" t="s">
        <v>78</v>
      </c>
      <c r="R416" s="2" t="s">
        <v>149</v>
      </c>
      <c r="S416" s="2" t="s">
        <v>150</v>
      </c>
      <c r="T416" s="2" t="s">
        <v>32</v>
      </c>
    </row>
    <row r="417" spans="1:20" ht="12.5" x14ac:dyDescent="0.25">
      <c r="A417" s="2" t="s">
        <v>1609</v>
      </c>
      <c r="B417" s="2" t="s">
        <v>1610</v>
      </c>
      <c r="C417" s="2" t="s">
        <v>1611</v>
      </c>
      <c r="D417" s="2" t="s">
        <v>1612</v>
      </c>
      <c r="E417" s="2" t="s">
        <v>116</v>
      </c>
      <c r="F417" s="2" t="s">
        <v>117</v>
      </c>
      <c r="G417" s="5">
        <v>1716</v>
      </c>
      <c r="H417" s="5">
        <v>35</v>
      </c>
      <c r="I417" s="5">
        <v>1116</v>
      </c>
      <c r="J417" s="5">
        <v>1</v>
      </c>
      <c r="K417" s="2" t="s">
        <v>26</v>
      </c>
      <c r="L417" s="2" t="s">
        <v>49</v>
      </c>
      <c r="M417" s="4">
        <v>4.9000000000000004</v>
      </c>
      <c r="N417" s="5">
        <v>272</v>
      </c>
      <c r="O417" s="3">
        <v>45791</v>
      </c>
      <c r="P417" s="2" t="s">
        <v>57</v>
      </c>
      <c r="Q417" s="2" t="s">
        <v>78</v>
      </c>
      <c r="R417" s="2" t="s">
        <v>110</v>
      </c>
      <c r="S417" s="2" t="s">
        <v>111</v>
      </c>
      <c r="T417" s="2" t="s">
        <v>32</v>
      </c>
    </row>
    <row r="418" spans="1:20" ht="12.5" x14ac:dyDescent="0.25">
      <c r="A418" s="2" t="s">
        <v>1613</v>
      </c>
      <c r="B418" s="2" t="s">
        <v>34</v>
      </c>
      <c r="C418" s="2" t="s">
        <v>1614</v>
      </c>
      <c r="D418" s="2" t="s">
        <v>1615</v>
      </c>
      <c r="E418" s="2" t="s">
        <v>24</v>
      </c>
      <c r="F418" s="2" t="s">
        <v>25</v>
      </c>
      <c r="G418" s="5">
        <v>789</v>
      </c>
      <c r="H418" s="5">
        <v>20</v>
      </c>
      <c r="I418" s="5">
        <v>632</v>
      </c>
      <c r="J418" s="5">
        <v>3</v>
      </c>
      <c r="K418" s="2" t="s">
        <v>72</v>
      </c>
      <c r="L418" s="2" t="s">
        <v>49</v>
      </c>
      <c r="M418" s="4">
        <v>4.8</v>
      </c>
      <c r="N418" s="5">
        <v>35</v>
      </c>
      <c r="O418" s="3">
        <v>45803</v>
      </c>
      <c r="P418" s="2" t="s">
        <v>28</v>
      </c>
      <c r="Q418" s="2" t="s">
        <v>78</v>
      </c>
      <c r="R418" s="2" t="s">
        <v>41</v>
      </c>
      <c r="S418" s="2" t="s">
        <v>42</v>
      </c>
      <c r="T418" s="2" t="s">
        <v>32</v>
      </c>
    </row>
    <row r="419" spans="1:20" ht="12.5" x14ac:dyDescent="0.25">
      <c r="A419" s="2" t="s">
        <v>1616</v>
      </c>
      <c r="B419" s="2" t="s">
        <v>1617</v>
      </c>
      <c r="C419" s="2" t="s">
        <v>1618</v>
      </c>
      <c r="D419" s="2" t="s">
        <v>1619</v>
      </c>
      <c r="E419" s="2" t="s">
        <v>147</v>
      </c>
      <c r="F419" s="2" t="s">
        <v>148</v>
      </c>
      <c r="G419" s="5">
        <v>1627</v>
      </c>
      <c r="H419" s="5">
        <v>10</v>
      </c>
      <c r="I419" s="5">
        <v>1465</v>
      </c>
      <c r="J419" s="5">
        <v>3</v>
      </c>
      <c r="K419" s="2" t="s">
        <v>26</v>
      </c>
      <c r="L419" s="2" t="s">
        <v>209</v>
      </c>
      <c r="M419" s="4">
        <v>3.6</v>
      </c>
      <c r="N419" s="5">
        <v>216</v>
      </c>
      <c r="O419" s="3">
        <v>45852</v>
      </c>
      <c r="P419" s="2" t="s">
        <v>40</v>
      </c>
      <c r="Q419" s="2" t="s">
        <v>78</v>
      </c>
      <c r="R419" s="2" t="s">
        <v>104</v>
      </c>
      <c r="S419" s="2" t="s">
        <v>105</v>
      </c>
      <c r="T419" s="2" t="s">
        <v>32</v>
      </c>
    </row>
    <row r="420" spans="1:20" ht="12.5" x14ac:dyDescent="0.25">
      <c r="A420" s="2" t="s">
        <v>1620</v>
      </c>
      <c r="B420" s="2" t="s">
        <v>125</v>
      </c>
      <c r="C420" s="2" t="s">
        <v>1621</v>
      </c>
      <c r="D420" s="2" t="s">
        <v>1622</v>
      </c>
      <c r="E420" s="2" t="s">
        <v>24</v>
      </c>
      <c r="F420" s="2" t="s">
        <v>25</v>
      </c>
      <c r="G420" s="5">
        <v>3925</v>
      </c>
      <c r="H420" s="5">
        <v>40</v>
      </c>
      <c r="I420" s="5">
        <v>2355</v>
      </c>
      <c r="J420" s="5">
        <v>1</v>
      </c>
      <c r="K420" s="2" t="s">
        <v>72</v>
      </c>
      <c r="L420" s="2" t="s">
        <v>209</v>
      </c>
      <c r="M420" s="4">
        <v>4</v>
      </c>
      <c r="N420" s="5">
        <v>257</v>
      </c>
      <c r="O420" s="3">
        <v>45824</v>
      </c>
      <c r="P420" s="2" t="s">
        <v>57</v>
      </c>
      <c r="Q420" s="2" t="s">
        <v>78</v>
      </c>
      <c r="R420" s="2" t="s">
        <v>104</v>
      </c>
      <c r="S420" s="2" t="s">
        <v>105</v>
      </c>
      <c r="T420" s="2" t="s">
        <v>32</v>
      </c>
    </row>
    <row r="421" spans="1:20" ht="12.5" x14ac:dyDescent="0.25">
      <c r="A421" s="2" t="s">
        <v>1623</v>
      </c>
      <c r="B421" s="2" t="s">
        <v>1624</v>
      </c>
      <c r="C421" s="2" t="s">
        <v>1625</v>
      </c>
      <c r="D421" s="2" t="s">
        <v>1626</v>
      </c>
      <c r="E421" s="2" t="s">
        <v>37</v>
      </c>
      <c r="F421" s="2" t="s">
        <v>38</v>
      </c>
      <c r="G421" s="5">
        <v>1736</v>
      </c>
      <c r="H421" s="5">
        <v>15</v>
      </c>
      <c r="I421" s="5">
        <v>1476</v>
      </c>
      <c r="J421" s="5">
        <v>2</v>
      </c>
      <c r="K421" s="2" t="s">
        <v>32</v>
      </c>
      <c r="L421" s="2" t="s">
        <v>88</v>
      </c>
      <c r="M421" s="4">
        <v>4.7</v>
      </c>
      <c r="N421" s="5">
        <v>33</v>
      </c>
      <c r="O421" s="3">
        <v>45825</v>
      </c>
      <c r="P421" s="2" t="s">
        <v>57</v>
      </c>
      <c r="Q421" s="2" t="s">
        <v>78</v>
      </c>
      <c r="R421" s="2" t="s">
        <v>58</v>
      </c>
      <c r="S421" s="2" t="s">
        <v>59</v>
      </c>
      <c r="T421" s="2" t="s">
        <v>32</v>
      </c>
    </row>
    <row r="422" spans="1:20" ht="12.5" x14ac:dyDescent="0.25">
      <c r="A422" s="2" t="s">
        <v>1627</v>
      </c>
      <c r="B422" s="2" t="s">
        <v>981</v>
      </c>
      <c r="C422" s="2" t="s">
        <v>1628</v>
      </c>
      <c r="D422" s="2" t="s">
        <v>1629</v>
      </c>
      <c r="E422" s="2" t="s">
        <v>208</v>
      </c>
      <c r="F422" s="2" t="s">
        <v>117</v>
      </c>
      <c r="G422" s="5">
        <v>3837</v>
      </c>
      <c r="H422" s="5">
        <v>25</v>
      </c>
      <c r="I422" s="5">
        <v>2878</v>
      </c>
      <c r="J422" s="5">
        <v>1</v>
      </c>
      <c r="K422" s="2">
        <v>44</v>
      </c>
      <c r="L422" s="2" t="s">
        <v>209</v>
      </c>
      <c r="M422" s="4">
        <v>3.8</v>
      </c>
      <c r="N422" s="5">
        <v>25</v>
      </c>
      <c r="O422" s="3">
        <v>45819</v>
      </c>
      <c r="P422" s="2" t="s">
        <v>40</v>
      </c>
      <c r="Q422" s="2" t="s">
        <v>65</v>
      </c>
      <c r="R422" s="2" t="s">
        <v>104</v>
      </c>
      <c r="S422" s="2" t="s">
        <v>105</v>
      </c>
      <c r="T422" s="2" t="s">
        <v>134</v>
      </c>
    </row>
    <row r="423" spans="1:20" ht="12.5" x14ac:dyDescent="0.25">
      <c r="A423" s="2" t="s">
        <v>1630</v>
      </c>
      <c r="B423" s="2" t="s">
        <v>1631</v>
      </c>
      <c r="C423" s="2" t="s">
        <v>1632</v>
      </c>
      <c r="D423" s="2" t="s">
        <v>1633</v>
      </c>
      <c r="E423" s="2" t="s">
        <v>208</v>
      </c>
      <c r="F423" s="2" t="s">
        <v>117</v>
      </c>
      <c r="G423" s="5">
        <v>4027</v>
      </c>
      <c r="H423" s="5">
        <v>35</v>
      </c>
      <c r="I423" s="5">
        <v>2618</v>
      </c>
      <c r="J423" s="5">
        <v>2</v>
      </c>
      <c r="K423" s="2">
        <v>42</v>
      </c>
      <c r="L423" s="2" t="s">
        <v>103</v>
      </c>
      <c r="M423" s="4">
        <v>4.0999999999999996</v>
      </c>
      <c r="N423" s="5">
        <v>260</v>
      </c>
      <c r="O423" s="3">
        <v>45845</v>
      </c>
      <c r="P423" s="2" t="s">
        <v>57</v>
      </c>
      <c r="Q423" s="2" t="s">
        <v>78</v>
      </c>
      <c r="R423" s="2" t="s">
        <v>149</v>
      </c>
      <c r="S423" s="2" t="s">
        <v>150</v>
      </c>
      <c r="T423" s="2" t="s">
        <v>32</v>
      </c>
    </row>
    <row r="424" spans="1:20" ht="12.5" x14ac:dyDescent="0.25">
      <c r="A424" s="2" t="s">
        <v>1634</v>
      </c>
      <c r="B424" s="2" t="s">
        <v>626</v>
      </c>
      <c r="C424" s="2" t="s">
        <v>1635</v>
      </c>
      <c r="D424" s="2" t="s">
        <v>1636</v>
      </c>
      <c r="E424" s="2" t="s">
        <v>116</v>
      </c>
      <c r="F424" s="2" t="s">
        <v>117</v>
      </c>
      <c r="G424" s="5">
        <v>3991</v>
      </c>
      <c r="H424" s="5">
        <v>35</v>
      </c>
      <c r="I424" s="5">
        <v>2595</v>
      </c>
      <c r="J424" s="5">
        <v>2</v>
      </c>
      <c r="K424" s="2" t="s">
        <v>56</v>
      </c>
      <c r="L424" s="2" t="s">
        <v>73</v>
      </c>
      <c r="M424" s="4">
        <v>3.6</v>
      </c>
      <c r="N424" s="5">
        <v>178</v>
      </c>
      <c r="O424" s="3">
        <v>45853</v>
      </c>
      <c r="P424" s="2" t="s">
        <v>57</v>
      </c>
      <c r="Q424" s="2" t="s">
        <v>78</v>
      </c>
      <c r="R424" s="2" t="s">
        <v>149</v>
      </c>
      <c r="S424" s="2" t="s">
        <v>150</v>
      </c>
      <c r="T424" s="2" t="s">
        <v>32</v>
      </c>
    </row>
    <row r="425" spans="1:20" ht="12.5" x14ac:dyDescent="0.25">
      <c r="A425" s="2" t="s">
        <v>1637</v>
      </c>
      <c r="B425" s="2" t="s">
        <v>854</v>
      </c>
      <c r="C425" s="2" t="s">
        <v>1638</v>
      </c>
      <c r="D425" s="2" t="s">
        <v>1639</v>
      </c>
      <c r="E425" s="2" t="s">
        <v>208</v>
      </c>
      <c r="F425" s="2" t="s">
        <v>117</v>
      </c>
      <c r="G425" s="5">
        <v>2956</v>
      </c>
      <c r="H425" s="5">
        <v>40</v>
      </c>
      <c r="I425" s="5">
        <v>1774</v>
      </c>
      <c r="J425" s="5">
        <v>2</v>
      </c>
      <c r="K425" s="2" t="s">
        <v>32</v>
      </c>
      <c r="L425" s="2" t="s">
        <v>64</v>
      </c>
      <c r="M425" s="4">
        <v>3.8</v>
      </c>
      <c r="N425" s="5">
        <v>65</v>
      </c>
      <c r="O425" s="3">
        <v>45793</v>
      </c>
      <c r="P425" s="2" t="s">
        <v>57</v>
      </c>
      <c r="Q425" s="2" t="s">
        <v>78</v>
      </c>
      <c r="R425" s="2" t="s">
        <v>89</v>
      </c>
      <c r="S425" s="2" t="s">
        <v>90</v>
      </c>
      <c r="T425" s="2" t="s">
        <v>32</v>
      </c>
    </row>
    <row r="426" spans="1:20" ht="12.5" x14ac:dyDescent="0.25">
      <c r="A426" s="2" t="s">
        <v>1640</v>
      </c>
      <c r="B426" s="2" t="s">
        <v>1325</v>
      </c>
      <c r="C426" s="2" t="s">
        <v>1641</v>
      </c>
      <c r="D426" s="2" t="s">
        <v>1642</v>
      </c>
      <c r="E426" s="2" t="s">
        <v>122</v>
      </c>
      <c r="F426" s="2" t="s">
        <v>123</v>
      </c>
      <c r="G426" s="5">
        <v>1835</v>
      </c>
      <c r="H426" s="5">
        <v>25</v>
      </c>
      <c r="I426" s="5">
        <v>1377</v>
      </c>
      <c r="J426" s="5">
        <v>2</v>
      </c>
      <c r="K426" s="2" t="s">
        <v>56</v>
      </c>
      <c r="L426" s="2" t="s">
        <v>49</v>
      </c>
      <c r="M426" s="4">
        <v>5</v>
      </c>
      <c r="N426" s="5">
        <v>191</v>
      </c>
      <c r="O426" s="3">
        <v>45839</v>
      </c>
      <c r="P426" s="2" t="s">
        <v>40</v>
      </c>
      <c r="Q426" s="2" t="s">
        <v>78</v>
      </c>
      <c r="R426" s="2" t="s">
        <v>104</v>
      </c>
      <c r="S426" s="2" t="s">
        <v>105</v>
      </c>
      <c r="T426" s="2" t="s">
        <v>43</v>
      </c>
    </row>
    <row r="427" spans="1:20" ht="12.5" x14ac:dyDescent="0.25">
      <c r="A427" s="2" t="s">
        <v>1643</v>
      </c>
      <c r="B427" s="2" t="s">
        <v>1502</v>
      </c>
      <c r="C427" s="2" t="s">
        <v>1644</v>
      </c>
      <c r="D427" s="2" t="s">
        <v>1645</v>
      </c>
      <c r="E427" s="2" t="s">
        <v>55</v>
      </c>
      <c r="F427" s="2" t="s">
        <v>38</v>
      </c>
      <c r="G427" s="5">
        <v>4106</v>
      </c>
      <c r="H427" s="5">
        <v>20</v>
      </c>
      <c r="I427" s="5">
        <v>3285</v>
      </c>
      <c r="J427" s="5">
        <v>1</v>
      </c>
      <c r="K427" s="2" t="s">
        <v>56</v>
      </c>
      <c r="L427" s="2" t="s">
        <v>209</v>
      </c>
      <c r="M427" s="4">
        <v>4.5999999999999996</v>
      </c>
      <c r="N427" s="5">
        <v>248</v>
      </c>
      <c r="O427" s="3">
        <v>45851</v>
      </c>
      <c r="P427" s="2" t="s">
        <v>28</v>
      </c>
      <c r="Q427" s="2" t="s">
        <v>78</v>
      </c>
      <c r="R427" s="2" t="s">
        <v>104</v>
      </c>
      <c r="S427" s="2" t="s">
        <v>105</v>
      </c>
      <c r="T427" s="2" t="s">
        <v>32</v>
      </c>
    </row>
    <row r="428" spans="1:20" ht="12.5" x14ac:dyDescent="0.25">
      <c r="A428" s="2" t="s">
        <v>1646</v>
      </c>
      <c r="B428" s="2" t="s">
        <v>761</v>
      </c>
      <c r="C428" s="2" t="s">
        <v>1647</v>
      </c>
      <c r="D428" s="2" t="s">
        <v>1648</v>
      </c>
      <c r="E428" s="2" t="s">
        <v>147</v>
      </c>
      <c r="F428" s="2" t="s">
        <v>148</v>
      </c>
      <c r="G428" s="5">
        <v>3411</v>
      </c>
      <c r="H428" s="5">
        <v>30</v>
      </c>
      <c r="I428" s="5">
        <v>2388</v>
      </c>
      <c r="J428" s="5">
        <v>1</v>
      </c>
      <c r="K428" s="2" t="s">
        <v>32</v>
      </c>
      <c r="L428" s="2" t="s">
        <v>209</v>
      </c>
      <c r="M428" s="4">
        <v>3.9</v>
      </c>
      <c r="N428" s="5">
        <v>208</v>
      </c>
      <c r="O428" s="3">
        <v>45803</v>
      </c>
      <c r="P428" s="2" t="s">
        <v>28</v>
      </c>
      <c r="Q428" s="2" t="s">
        <v>29</v>
      </c>
      <c r="R428" s="2" t="s">
        <v>110</v>
      </c>
      <c r="S428" s="2" t="s">
        <v>111</v>
      </c>
      <c r="T428" s="2" t="s">
        <v>32</v>
      </c>
    </row>
    <row r="429" spans="1:20" ht="12.5" x14ac:dyDescent="0.25">
      <c r="A429" s="2" t="s">
        <v>1649</v>
      </c>
      <c r="B429" s="2" t="s">
        <v>303</v>
      </c>
      <c r="C429" s="2" t="s">
        <v>1650</v>
      </c>
      <c r="D429" s="2" t="s">
        <v>1651</v>
      </c>
      <c r="E429" s="2" t="s">
        <v>24</v>
      </c>
      <c r="F429" s="2" t="s">
        <v>25</v>
      </c>
      <c r="G429" s="5">
        <v>1561</v>
      </c>
      <c r="H429" s="5">
        <v>30</v>
      </c>
      <c r="I429" s="5">
        <v>1093</v>
      </c>
      <c r="J429" s="5">
        <v>1</v>
      </c>
      <c r="K429" s="2">
        <v>42</v>
      </c>
      <c r="L429" s="2" t="s">
        <v>64</v>
      </c>
      <c r="M429" s="4">
        <v>5</v>
      </c>
      <c r="N429" s="5">
        <v>220</v>
      </c>
      <c r="O429" s="3">
        <v>45773</v>
      </c>
      <c r="P429" s="2" t="s">
        <v>40</v>
      </c>
      <c r="Q429" s="2" t="s">
        <v>65</v>
      </c>
      <c r="R429" s="2" t="s">
        <v>83</v>
      </c>
      <c r="S429" s="2" t="s">
        <v>83</v>
      </c>
      <c r="T429" s="2" t="s">
        <v>43</v>
      </c>
    </row>
    <row r="430" spans="1:20" ht="12.5" x14ac:dyDescent="0.25">
      <c r="A430" s="2" t="s">
        <v>1652</v>
      </c>
      <c r="B430" s="2" t="s">
        <v>1182</v>
      </c>
      <c r="C430" s="2" t="s">
        <v>1653</v>
      </c>
      <c r="D430" s="2" t="s">
        <v>1654</v>
      </c>
      <c r="E430" s="2" t="s">
        <v>122</v>
      </c>
      <c r="F430" s="2" t="s">
        <v>123</v>
      </c>
      <c r="G430" s="5">
        <v>1926</v>
      </c>
      <c r="H430" s="5">
        <v>10</v>
      </c>
      <c r="I430" s="5">
        <v>1734</v>
      </c>
      <c r="J430" s="5">
        <v>2</v>
      </c>
      <c r="K430" s="2" t="s">
        <v>72</v>
      </c>
      <c r="L430" s="2" t="s">
        <v>64</v>
      </c>
      <c r="M430" s="4">
        <v>3.7</v>
      </c>
      <c r="N430" s="5">
        <v>242</v>
      </c>
      <c r="O430" s="3">
        <v>45783</v>
      </c>
      <c r="P430" s="2" t="s">
        <v>57</v>
      </c>
      <c r="Q430" s="2" t="s">
        <v>29</v>
      </c>
      <c r="R430" s="2" t="s">
        <v>149</v>
      </c>
      <c r="S430" s="2" t="s">
        <v>150</v>
      </c>
      <c r="T430" s="2" t="s">
        <v>32</v>
      </c>
    </row>
    <row r="431" spans="1:20" ht="12.5" x14ac:dyDescent="0.25">
      <c r="A431" s="2" t="s">
        <v>1655</v>
      </c>
      <c r="B431" s="2" t="s">
        <v>448</v>
      </c>
      <c r="C431" s="2" t="s">
        <v>1656</v>
      </c>
      <c r="D431" s="2" t="s">
        <v>1657</v>
      </c>
      <c r="E431" s="2" t="s">
        <v>55</v>
      </c>
      <c r="F431" s="2" t="s">
        <v>38</v>
      </c>
      <c r="G431" s="5">
        <v>1371</v>
      </c>
      <c r="H431" s="5">
        <v>40</v>
      </c>
      <c r="I431" s="5">
        <v>823</v>
      </c>
      <c r="J431" s="5">
        <v>2</v>
      </c>
      <c r="K431" s="2" t="s">
        <v>56</v>
      </c>
      <c r="L431" s="2" t="s">
        <v>64</v>
      </c>
      <c r="M431" s="4">
        <v>4.9000000000000004</v>
      </c>
      <c r="N431" s="5">
        <v>97</v>
      </c>
      <c r="O431" s="3">
        <v>45808</v>
      </c>
      <c r="P431" s="2" t="s">
        <v>28</v>
      </c>
      <c r="Q431" s="2" t="s">
        <v>78</v>
      </c>
      <c r="R431" s="2" t="s">
        <v>89</v>
      </c>
      <c r="S431" s="2" t="s">
        <v>90</v>
      </c>
      <c r="T431" s="2" t="s">
        <v>32</v>
      </c>
    </row>
    <row r="432" spans="1:20" ht="12.5" x14ac:dyDescent="0.25">
      <c r="A432" s="2" t="s">
        <v>1658</v>
      </c>
      <c r="B432" s="2" t="s">
        <v>240</v>
      </c>
      <c r="C432" s="2" t="s">
        <v>1659</v>
      </c>
      <c r="D432" s="2" t="s">
        <v>1660</v>
      </c>
      <c r="E432" s="2" t="s">
        <v>37</v>
      </c>
      <c r="F432" s="2" t="s">
        <v>38</v>
      </c>
      <c r="G432" s="5">
        <v>1892</v>
      </c>
      <c r="H432" s="5">
        <v>25</v>
      </c>
      <c r="I432" s="5">
        <v>1419</v>
      </c>
      <c r="J432" s="5">
        <v>2</v>
      </c>
      <c r="K432" s="2" t="s">
        <v>261</v>
      </c>
      <c r="L432" s="2" t="s">
        <v>209</v>
      </c>
      <c r="M432" s="4">
        <v>3.9</v>
      </c>
      <c r="N432" s="5">
        <v>131</v>
      </c>
      <c r="O432" s="3">
        <v>45823</v>
      </c>
      <c r="P432" s="2" t="s">
        <v>57</v>
      </c>
      <c r="Q432" s="2" t="s">
        <v>29</v>
      </c>
      <c r="R432" s="2" t="s">
        <v>58</v>
      </c>
      <c r="S432" s="2" t="s">
        <v>59</v>
      </c>
      <c r="T432" s="2" t="s">
        <v>32</v>
      </c>
    </row>
    <row r="433" spans="1:20" ht="12.5" x14ac:dyDescent="0.25">
      <c r="A433" s="2" t="s">
        <v>1661</v>
      </c>
      <c r="B433" s="2" t="s">
        <v>1662</v>
      </c>
      <c r="C433" s="2" t="s">
        <v>1663</v>
      </c>
      <c r="D433" s="2" t="s">
        <v>1664</v>
      </c>
      <c r="E433" s="2" t="s">
        <v>24</v>
      </c>
      <c r="F433" s="2" t="s">
        <v>25</v>
      </c>
      <c r="G433" s="5">
        <v>4316</v>
      </c>
      <c r="H433" s="5">
        <v>40</v>
      </c>
      <c r="I433" s="5">
        <v>2590</v>
      </c>
      <c r="J433" s="5">
        <v>1</v>
      </c>
      <c r="K433" s="2" t="s">
        <v>26</v>
      </c>
      <c r="L433" s="2" t="s">
        <v>133</v>
      </c>
      <c r="M433" s="4">
        <v>3.5</v>
      </c>
      <c r="N433" s="5">
        <v>240</v>
      </c>
      <c r="O433" s="3">
        <v>45844</v>
      </c>
      <c r="P433" s="2" t="s">
        <v>40</v>
      </c>
      <c r="Q433" s="2" t="s">
        <v>78</v>
      </c>
      <c r="R433" s="2" t="s">
        <v>89</v>
      </c>
      <c r="S433" s="2" t="s">
        <v>90</v>
      </c>
      <c r="T433" s="2" t="s">
        <v>134</v>
      </c>
    </row>
    <row r="434" spans="1:20" ht="12.5" x14ac:dyDescent="0.25">
      <c r="A434" s="2" t="s">
        <v>1665</v>
      </c>
      <c r="B434" s="2" t="s">
        <v>693</v>
      </c>
      <c r="C434" s="2" t="s">
        <v>1666</v>
      </c>
      <c r="D434" s="2" t="s">
        <v>1667</v>
      </c>
      <c r="E434" s="2" t="s">
        <v>24</v>
      </c>
      <c r="F434" s="2" t="s">
        <v>25</v>
      </c>
      <c r="G434" s="5">
        <v>2914</v>
      </c>
      <c r="H434" s="5">
        <v>25</v>
      </c>
      <c r="I434" s="5">
        <v>2186</v>
      </c>
      <c r="J434" s="5">
        <v>2</v>
      </c>
      <c r="K434" s="2" t="s">
        <v>163</v>
      </c>
      <c r="L434" s="2" t="s">
        <v>88</v>
      </c>
      <c r="M434" s="4">
        <v>4.5</v>
      </c>
      <c r="N434" s="5">
        <v>107</v>
      </c>
      <c r="O434" s="3">
        <v>45792</v>
      </c>
      <c r="P434" s="2" t="s">
        <v>28</v>
      </c>
      <c r="Q434" s="2" t="s">
        <v>29</v>
      </c>
      <c r="R434" s="2" t="s">
        <v>30</v>
      </c>
      <c r="S434" s="2" t="s">
        <v>31</v>
      </c>
      <c r="T434" s="2" t="s">
        <v>32</v>
      </c>
    </row>
    <row r="435" spans="1:20" ht="12.5" x14ac:dyDescent="0.25">
      <c r="A435" s="2" t="s">
        <v>1668</v>
      </c>
      <c r="B435" s="2" t="s">
        <v>1669</v>
      </c>
      <c r="C435" s="2" t="s">
        <v>1670</v>
      </c>
      <c r="D435" s="2" t="s">
        <v>1671</v>
      </c>
      <c r="E435" s="2" t="s">
        <v>208</v>
      </c>
      <c r="F435" s="2" t="s">
        <v>117</v>
      </c>
      <c r="G435" s="5">
        <v>2434</v>
      </c>
      <c r="H435" s="5">
        <v>30</v>
      </c>
      <c r="I435" s="5">
        <v>1704</v>
      </c>
      <c r="J435" s="5">
        <v>1</v>
      </c>
      <c r="K435" s="2" t="s">
        <v>56</v>
      </c>
      <c r="L435" s="2" t="s">
        <v>49</v>
      </c>
      <c r="M435" s="4">
        <v>4.3</v>
      </c>
      <c r="N435" s="5">
        <v>204</v>
      </c>
      <c r="O435" s="3">
        <v>45781</v>
      </c>
      <c r="P435" s="2" t="s">
        <v>28</v>
      </c>
      <c r="Q435" s="2" t="s">
        <v>29</v>
      </c>
      <c r="R435" s="2" t="s">
        <v>89</v>
      </c>
      <c r="S435" s="2" t="s">
        <v>90</v>
      </c>
      <c r="T435" s="2" t="s">
        <v>32</v>
      </c>
    </row>
    <row r="436" spans="1:20" ht="12.5" x14ac:dyDescent="0.25">
      <c r="A436" s="2" t="s">
        <v>1672</v>
      </c>
      <c r="B436" s="2" t="s">
        <v>1132</v>
      </c>
      <c r="C436" s="2" t="s">
        <v>1673</v>
      </c>
      <c r="D436" s="2" t="s">
        <v>1674</v>
      </c>
      <c r="E436" s="2" t="s">
        <v>116</v>
      </c>
      <c r="F436" s="2" t="s">
        <v>117</v>
      </c>
      <c r="G436" s="5">
        <v>1180</v>
      </c>
      <c r="H436" s="5">
        <v>20</v>
      </c>
      <c r="I436" s="5">
        <v>944</v>
      </c>
      <c r="J436" s="5">
        <v>1</v>
      </c>
      <c r="K436" s="2" t="s">
        <v>261</v>
      </c>
      <c r="L436" s="2" t="s">
        <v>27</v>
      </c>
      <c r="M436" s="4">
        <v>4.3</v>
      </c>
      <c r="N436" s="5">
        <v>231</v>
      </c>
      <c r="O436" s="3">
        <v>45838</v>
      </c>
      <c r="P436" s="2" t="s">
        <v>57</v>
      </c>
      <c r="Q436" s="2" t="s">
        <v>65</v>
      </c>
      <c r="R436" s="2" t="s">
        <v>66</v>
      </c>
      <c r="S436" s="2" t="s">
        <v>67</v>
      </c>
      <c r="T436" s="2" t="s">
        <v>32</v>
      </c>
    </row>
    <row r="437" spans="1:20" ht="12.5" x14ac:dyDescent="0.25">
      <c r="A437" s="2" t="s">
        <v>1675</v>
      </c>
      <c r="B437" s="2" t="s">
        <v>1676</v>
      </c>
      <c r="C437" s="2" t="s">
        <v>1677</v>
      </c>
      <c r="D437" s="2" t="s">
        <v>1678</v>
      </c>
      <c r="E437" s="2" t="s">
        <v>37</v>
      </c>
      <c r="F437" s="2" t="s">
        <v>38</v>
      </c>
      <c r="G437" s="5">
        <v>3465</v>
      </c>
      <c r="H437" s="5">
        <v>10</v>
      </c>
      <c r="I437" s="5">
        <v>3119</v>
      </c>
      <c r="J437" s="5">
        <v>3</v>
      </c>
      <c r="K437" s="2" t="s">
        <v>163</v>
      </c>
      <c r="L437" s="2" t="s">
        <v>73</v>
      </c>
      <c r="M437" s="4">
        <v>3.9</v>
      </c>
      <c r="N437" s="5">
        <v>257</v>
      </c>
      <c r="O437" s="3">
        <v>45843</v>
      </c>
      <c r="P437" s="2" t="s">
        <v>28</v>
      </c>
      <c r="Q437" s="2" t="s">
        <v>29</v>
      </c>
      <c r="R437" s="2" t="s">
        <v>58</v>
      </c>
      <c r="S437" s="2" t="s">
        <v>59</v>
      </c>
      <c r="T437" s="2" t="s">
        <v>32</v>
      </c>
    </row>
    <row r="438" spans="1:20" ht="12.5" x14ac:dyDescent="0.25">
      <c r="A438" s="2" t="s">
        <v>1679</v>
      </c>
      <c r="B438" s="2" t="s">
        <v>349</v>
      </c>
      <c r="C438" s="2" t="s">
        <v>1680</v>
      </c>
      <c r="D438" s="2" t="s">
        <v>1681</v>
      </c>
      <c r="E438" s="2" t="s">
        <v>247</v>
      </c>
      <c r="F438" s="2" t="s">
        <v>248</v>
      </c>
      <c r="G438" s="5">
        <v>1947</v>
      </c>
      <c r="H438" s="5">
        <v>40</v>
      </c>
      <c r="I438" s="5">
        <v>1169</v>
      </c>
      <c r="J438" s="5">
        <v>2</v>
      </c>
      <c r="K438" s="2">
        <v>44</v>
      </c>
      <c r="L438" s="2" t="s">
        <v>88</v>
      </c>
      <c r="M438" s="4">
        <v>3.8</v>
      </c>
      <c r="N438" s="5">
        <v>45</v>
      </c>
      <c r="O438" s="3">
        <v>45818</v>
      </c>
      <c r="P438" s="2" t="s">
        <v>28</v>
      </c>
      <c r="Q438" s="2" t="s">
        <v>29</v>
      </c>
      <c r="R438" s="2" t="s">
        <v>104</v>
      </c>
      <c r="S438" s="2" t="s">
        <v>105</v>
      </c>
      <c r="T438" s="2" t="s">
        <v>32</v>
      </c>
    </row>
    <row r="439" spans="1:20" ht="12.5" x14ac:dyDescent="0.25">
      <c r="A439" s="2" t="s">
        <v>1682</v>
      </c>
      <c r="B439" s="2" t="s">
        <v>835</v>
      </c>
      <c r="C439" s="2" t="s">
        <v>1683</v>
      </c>
      <c r="D439" s="2" t="s">
        <v>1684</v>
      </c>
      <c r="E439" s="2" t="s">
        <v>116</v>
      </c>
      <c r="F439" s="2" t="s">
        <v>117</v>
      </c>
      <c r="G439" s="5">
        <v>3975</v>
      </c>
      <c r="H439" s="5">
        <v>35</v>
      </c>
      <c r="I439" s="5">
        <v>2584</v>
      </c>
      <c r="J439" s="5">
        <v>3</v>
      </c>
      <c r="K439" s="2" t="s">
        <v>56</v>
      </c>
      <c r="L439" s="2" t="s">
        <v>73</v>
      </c>
      <c r="M439" s="4">
        <v>4</v>
      </c>
      <c r="N439" s="5">
        <v>112</v>
      </c>
      <c r="O439" s="3">
        <v>45840</v>
      </c>
      <c r="P439" s="2" t="s">
        <v>40</v>
      </c>
      <c r="Q439" s="2" t="s">
        <v>65</v>
      </c>
      <c r="R439" s="2" t="s">
        <v>30</v>
      </c>
      <c r="S439" s="2" t="s">
        <v>31</v>
      </c>
      <c r="T439" s="2" t="s">
        <v>43</v>
      </c>
    </row>
    <row r="440" spans="1:20" ht="12.5" x14ac:dyDescent="0.25">
      <c r="A440" s="2" t="s">
        <v>1685</v>
      </c>
      <c r="B440" s="2" t="s">
        <v>314</v>
      </c>
      <c r="C440" s="2" t="s">
        <v>1686</v>
      </c>
      <c r="D440" s="2" t="s">
        <v>1687</v>
      </c>
      <c r="E440" s="2" t="s">
        <v>37</v>
      </c>
      <c r="F440" s="2" t="s">
        <v>38</v>
      </c>
      <c r="G440" s="5">
        <v>1355</v>
      </c>
      <c r="H440" s="5">
        <v>15</v>
      </c>
      <c r="I440" s="5">
        <v>1152</v>
      </c>
      <c r="J440" s="5">
        <v>2</v>
      </c>
      <c r="K440" s="2">
        <v>40</v>
      </c>
      <c r="L440" s="2" t="s">
        <v>168</v>
      </c>
      <c r="M440" s="4">
        <v>4.9000000000000004</v>
      </c>
      <c r="N440" s="5">
        <v>114</v>
      </c>
      <c r="O440" s="3">
        <v>45804</v>
      </c>
      <c r="P440" s="2" t="s">
        <v>57</v>
      </c>
      <c r="Q440" s="2" t="s">
        <v>78</v>
      </c>
      <c r="R440" s="2" t="s">
        <v>89</v>
      </c>
      <c r="S440" s="2" t="s">
        <v>90</v>
      </c>
      <c r="T440" s="2" t="s">
        <v>32</v>
      </c>
    </row>
    <row r="441" spans="1:20" ht="12.5" x14ac:dyDescent="0.25">
      <c r="A441" s="2" t="s">
        <v>1688</v>
      </c>
      <c r="B441" s="2" t="s">
        <v>1487</v>
      </c>
      <c r="C441" s="2" t="s">
        <v>1689</v>
      </c>
      <c r="D441" s="2" t="s">
        <v>1690</v>
      </c>
      <c r="E441" s="2" t="s">
        <v>147</v>
      </c>
      <c r="F441" s="2" t="s">
        <v>148</v>
      </c>
      <c r="G441" s="5">
        <v>3420</v>
      </c>
      <c r="H441" s="5">
        <v>40</v>
      </c>
      <c r="I441" s="5">
        <v>2052</v>
      </c>
      <c r="J441" s="5">
        <v>1</v>
      </c>
      <c r="K441" s="2" t="s">
        <v>26</v>
      </c>
      <c r="L441" s="2" t="s">
        <v>168</v>
      </c>
      <c r="M441" s="4">
        <v>5</v>
      </c>
      <c r="N441" s="5">
        <v>132</v>
      </c>
      <c r="O441" s="3">
        <v>45779</v>
      </c>
      <c r="P441" s="2" t="s">
        <v>28</v>
      </c>
      <c r="Q441" s="2" t="s">
        <v>65</v>
      </c>
      <c r="R441" s="2" t="s">
        <v>89</v>
      </c>
      <c r="S441" s="2" t="s">
        <v>90</v>
      </c>
      <c r="T441" s="2" t="s">
        <v>32</v>
      </c>
    </row>
    <row r="442" spans="1:20" ht="12.5" x14ac:dyDescent="0.25">
      <c r="A442" s="2" t="s">
        <v>1691</v>
      </c>
      <c r="B442" s="2" t="s">
        <v>1692</v>
      </c>
      <c r="C442" s="2" t="s">
        <v>1693</v>
      </c>
      <c r="D442" s="2" t="s">
        <v>1694</v>
      </c>
      <c r="E442" s="2" t="s">
        <v>247</v>
      </c>
      <c r="F442" s="2" t="s">
        <v>248</v>
      </c>
      <c r="G442" s="5">
        <v>1600</v>
      </c>
      <c r="H442" s="5">
        <v>15</v>
      </c>
      <c r="I442" s="5">
        <v>1360</v>
      </c>
      <c r="J442" s="5">
        <v>2</v>
      </c>
      <c r="K442" s="2">
        <v>42</v>
      </c>
      <c r="L442" s="2" t="s">
        <v>49</v>
      </c>
      <c r="M442" s="4">
        <v>5</v>
      </c>
      <c r="N442" s="5">
        <v>83</v>
      </c>
      <c r="O442" s="3">
        <v>45853</v>
      </c>
      <c r="P442" s="2" t="s">
        <v>28</v>
      </c>
      <c r="Q442" s="2" t="s">
        <v>65</v>
      </c>
      <c r="R442" s="2" t="s">
        <v>58</v>
      </c>
      <c r="S442" s="2" t="s">
        <v>59</v>
      </c>
      <c r="T442" s="2" t="s">
        <v>32</v>
      </c>
    </row>
    <row r="443" spans="1:20" ht="12.5" x14ac:dyDescent="0.25">
      <c r="A443" s="2" t="s">
        <v>1695</v>
      </c>
      <c r="B443" s="2" t="s">
        <v>1696</v>
      </c>
      <c r="C443" s="2" t="s">
        <v>1697</v>
      </c>
      <c r="D443" s="2" t="s">
        <v>1698</v>
      </c>
      <c r="E443" s="2" t="s">
        <v>116</v>
      </c>
      <c r="F443" s="2" t="s">
        <v>117</v>
      </c>
      <c r="G443" s="5">
        <v>811</v>
      </c>
      <c r="H443" s="5">
        <v>35</v>
      </c>
      <c r="I443" s="5">
        <v>528</v>
      </c>
      <c r="J443" s="5">
        <v>2</v>
      </c>
      <c r="K443" s="2">
        <v>40</v>
      </c>
      <c r="L443" s="2" t="s">
        <v>64</v>
      </c>
      <c r="M443" s="4">
        <v>4.3</v>
      </c>
      <c r="N443" s="5">
        <v>108</v>
      </c>
      <c r="O443" s="3">
        <v>45784</v>
      </c>
      <c r="P443" s="2" t="s">
        <v>28</v>
      </c>
      <c r="Q443" s="2" t="s">
        <v>65</v>
      </c>
      <c r="R443" s="2" t="s">
        <v>89</v>
      </c>
      <c r="S443" s="2" t="s">
        <v>90</v>
      </c>
      <c r="T443" s="2" t="s">
        <v>32</v>
      </c>
    </row>
    <row r="444" spans="1:20" ht="12.5" x14ac:dyDescent="0.25">
      <c r="A444" s="2" t="s">
        <v>1699</v>
      </c>
      <c r="B444" s="2" t="s">
        <v>1700</v>
      </c>
      <c r="C444" s="2" t="s">
        <v>1701</v>
      </c>
      <c r="D444" s="2" t="s">
        <v>1702</v>
      </c>
      <c r="E444" s="2" t="s">
        <v>116</v>
      </c>
      <c r="F444" s="2" t="s">
        <v>117</v>
      </c>
      <c r="G444" s="5">
        <v>2718</v>
      </c>
      <c r="H444" s="5">
        <v>25</v>
      </c>
      <c r="I444" s="5">
        <v>2039</v>
      </c>
      <c r="J444" s="5">
        <v>1</v>
      </c>
      <c r="K444" s="2" t="s">
        <v>56</v>
      </c>
      <c r="L444" s="2" t="s">
        <v>73</v>
      </c>
      <c r="M444" s="4">
        <v>3.8</v>
      </c>
      <c r="N444" s="5">
        <v>163</v>
      </c>
      <c r="O444" s="3">
        <v>45802</v>
      </c>
      <c r="P444" s="2" t="s">
        <v>28</v>
      </c>
      <c r="Q444" s="2" t="s">
        <v>29</v>
      </c>
      <c r="R444" s="2" t="s">
        <v>41</v>
      </c>
      <c r="S444" s="2" t="s">
        <v>42</v>
      </c>
      <c r="T444" s="2" t="s">
        <v>32</v>
      </c>
    </row>
    <row r="445" spans="1:20" ht="12.5" x14ac:dyDescent="0.25">
      <c r="A445" s="2" t="s">
        <v>1703</v>
      </c>
      <c r="B445" s="2" t="s">
        <v>909</v>
      </c>
      <c r="C445" s="2" t="s">
        <v>1704</v>
      </c>
      <c r="D445" s="2" t="s">
        <v>1705</v>
      </c>
      <c r="E445" s="2" t="s">
        <v>55</v>
      </c>
      <c r="F445" s="2" t="s">
        <v>38</v>
      </c>
      <c r="G445" s="5">
        <v>3604</v>
      </c>
      <c r="H445" s="5">
        <v>20</v>
      </c>
      <c r="I445" s="5">
        <v>2884</v>
      </c>
      <c r="J445" s="5">
        <v>1</v>
      </c>
      <c r="K445" s="2" t="s">
        <v>72</v>
      </c>
      <c r="L445" s="2" t="s">
        <v>168</v>
      </c>
      <c r="M445" s="4">
        <v>4</v>
      </c>
      <c r="N445" s="5">
        <v>258</v>
      </c>
      <c r="O445" s="3">
        <v>45811</v>
      </c>
      <c r="P445" s="2" t="s">
        <v>40</v>
      </c>
      <c r="Q445" s="2" t="s">
        <v>78</v>
      </c>
      <c r="R445" s="2" t="s">
        <v>83</v>
      </c>
      <c r="S445" s="2" t="s">
        <v>83</v>
      </c>
      <c r="T445" s="2" t="s">
        <v>134</v>
      </c>
    </row>
    <row r="446" spans="1:20" ht="12.5" x14ac:dyDescent="0.25">
      <c r="A446" s="2" t="s">
        <v>1706</v>
      </c>
      <c r="B446" s="2" t="s">
        <v>228</v>
      </c>
      <c r="C446" s="2" t="s">
        <v>1707</v>
      </c>
      <c r="D446" s="2" t="s">
        <v>1708</v>
      </c>
      <c r="E446" s="2" t="s">
        <v>48</v>
      </c>
      <c r="F446" s="2" t="s">
        <v>25</v>
      </c>
      <c r="G446" s="5">
        <v>753</v>
      </c>
      <c r="H446" s="5">
        <v>20</v>
      </c>
      <c r="I446" s="5">
        <v>603</v>
      </c>
      <c r="J446" s="5">
        <v>1</v>
      </c>
      <c r="K446" s="2">
        <v>40</v>
      </c>
      <c r="L446" s="2" t="s">
        <v>168</v>
      </c>
      <c r="M446" s="4">
        <v>4.7</v>
      </c>
      <c r="N446" s="5">
        <v>294</v>
      </c>
      <c r="O446" s="3">
        <v>45810</v>
      </c>
      <c r="P446" s="2" t="s">
        <v>28</v>
      </c>
      <c r="Q446" s="2" t="s">
        <v>29</v>
      </c>
      <c r="R446" s="2" t="s">
        <v>110</v>
      </c>
      <c r="S446" s="2" t="s">
        <v>111</v>
      </c>
      <c r="T446" s="2" t="s">
        <v>32</v>
      </c>
    </row>
    <row r="447" spans="1:20" ht="12.5" x14ac:dyDescent="0.25">
      <c r="A447" s="2" t="s">
        <v>1709</v>
      </c>
      <c r="B447" s="2" t="s">
        <v>1710</v>
      </c>
      <c r="C447" s="2" t="s">
        <v>1711</v>
      </c>
      <c r="D447" s="2" t="s">
        <v>1712</v>
      </c>
      <c r="E447" s="2" t="s">
        <v>116</v>
      </c>
      <c r="F447" s="2" t="s">
        <v>117</v>
      </c>
      <c r="G447" s="5">
        <v>4862</v>
      </c>
      <c r="H447" s="5">
        <v>35</v>
      </c>
      <c r="I447" s="5">
        <v>3161</v>
      </c>
      <c r="J447" s="5">
        <v>2</v>
      </c>
      <c r="K447" s="2" t="s">
        <v>56</v>
      </c>
      <c r="L447" s="2" t="s">
        <v>73</v>
      </c>
      <c r="M447" s="4">
        <v>4.2</v>
      </c>
      <c r="N447" s="5">
        <v>262</v>
      </c>
      <c r="O447" s="3">
        <v>45788</v>
      </c>
      <c r="P447" s="2" t="s">
        <v>28</v>
      </c>
      <c r="Q447" s="2" t="s">
        <v>78</v>
      </c>
      <c r="R447" s="2" t="s">
        <v>83</v>
      </c>
      <c r="S447" s="2" t="s">
        <v>83</v>
      </c>
      <c r="T447" s="2" t="s">
        <v>32</v>
      </c>
    </row>
    <row r="448" spans="1:20" ht="12.5" x14ac:dyDescent="0.25">
      <c r="A448" s="2" t="s">
        <v>1713</v>
      </c>
      <c r="B448" s="2" t="s">
        <v>1714</v>
      </c>
      <c r="C448" s="2" t="s">
        <v>1715</v>
      </c>
      <c r="D448" s="2" t="s">
        <v>1716</v>
      </c>
      <c r="E448" s="2" t="s">
        <v>48</v>
      </c>
      <c r="F448" s="2" t="s">
        <v>25</v>
      </c>
      <c r="G448" s="5">
        <v>2128</v>
      </c>
      <c r="H448" s="5">
        <v>40</v>
      </c>
      <c r="I448" s="5">
        <v>1277</v>
      </c>
      <c r="J448" s="5">
        <v>2</v>
      </c>
      <c r="K448" s="2" t="s">
        <v>163</v>
      </c>
      <c r="L448" s="2" t="s">
        <v>133</v>
      </c>
      <c r="M448" s="4">
        <v>4.8</v>
      </c>
      <c r="N448" s="5">
        <v>236</v>
      </c>
      <c r="O448" s="3">
        <v>45771</v>
      </c>
      <c r="P448" s="2" t="s">
        <v>40</v>
      </c>
      <c r="Q448" s="2" t="s">
        <v>29</v>
      </c>
      <c r="R448" s="2" t="s">
        <v>66</v>
      </c>
      <c r="S448" s="2" t="s">
        <v>67</v>
      </c>
      <c r="T448" s="2" t="s">
        <v>32</v>
      </c>
    </row>
    <row r="449" spans="1:20" ht="12.5" x14ac:dyDescent="0.25">
      <c r="A449" s="2" t="s">
        <v>1717</v>
      </c>
      <c r="B449" s="2" t="s">
        <v>1034</v>
      </c>
      <c r="C449" s="2" t="s">
        <v>1718</v>
      </c>
      <c r="D449" s="2" t="s">
        <v>1719</v>
      </c>
      <c r="E449" s="2" t="s">
        <v>122</v>
      </c>
      <c r="F449" s="2" t="s">
        <v>123</v>
      </c>
      <c r="G449" s="5">
        <v>2985</v>
      </c>
      <c r="H449" s="5">
        <v>35</v>
      </c>
      <c r="I449" s="5">
        <v>1941</v>
      </c>
      <c r="J449" s="5">
        <v>2</v>
      </c>
      <c r="K449" s="2" t="s">
        <v>163</v>
      </c>
      <c r="L449" s="2" t="s">
        <v>73</v>
      </c>
      <c r="M449" s="4">
        <v>3.5</v>
      </c>
      <c r="N449" s="5">
        <v>262</v>
      </c>
      <c r="O449" s="3">
        <v>45775</v>
      </c>
      <c r="P449" s="2" t="s">
        <v>28</v>
      </c>
      <c r="Q449" s="2" t="s">
        <v>65</v>
      </c>
      <c r="R449" s="2" t="s">
        <v>30</v>
      </c>
      <c r="S449" s="2" t="s">
        <v>31</v>
      </c>
      <c r="T449" s="2" t="s">
        <v>32</v>
      </c>
    </row>
    <row r="450" spans="1:20" ht="12.5" x14ac:dyDescent="0.25">
      <c r="A450" s="2" t="s">
        <v>1720</v>
      </c>
      <c r="B450" s="2" t="s">
        <v>21</v>
      </c>
      <c r="C450" s="2" t="s">
        <v>1721</v>
      </c>
      <c r="D450" s="2" t="s">
        <v>1722</v>
      </c>
      <c r="E450" s="2" t="s">
        <v>247</v>
      </c>
      <c r="F450" s="2" t="s">
        <v>248</v>
      </c>
      <c r="G450" s="5">
        <v>3049</v>
      </c>
      <c r="H450" s="5">
        <v>30</v>
      </c>
      <c r="I450" s="5">
        <v>2135</v>
      </c>
      <c r="J450" s="5">
        <v>3</v>
      </c>
      <c r="K450" s="2" t="s">
        <v>226</v>
      </c>
      <c r="L450" s="2" t="s">
        <v>27</v>
      </c>
      <c r="M450" s="4">
        <v>3.7</v>
      </c>
      <c r="N450" s="5">
        <v>194</v>
      </c>
      <c r="O450" s="3">
        <v>45837</v>
      </c>
      <c r="P450" s="2" t="s">
        <v>40</v>
      </c>
      <c r="Q450" s="2" t="s">
        <v>65</v>
      </c>
      <c r="R450" s="2" t="s">
        <v>58</v>
      </c>
      <c r="S450" s="2" t="s">
        <v>59</v>
      </c>
      <c r="T450" s="2" t="s">
        <v>134</v>
      </c>
    </row>
    <row r="451" spans="1:20" ht="12.5" x14ac:dyDescent="0.25">
      <c r="A451" s="2" t="s">
        <v>1723</v>
      </c>
      <c r="B451" s="2" t="s">
        <v>1378</v>
      </c>
      <c r="C451" s="2" t="s">
        <v>1724</v>
      </c>
      <c r="D451" s="2" t="s">
        <v>1725</v>
      </c>
      <c r="E451" s="2" t="s">
        <v>24</v>
      </c>
      <c r="F451" s="2" t="s">
        <v>25</v>
      </c>
      <c r="G451" s="5">
        <v>875</v>
      </c>
      <c r="H451" s="5">
        <v>35</v>
      </c>
      <c r="I451" s="5">
        <v>569</v>
      </c>
      <c r="J451" s="5">
        <v>1</v>
      </c>
      <c r="K451" s="2" t="s">
        <v>26</v>
      </c>
      <c r="L451" s="2" t="s">
        <v>49</v>
      </c>
      <c r="M451" s="4">
        <v>4.8</v>
      </c>
      <c r="N451" s="5">
        <v>114</v>
      </c>
      <c r="O451" s="3">
        <v>45801</v>
      </c>
      <c r="P451" s="2" t="s">
        <v>28</v>
      </c>
      <c r="Q451" s="2" t="s">
        <v>78</v>
      </c>
      <c r="R451" s="2" t="s">
        <v>104</v>
      </c>
      <c r="S451" s="2" t="s">
        <v>105</v>
      </c>
      <c r="T451" s="2" t="s">
        <v>32</v>
      </c>
    </row>
    <row r="452" spans="1:20" ht="12.5" x14ac:dyDescent="0.25">
      <c r="A452" s="2" t="s">
        <v>1726</v>
      </c>
      <c r="B452" s="2" t="s">
        <v>518</v>
      </c>
      <c r="C452" s="2" t="s">
        <v>1727</v>
      </c>
      <c r="D452" s="2" t="s">
        <v>1728</v>
      </c>
      <c r="E452" s="2" t="s">
        <v>208</v>
      </c>
      <c r="F452" s="2" t="s">
        <v>117</v>
      </c>
      <c r="G452" s="5">
        <v>1794</v>
      </c>
      <c r="H452" s="5">
        <v>15</v>
      </c>
      <c r="I452" s="5">
        <v>1525</v>
      </c>
      <c r="J452" s="5">
        <v>1</v>
      </c>
      <c r="K452" s="2" t="s">
        <v>26</v>
      </c>
      <c r="L452" s="2" t="s">
        <v>88</v>
      </c>
      <c r="M452" s="4">
        <v>4.7</v>
      </c>
      <c r="N452" s="5">
        <v>201</v>
      </c>
      <c r="O452" s="3">
        <v>45816</v>
      </c>
      <c r="P452" s="2" t="s">
        <v>57</v>
      </c>
      <c r="Q452" s="2" t="s">
        <v>65</v>
      </c>
      <c r="R452" s="2" t="s">
        <v>58</v>
      </c>
      <c r="S452" s="2" t="s">
        <v>59</v>
      </c>
      <c r="T452" s="2" t="s">
        <v>32</v>
      </c>
    </row>
    <row r="453" spans="1:20" ht="12.5" x14ac:dyDescent="0.25">
      <c r="A453" s="2" t="s">
        <v>1729</v>
      </c>
      <c r="B453" s="2" t="s">
        <v>503</v>
      </c>
      <c r="C453" s="2" t="s">
        <v>1730</v>
      </c>
      <c r="D453" s="2" t="s">
        <v>1731</v>
      </c>
      <c r="E453" s="2" t="s">
        <v>24</v>
      </c>
      <c r="F453" s="2" t="s">
        <v>25</v>
      </c>
      <c r="G453" s="5">
        <v>1244</v>
      </c>
      <c r="H453" s="5">
        <v>20</v>
      </c>
      <c r="I453" s="5">
        <v>996</v>
      </c>
      <c r="J453" s="5">
        <v>1</v>
      </c>
      <c r="K453" s="2" t="s">
        <v>26</v>
      </c>
      <c r="L453" s="2" t="s">
        <v>103</v>
      </c>
      <c r="M453" s="4">
        <v>3.8</v>
      </c>
      <c r="N453" s="5">
        <v>59</v>
      </c>
      <c r="O453" s="3">
        <v>45774</v>
      </c>
      <c r="P453" s="2" t="s">
        <v>57</v>
      </c>
      <c r="Q453" s="2" t="s">
        <v>78</v>
      </c>
      <c r="R453" s="2" t="s">
        <v>41</v>
      </c>
      <c r="S453" s="2" t="s">
        <v>42</v>
      </c>
      <c r="T453" s="2" t="s">
        <v>32</v>
      </c>
    </row>
    <row r="454" spans="1:20" ht="12.5" x14ac:dyDescent="0.25">
      <c r="A454" s="2" t="s">
        <v>1732</v>
      </c>
      <c r="B454" s="2" t="s">
        <v>487</v>
      </c>
      <c r="C454" s="2" t="s">
        <v>1733</v>
      </c>
      <c r="D454" s="2" t="s">
        <v>1734</v>
      </c>
      <c r="E454" s="2" t="s">
        <v>122</v>
      </c>
      <c r="F454" s="2" t="s">
        <v>123</v>
      </c>
      <c r="G454" s="5">
        <v>853</v>
      </c>
      <c r="H454" s="5">
        <v>25</v>
      </c>
      <c r="I454" s="5">
        <v>640</v>
      </c>
      <c r="J454" s="5">
        <v>1</v>
      </c>
      <c r="K454" s="2" t="s">
        <v>32</v>
      </c>
      <c r="L454" s="2" t="s">
        <v>133</v>
      </c>
      <c r="M454" s="4">
        <v>3.5</v>
      </c>
      <c r="N454" s="5">
        <v>191</v>
      </c>
      <c r="O454" s="3">
        <v>45784</v>
      </c>
      <c r="P454" s="2" t="s">
        <v>57</v>
      </c>
      <c r="Q454" s="2" t="s">
        <v>65</v>
      </c>
      <c r="R454" s="2" t="s">
        <v>30</v>
      </c>
      <c r="S454" s="2" t="s">
        <v>31</v>
      </c>
      <c r="T454" s="2" t="s">
        <v>32</v>
      </c>
    </row>
    <row r="455" spans="1:20" ht="12.5" x14ac:dyDescent="0.25">
      <c r="A455" s="2" t="s">
        <v>1735</v>
      </c>
      <c r="B455" s="2" t="s">
        <v>1669</v>
      </c>
      <c r="C455" s="2" t="s">
        <v>1736</v>
      </c>
      <c r="D455" s="2" t="s">
        <v>1737</v>
      </c>
      <c r="E455" s="2" t="s">
        <v>122</v>
      </c>
      <c r="F455" s="2" t="s">
        <v>123</v>
      </c>
      <c r="G455" s="5">
        <v>4529</v>
      </c>
      <c r="H455" s="5">
        <v>25</v>
      </c>
      <c r="I455" s="5">
        <v>3397</v>
      </c>
      <c r="J455" s="5">
        <v>3</v>
      </c>
      <c r="K455" s="2" t="s">
        <v>261</v>
      </c>
      <c r="L455" s="2" t="s">
        <v>49</v>
      </c>
      <c r="M455" s="4">
        <v>4.3</v>
      </c>
      <c r="N455" s="5">
        <v>275</v>
      </c>
      <c r="O455" s="3">
        <v>45771</v>
      </c>
      <c r="P455" s="2" t="s">
        <v>40</v>
      </c>
      <c r="Q455" s="2" t="s">
        <v>65</v>
      </c>
      <c r="R455" s="2" t="s">
        <v>104</v>
      </c>
      <c r="S455" s="2" t="s">
        <v>105</v>
      </c>
      <c r="T455" s="2" t="s">
        <v>134</v>
      </c>
    </row>
    <row r="456" spans="1:20" ht="12.5" x14ac:dyDescent="0.25">
      <c r="A456" s="2" t="s">
        <v>1738</v>
      </c>
      <c r="B456" s="2" t="s">
        <v>1030</v>
      </c>
      <c r="C456" s="2" t="s">
        <v>1739</v>
      </c>
      <c r="D456" s="2" t="s">
        <v>1740</v>
      </c>
      <c r="E456" s="2" t="s">
        <v>247</v>
      </c>
      <c r="F456" s="2" t="s">
        <v>248</v>
      </c>
      <c r="G456" s="5">
        <v>3627</v>
      </c>
      <c r="H456" s="5">
        <v>40</v>
      </c>
      <c r="I456" s="5">
        <v>2177</v>
      </c>
      <c r="J456" s="5">
        <v>2</v>
      </c>
      <c r="K456" s="2">
        <v>40</v>
      </c>
      <c r="L456" s="2" t="s">
        <v>64</v>
      </c>
      <c r="M456" s="4">
        <v>4.4000000000000004</v>
      </c>
      <c r="N456" s="5">
        <v>273</v>
      </c>
      <c r="O456" s="3">
        <v>45824</v>
      </c>
      <c r="P456" s="2" t="s">
        <v>57</v>
      </c>
      <c r="Q456" s="2" t="s">
        <v>65</v>
      </c>
      <c r="R456" s="2" t="s">
        <v>66</v>
      </c>
      <c r="S456" s="2" t="s">
        <v>67</v>
      </c>
      <c r="T456" s="2" t="s">
        <v>32</v>
      </c>
    </row>
    <row r="457" spans="1:20" ht="12.5" x14ac:dyDescent="0.25">
      <c r="A457" s="2" t="s">
        <v>1741</v>
      </c>
      <c r="B457" s="2" t="s">
        <v>993</v>
      </c>
      <c r="C457" s="2" t="s">
        <v>1742</v>
      </c>
      <c r="D457" s="2" t="s">
        <v>1743</v>
      </c>
      <c r="E457" s="2" t="s">
        <v>48</v>
      </c>
      <c r="F457" s="2" t="s">
        <v>25</v>
      </c>
      <c r="G457" s="5">
        <v>4367</v>
      </c>
      <c r="H457" s="5">
        <v>10</v>
      </c>
      <c r="I457" s="5">
        <v>3931</v>
      </c>
      <c r="J457" s="5">
        <v>3</v>
      </c>
      <c r="K457" s="2">
        <v>42</v>
      </c>
      <c r="L457" s="2" t="s">
        <v>49</v>
      </c>
      <c r="M457" s="4">
        <v>3.9</v>
      </c>
      <c r="N457" s="5">
        <v>227</v>
      </c>
      <c r="O457" s="3">
        <v>45823</v>
      </c>
      <c r="P457" s="2" t="s">
        <v>28</v>
      </c>
      <c r="Q457" s="2" t="s">
        <v>78</v>
      </c>
      <c r="R457" s="2" t="s">
        <v>66</v>
      </c>
      <c r="S457" s="2" t="s">
        <v>67</v>
      </c>
      <c r="T457" s="2" t="s">
        <v>32</v>
      </c>
    </row>
    <row r="458" spans="1:20" ht="12.5" x14ac:dyDescent="0.25">
      <c r="A458" s="2" t="s">
        <v>1744</v>
      </c>
      <c r="B458" s="2" t="s">
        <v>585</v>
      </c>
      <c r="C458" s="2" t="s">
        <v>1745</v>
      </c>
      <c r="D458" s="2" t="s">
        <v>1746</v>
      </c>
      <c r="E458" s="2" t="s">
        <v>48</v>
      </c>
      <c r="F458" s="2" t="s">
        <v>25</v>
      </c>
      <c r="G458" s="5">
        <v>878</v>
      </c>
      <c r="H458" s="5">
        <v>40</v>
      </c>
      <c r="I458" s="5">
        <v>527</v>
      </c>
      <c r="J458" s="5">
        <v>2</v>
      </c>
      <c r="K458" s="2" t="s">
        <v>163</v>
      </c>
      <c r="L458" s="2" t="s">
        <v>27</v>
      </c>
      <c r="M458" s="4">
        <v>4.9000000000000004</v>
      </c>
      <c r="N458" s="5">
        <v>115</v>
      </c>
      <c r="O458" s="3">
        <v>45845</v>
      </c>
      <c r="P458" s="2" t="s">
        <v>57</v>
      </c>
      <c r="Q458" s="2" t="s">
        <v>78</v>
      </c>
      <c r="R458" s="2" t="s">
        <v>66</v>
      </c>
      <c r="S458" s="2" t="s">
        <v>67</v>
      </c>
      <c r="T458" s="2" t="s">
        <v>32</v>
      </c>
    </row>
    <row r="459" spans="1:20" ht="12.5" x14ac:dyDescent="0.25">
      <c r="A459" s="2" t="s">
        <v>1747</v>
      </c>
      <c r="B459" s="2" t="s">
        <v>753</v>
      </c>
      <c r="C459" s="2" t="s">
        <v>1748</v>
      </c>
      <c r="D459" s="2" t="s">
        <v>1749</v>
      </c>
      <c r="E459" s="2" t="s">
        <v>122</v>
      </c>
      <c r="F459" s="2" t="s">
        <v>123</v>
      </c>
      <c r="G459" s="5">
        <v>2091</v>
      </c>
      <c r="H459" s="5">
        <v>10</v>
      </c>
      <c r="I459" s="5">
        <v>1882</v>
      </c>
      <c r="J459" s="5">
        <v>1</v>
      </c>
      <c r="K459" s="2" t="s">
        <v>56</v>
      </c>
      <c r="L459" s="2" t="s">
        <v>103</v>
      </c>
      <c r="M459" s="4">
        <v>4.0999999999999996</v>
      </c>
      <c r="N459" s="5">
        <v>91</v>
      </c>
      <c r="O459" s="3">
        <v>45854</v>
      </c>
      <c r="P459" s="2" t="s">
        <v>57</v>
      </c>
      <c r="Q459" s="2" t="s">
        <v>65</v>
      </c>
      <c r="R459" s="2" t="s">
        <v>104</v>
      </c>
      <c r="S459" s="2" t="s">
        <v>105</v>
      </c>
      <c r="T459" s="2" t="s">
        <v>32</v>
      </c>
    </row>
    <row r="460" spans="1:20" ht="12.5" x14ac:dyDescent="0.25">
      <c r="A460" s="2" t="s">
        <v>1750</v>
      </c>
      <c r="B460" s="2" t="s">
        <v>85</v>
      </c>
      <c r="C460" s="2" t="s">
        <v>1751</v>
      </c>
      <c r="D460" s="2" t="s">
        <v>1752</v>
      </c>
      <c r="E460" s="2" t="s">
        <v>132</v>
      </c>
      <c r="F460" s="2" t="s">
        <v>38</v>
      </c>
      <c r="G460" s="5">
        <v>926</v>
      </c>
      <c r="H460" s="5">
        <v>40</v>
      </c>
      <c r="I460" s="5">
        <v>556</v>
      </c>
      <c r="J460" s="5">
        <v>2</v>
      </c>
      <c r="K460" s="2" t="s">
        <v>26</v>
      </c>
      <c r="L460" s="2" t="s">
        <v>133</v>
      </c>
      <c r="M460" s="4">
        <v>4.5</v>
      </c>
      <c r="N460" s="5">
        <v>152</v>
      </c>
      <c r="O460" s="3">
        <v>45770</v>
      </c>
      <c r="P460" s="2" t="s">
        <v>40</v>
      </c>
      <c r="Q460" s="2" t="s">
        <v>29</v>
      </c>
      <c r="R460" s="2" t="s">
        <v>185</v>
      </c>
      <c r="S460" s="2" t="s">
        <v>186</v>
      </c>
      <c r="T460" s="2" t="s">
        <v>32</v>
      </c>
    </row>
    <row r="461" spans="1:20" ht="12.5" x14ac:dyDescent="0.25">
      <c r="A461" s="2" t="s">
        <v>1753</v>
      </c>
      <c r="B461" s="2" t="s">
        <v>178</v>
      </c>
      <c r="C461" s="2" t="s">
        <v>1754</v>
      </c>
      <c r="D461" s="2" t="s">
        <v>1755</v>
      </c>
      <c r="E461" s="2" t="s">
        <v>24</v>
      </c>
      <c r="F461" s="2" t="s">
        <v>25</v>
      </c>
      <c r="G461" s="5">
        <v>2441</v>
      </c>
      <c r="H461" s="5">
        <v>15</v>
      </c>
      <c r="I461" s="5">
        <v>2075</v>
      </c>
      <c r="J461" s="5">
        <v>1</v>
      </c>
      <c r="K461" s="2" t="s">
        <v>26</v>
      </c>
      <c r="L461" s="2" t="s">
        <v>88</v>
      </c>
      <c r="M461" s="4">
        <v>3.7</v>
      </c>
      <c r="N461" s="5">
        <v>166</v>
      </c>
      <c r="O461" s="3">
        <v>45852</v>
      </c>
      <c r="P461" s="2" t="s">
        <v>28</v>
      </c>
      <c r="Q461" s="2" t="s">
        <v>78</v>
      </c>
      <c r="R461" s="2" t="s">
        <v>30</v>
      </c>
      <c r="S461" s="2" t="s">
        <v>31</v>
      </c>
      <c r="T461" s="2" t="s">
        <v>32</v>
      </c>
    </row>
    <row r="462" spans="1:20" ht="12.5" x14ac:dyDescent="0.25">
      <c r="A462" s="2" t="s">
        <v>1756</v>
      </c>
      <c r="B462" s="2" t="s">
        <v>1757</v>
      </c>
      <c r="C462" s="2" t="s">
        <v>1758</v>
      </c>
      <c r="D462" s="2" t="s">
        <v>1759</v>
      </c>
      <c r="E462" s="2" t="s">
        <v>55</v>
      </c>
      <c r="F462" s="2" t="s">
        <v>38</v>
      </c>
      <c r="G462" s="5">
        <v>1919</v>
      </c>
      <c r="H462" s="5">
        <v>30</v>
      </c>
      <c r="I462" s="5">
        <v>1344</v>
      </c>
      <c r="J462" s="5">
        <v>3</v>
      </c>
      <c r="K462" s="2" t="s">
        <v>261</v>
      </c>
      <c r="L462" s="2" t="s">
        <v>64</v>
      </c>
      <c r="M462" s="4">
        <v>4.5999999999999996</v>
      </c>
      <c r="N462" s="5">
        <v>245</v>
      </c>
      <c r="O462" s="3">
        <v>45780</v>
      </c>
      <c r="P462" s="2" t="s">
        <v>57</v>
      </c>
      <c r="Q462" s="2" t="s">
        <v>29</v>
      </c>
      <c r="R462" s="2" t="s">
        <v>66</v>
      </c>
      <c r="S462" s="2" t="s">
        <v>67</v>
      </c>
      <c r="T462" s="2" t="s">
        <v>32</v>
      </c>
    </row>
    <row r="463" spans="1:20" ht="12.5" x14ac:dyDescent="0.25">
      <c r="A463" s="2" t="s">
        <v>1760</v>
      </c>
      <c r="B463" s="2" t="s">
        <v>1761</v>
      </c>
      <c r="C463" s="2" t="s">
        <v>1762</v>
      </c>
      <c r="D463" s="2" t="s">
        <v>1763</v>
      </c>
      <c r="E463" s="2" t="s">
        <v>24</v>
      </c>
      <c r="F463" s="2" t="s">
        <v>25</v>
      </c>
      <c r="G463" s="5">
        <v>4500</v>
      </c>
      <c r="H463" s="5">
        <v>10</v>
      </c>
      <c r="I463" s="5">
        <v>4050</v>
      </c>
      <c r="J463" s="5">
        <v>3</v>
      </c>
      <c r="K463" s="2" t="s">
        <v>32</v>
      </c>
      <c r="L463" s="2" t="s">
        <v>64</v>
      </c>
      <c r="M463" s="4">
        <v>3.6</v>
      </c>
      <c r="N463" s="5">
        <v>28</v>
      </c>
      <c r="O463" s="3">
        <v>45769</v>
      </c>
      <c r="P463" s="2" t="s">
        <v>28</v>
      </c>
      <c r="Q463" s="2" t="s">
        <v>65</v>
      </c>
      <c r="R463" s="2" t="s">
        <v>41</v>
      </c>
      <c r="S463" s="2" t="s">
        <v>42</v>
      </c>
      <c r="T463" s="2" t="s">
        <v>32</v>
      </c>
    </row>
    <row r="464" spans="1:20" ht="12.5" x14ac:dyDescent="0.25">
      <c r="A464" s="2" t="s">
        <v>1764</v>
      </c>
      <c r="B464" s="2" t="s">
        <v>1765</v>
      </c>
      <c r="C464" s="2" t="s">
        <v>1766</v>
      </c>
      <c r="D464" s="2" t="s">
        <v>1767</v>
      </c>
      <c r="E464" s="2" t="s">
        <v>48</v>
      </c>
      <c r="F464" s="2" t="s">
        <v>25</v>
      </c>
      <c r="G464" s="5">
        <v>4719</v>
      </c>
      <c r="H464" s="5">
        <v>40</v>
      </c>
      <c r="I464" s="5">
        <v>2832</v>
      </c>
      <c r="J464" s="5">
        <v>1</v>
      </c>
      <c r="K464" s="2" t="s">
        <v>72</v>
      </c>
      <c r="L464" s="2" t="s">
        <v>103</v>
      </c>
      <c r="M464" s="4">
        <v>4.7</v>
      </c>
      <c r="N464" s="5">
        <v>269</v>
      </c>
      <c r="O464" s="3">
        <v>45858</v>
      </c>
      <c r="P464" s="2" t="s">
        <v>28</v>
      </c>
      <c r="Q464" s="2" t="s">
        <v>29</v>
      </c>
      <c r="R464" s="2" t="s">
        <v>66</v>
      </c>
      <c r="S464" s="2" t="s">
        <v>67</v>
      </c>
      <c r="T464" s="2" t="s">
        <v>32</v>
      </c>
    </row>
    <row r="465" spans="1:20" ht="12.5" x14ac:dyDescent="0.25">
      <c r="A465" s="2" t="s">
        <v>1768</v>
      </c>
      <c r="B465" s="2" t="s">
        <v>1769</v>
      </c>
      <c r="C465" s="2" t="s">
        <v>1770</v>
      </c>
      <c r="D465" s="2" t="s">
        <v>1771</v>
      </c>
      <c r="E465" s="2" t="s">
        <v>208</v>
      </c>
      <c r="F465" s="2" t="s">
        <v>117</v>
      </c>
      <c r="G465" s="5">
        <v>3201</v>
      </c>
      <c r="H465" s="5">
        <v>10</v>
      </c>
      <c r="I465" s="5">
        <v>2881</v>
      </c>
      <c r="J465" s="5">
        <v>1</v>
      </c>
      <c r="K465" s="2">
        <v>40</v>
      </c>
      <c r="L465" s="2" t="s">
        <v>39</v>
      </c>
      <c r="M465" s="4">
        <v>3.8</v>
      </c>
      <c r="N465" s="5">
        <v>107</v>
      </c>
      <c r="O465" s="3">
        <v>45847</v>
      </c>
      <c r="P465" s="2" t="s">
        <v>40</v>
      </c>
      <c r="Q465" s="2" t="s">
        <v>78</v>
      </c>
      <c r="R465" s="2" t="s">
        <v>83</v>
      </c>
      <c r="S465" s="2" t="s">
        <v>83</v>
      </c>
      <c r="T465" s="2" t="s">
        <v>134</v>
      </c>
    </row>
    <row r="466" spans="1:20" ht="12.5" x14ac:dyDescent="0.25">
      <c r="A466" s="2" t="s">
        <v>1772</v>
      </c>
      <c r="B466" s="2" t="s">
        <v>283</v>
      </c>
      <c r="C466" s="2" t="s">
        <v>1773</v>
      </c>
      <c r="D466" s="2" t="s">
        <v>1774</v>
      </c>
      <c r="E466" s="2" t="s">
        <v>24</v>
      </c>
      <c r="F466" s="2" t="s">
        <v>25</v>
      </c>
      <c r="G466" s="5">
        <v>4964</v>
      </c>
      <c r="H466" s="5">
        <v>20</v>
      </c>
      <c r="I466" s="5">
        <v>3972</v>
      </c>
      <c r="J466" s="5">
        <v>1</v>
      </c>
      <c r="K466" s="2" t="s">
        <v>72</v>
      </c>
      <c r="L466" s="2" t="s">
        <v>27</v>
      </c>
      <c r="M466" s="4">
        <v>3.6</v>
      </c>
      <c r="N466" s="5">
        <v>102</v>
      </c>
      <c r="O466" s="3">
        <v>45781</v>
      </c>
      <c r="P466" s="2" t="s">
        <v>28</v>
      </c>
      <c r="Q466" s="2" t="s">
        <v>65</v>
      </c>
      <c r="R466" s="2" t="s">
        <v>30</v>
      </c>
      <c r="S466" s="2" t="s">
        <v>31</v>
      </c>
      <c r="T466" s="2" t="s">
        <v>32</v>
      </c>
    </row>
    <row r="467" spans="1:20" ht="12.5" x14ac:dyDescent="0.25">
      <c r="A467" s="2" t="s">
        <v>1775</v>
      </c>
      <c r="B467" s="2" t="s">
        <v>917</v>
      </c>
      <c r="C467" s="2" t="s">
        <v>1776</v>
      </c>
      <c r="D467" s="2" t="s">
        <v>1777</v>
      </c>
      <c r="E467" s="2" t="s">
        <v>48</v>
      </c>
      <c r="F467" s="2" t="s">
        <v>25</v>
      </c>
      <c r="G467" s="5">
        <v>1494</v>
      </c>
      <c r="H467" s="5">
        <v>10</v>
      </c>
      <c r="I467" s="5">
        <v>1345</v>
      </c>
      <c r="J467" s="5">
        <v>1</v>
      </c>
      <c r="K467" s="2">
        <v>40</v>
      </c>
      <c r="L467" s="2" t="s">
        <v>49</v>
      </c>
      <c r="M467" s="4">
        <v>4.5</v>
      </c>
      <c r="N467" s="5">
        <v>196</v>
      </c>
      <c r="O467" s="3">
        <v>45777</v>
      </c>
      <c r="P467" s="2" t="s">
        <v>57</v>
      </c>
      <c r="Q467" s="2" t="s">
        <v>29</v>
      </c>
      <c r="R467" s="2" t="s">
        <v>149</v>
      </c>
      <c r="S467" s="2" t="s">
        <v>150</v>
      </c>
      <c r="T467" s="2" t="s">
        <v>32</v>
      </c>
    </row>
    <row r="468" spans="1:20" ht="12.5" x14ac:dyDescent="0.25">
      <c r="A468" s="2" t="s">
        <v>1778</v>
      </c>
      <c r="B468" s="2" t="s">
        <v>729</v>
      </c>
      <c r="C468" s="2" t="s">
        <v>233</v>
      </c>
      <c r="D468" s="2" t="s">
        <v>1779</v>
      </c>
      <c r="E468" s="2" t="s">
        <v>55</v>
      </c>
      <c r="F468" s="2" t="s">
        <v>38</v>
      </c>
      <c r="G468" s="5">
        <v>3538</v>
      </c>
      <c r="H468" s="5">
        <v>35</v>
      </c>
      <c r="I468" s="5">
        <v>2300</v>
      </c>
      <c r="J468" s="5">
        <v>2</v>
      </c>
      <c r="K468" s="2" t="s">
        <v>32</v>
      </c>
      <c r="L468" s="2" t="s">
        <v>27</v>
      </c>
      <c r="M468" s="4">
        <v>4.0999999999999996</v>
      </c>
      <c r="N468" s="5">
        <v>300</v>
      </c>
      <c r="O468" s="3">
        <v>45786</v>
      </c>
      <c r="P468" s="2" t="s">
        <v>40</v>
      </c>
      <c r="Q468" s="2" t="s">
        <v>29</v>
      </c>
      <c r="R468" s="2" t="s">
        <v>66</v>
      </c>
      <c r="S468" s="2" t="s">
        <v>67</v>
      </c>
      <c r="T468" s="2" t="s">
        <v>134</v>
      </c>
    </row>
    <row r="469" spans="1:20" ht="12.5" x14ac:dyDescent="0.25">
      <c r="A469" s="2" t="s">
        <v>1780</v>
      </c>
      <c r="B469" s="2" t="s">
        <v>1781</v>
      </c>
      <c r="C469" s="2" t="s">
        <v>1782</v>
      </c>
      <c r="D469" s="2" t="s">
        <v>1783</v>
      </c>
      <c r="E469" s="2" t="s">
        <v>147</v>
      </c>
      <c r="F469" s="2" t="s">
        <v>148</v>
      </c>
      <c r="G469" s="5">
        <v>2586</v>
      </c>
      <c r="H469" s="5">
        <v>30</v>
      </c>
      <c r="I469" s="5">
        <v>1811</v>
      </c>
      <c r="J469" s="5">
        <v>3</v>
      </c>
      <c r="K469" s="2" t="s">
        <v>26</v>
      </c>
      <c r="L469" s="2" t="s">
        <v>88</v>
      </c>
      <c r="M469" s="4">
        <v>4.4000000000000004</v>
      </c>
      <c r="N469" s="5">
        <v>130</v>
      </c>
      <c r="O469" s="3">
        <v>45786</v>
      </c>
      <c r="P469" s="2" t="s">
        <v>40</v>
      </c>
      <c r="Q469" s="2" t="s">
        <v>65</v>
      </c>
      <c r="R469" s="2" t="s">
        <v>149</v>
      </c>
      <c r="S469" s="2" t="s">
        <v>150</v>
      </c>
      <c r="T469" s="2" t="s">
        <v>43</v>
      </c>
    </row>
    <row r="470" spans="1:20" ht="12.5" x14ac:dyDescent="0.25">
      <c r="A470" s="2" t="s">
        <v>1784</v>
      </c>
      <c r="B470" s="2" t="s">
        <v>1785</v>
      </c>
      <c r="C470" s="2" t="s">
        <v>1786</v>
      </c>
      <c r="D470" s="2" t="s">
        <v>1787</v>
      </c>
      <c r="E470" s="2" t="s">
        <v>48</v>
      </c>
      <c r="F470" s="2" t="s">
        <v>25</v>
      </c>
      <c r="G470" s="5">
        <v>4243</v>
      </c>
      <c r="H470" s="5">
        <v>25</v>
      </c>
      <c r="I470" s="5">
        <v>3183</v>
      </c>
      <c r="J470" s="5">
        <v>3</v>
      </c>
      <c r="K470" s="2" t="s">
        <v>261</v>
      </c>
      <c r="L470" s="2" t="s">
        <v>73</v>
      </c>
      <c r="M470" s="4">
        <v>4</v>
      </c>
      <c r="N470" s="5">
        <v>281</v>
      </c>
      <c r="O470" s="3">
        <v>45779</v>
      </c>
      <c r="P470" s="2" t="s">
        <v>57</v>
      </c>
      <c r="Q470" s="2" t="s">
        <v>78</v>
      </c>
      <c r="R470" s="2" t="s">
        <v>83</v>
      </c>
      <c r="S470" s="2" t="s">
        <v>83</v>
      </c>
      <c r="T470" s="2" t="s">
        <v>32</v>
      </c>
    </row>
    <row r="471" spans="1:20" ht="12.5" x14ac:dyDescent="0.25">
      <c r="A471" s="2" t="s">
        <v>1788</v>
      </c>
      <c r="B471" s="2" t="s">
        <v>1789</v>
      </c>
      <c r="C471" s="2" t="s">
        <v>1790</v>
      </c>
      <c r="D471" s="2" t="s">
        <v>1791</v>
      </c>
      <c r="E471" s="2" t="s">
        <v>132</v>
      </c>
      <c r="F471" s="2" t="s">
        <v>38</v>
      </c>
      <c r="G471" s="5">
        <v>4228</v>
      </c>
      <c r="H471" s="5">
        <v>15</v>
      </c>
      <c r="I471" s="5">
        <v>3594</v>
      </c>
      <c r="J471" s="5">
        <v>1</v>
      </c>
      <c r="K471" s="2" t="s">
        <v>26</v>
      </c>
      <c r="L471" s="2" t="s">
        <v>133</v>
      </c>
      <c r="M471" s="4">
        <v>3.7</v>
      </c>
      <c r="N471" s="5">
        <v>199</v>
      </c>
      <c r="O471" s="3">
        <v>45792</v>
      </c>
      <c r="P471" s="2" t="s">
        <v>28</v>
      </c>
      <c r="Q471" s="2" t="s">
        <v>78</v>
      </c>
      <c r="R471" s="2" t="s">
        <v>149</v>
      </c>
      <c r="S471" s="2" t="s">
        <v>150</v>
      </c>
      <c r="T471" s="2" t="s">
        <v>32</v>
      </c>
    </row>
    <row r="472" spans="1:20" ht="12.5" x14ac:dyDescent="0.25">
      <c r="A472" s="2" t="s">
        <v>1792</v>
      </c>
      <c r="B472" s="2" t="s">
        <v>820</v>
      </c>
      <c r="C472" s="2" t="s">
        <v>1793</v>
      </c>
      <c r="D472" s="2" t="s">
        <v>1794</v>
      </c>
      <c r="E472" s="2" t="s">
        <v>116</v>
      </c>
      <c r="F472" s="2" t="s">
        <v>117</v>
      </c>
      <c r="G472" s="5">
        <v>4853</v>
      </c>
      <c r="H472" s="5">
        <v>10</v>
      </c>
      <c r="I472" s="5">
        <v>4368</v>
      </c>
      <c r="J472" s="5">
        <v>3</v>
      </c>
      <c r="K472" s="2" t="s">
        <v>56</v>
      </c>
      <c r="L472" s="2" t="s">
        <v>133</v>
      </c>
      <c r="M472" s="4">
        <v>3.8</v>
      </c>
      <c r="N472" s="5">
        <v>270</v>
      </c>
      <c r="O472" s="3">
        <v>45840</v>
      </c>
      <c r="P472" s="2" t="s">
        <v>28</v>
      </c>
      <c r="Q472" s="2" t="s">
        <v>78</v>
      </c>
      <c r="R472" s="2" t="s">
        <v>149</v>
      </c>
      <c r="S472" s="2" t="s">
        <v>150</v>
      </c>
      <c r="T472" s="2" t="s">
        <v>32</v>
      </c>
    </row>
    <row r="473" spans="1:20" ht="12.5" x14ac:dyDescent="0.25">
      <c r="A473" s="2" t="s">
        <v>1795</v>
      </c>
      <c r="B473" s="2" t="s">
        <v>1116</v>
      </c>
      <c r="C473" s="2" t="s">
        <v>1796</v>
      </c>
      <c r="D473" s="2" t="s">
        <v>1797</v>
      </c>
      <c r="E473" s="2" t="s">
        <v>48</v>
      </c>
      <c r="F473" s="2" t="s">
        <v>25</v>
      </c>
      <c r="G473" s="5">
        <v>1648</v>
      </c>
      <c r="H473" s="5">
        <v>40</v>
      </c>
      <c r="I473" s="5">
        <v>989</v>
      </c>
      <c r="J473" s="5">
        <v>3</v>
      </c>
      <c r="K473" s="2" t="s">
        <v>26</v>
      </c>
      <c r="L473" s="2" t="s">
        <v>133</v>
      </c>
      <c r="M473" s="4">
        <v>3.9</v>
      </c>
      <c r="N473" s="5">
        <v>239</v>
      </c>
      <c r="O473" s="3">
        <v>45828</v>
      </c>
      <c r="P473" s="2" t="s">
        <v>40</v>
      </c>
      <c r="Q473" s="2" t="s">
        <v>78</v>
      </c>
      <c r="R473" s="2" t="s">
        <v>83</v>
      </c>
      <c r="S473" s="2" t="s">
        <v>83</v>
      </c>
      <c r="T473" s="2" t="s">
        <v>203</v>
      </c>
    </row>
    <row r="474" spans="1:20" ht="12.5" x14ac:dyDescent="0.25">
      <c r="A474" s="2" t="s">
        <v>1798</v>
      </c>
      <c r="B474" s="2" t="s">
        <v>1799</v>
      </c>
      <c r="C474" s="2" t="s">
        <v>1800</v>
      </c>
      <c r="D474" s="2" t="s">
        <v>1801</v>
      </c>
      <c r="E474" s="2" t="s">
        <v>55</v>
      </c>
      <c r="F474" s="2" t="s">
        <v>38</v>
      </c>
      <c r="G474" s="5">
        <v>4465</v>
      </c>
      <c r="H474" s="5">
        <v>40</v>
      </c>
      <c r="I474" s="5">
        <v>2679</v>
      </c>
      <c r="J474" s="5">
        <v>1</v>
      </c>
      <c r="K474" s="2" t="s">
        <v>226</v>
      </c>
      <c r="L474" s="2" t="s">
        <v>49</v>
      </c>
      <c r="M474" s="4">
        <v>4.8</v>
      </c>
      <c r="N474" s="5">
        <v>279</v>
      </c>
      <c r="O474" s="3">
        <v>45830</v>
      </c>
      <c r="P474" s="2" t="s">
        <v>40</v>
      </c>
      <c r="Q474" s="2" t="s">
        <v>78</v>
      </c>
      <c r="R474" s="2" t="s">
        <v>104</v>
      </c>
      <c r="S474" s="2" t="s">
        <v>105</v>
      </c>
      <c r="T474" s="2" t="s">
        <v>134</v>
      </c>
    </row>
    <row r="475" spans="1:20" ht="12.5" x14ac:dyDescent="0.25">
      <c r="A475" s="2" t="s">
        <v>1802</v>
      </c>
      <c r="B475" s="2" t="s">
        <v>1803</v>
      </c>
      <c r="C475" s="2" t="s">
        <v>1804</v>
      </c>
      <c r="D475" s="2" t="s">
        <v>1805</v>
      </c>
      <c r="E475" s="2" t="s">
        <v>37</v>
      </c>
      <c r="F475" s="2" t="s">
        <v>38</v>
      </c>
      <c r="G475" s="5">
        <v>3716</v>
      </c>
      <c r="H475" s="5">
        <v>20</v>
      </c>
      <c r="I475" s="5">
        <v>2973</v>
      </c>
      <c r="J475" s="5">
        <v>3</v>
      </c>
      <c r="K475" s="2">
        <v>40</v>
      </c>
      <c r="L475" s="2" t="s">
        <v>49</v>
      </c>
      <c r="M475" s="4">
        <v>3.9</v>
      </c>
      <c r="N475" s="5">
        <v>91</v>
      </c>
      <c r="O475" s="3">
        <v>45799</v>
      </c>
      <c r="P475" s="2" t="s">
        <v>28</v>
      </c>
      <c r="Q475" s="2" t="s">
        <v>65</v>
      </c>
      <c r="R475" s="2" t="s">
        <v>89</v>
      </c>
      <c r="S475" s="2" t="s">
        <v>90</v>
      </c>
      <c r="T475" s="2" t="s">
        <v>32</v>
      </c>
    </row>
    <row r="476" spans="1:20" ht="12.5" x14ac:dyDescent="0.25">
      <c r="A476" s="2" t="s">
        <v>1806</v>
      </c>
      <c r="B476" s="2" t="s">
        <v>1807</v>
      </c>
      <c r="C476" s="2" t="s">
        <v>1808</v>
      </c>
      <c r="D476" s="2" t="s">
        <v>1809</v>
      </c>
      <c r="E476" s="2" t="s">
        <v>147</v>
      </c>
      <c r="F476" s="2" t="s">
        <v>148</v>
      </c>
      <c r="G476" s="5">
        <v>1846</v>
      </c>
      <c r="H476" s="5">
        <v>30</v>
      </c>
      <c r="I476" s="5">
        <v>1293</v>
      </c>
      <c r="J476" s="5">
        <v>3</v>
      </c>
      <c r="K476" s="2" t="s">
        <v>163</v>
      </c>
      <c r="L476" s="2" t="s">
        <v>49</v>
      </c>
      <c r="M476" s="4">
        <v>4.4000000000000004</v>
      </c>
      <c r="N476" s="5">
        <v>39</v>
      </c>
      <c r="O476" s="3">
        <v>45769</v>
      </c>
      <c r="P476" s="2" t="s">
        <v>28</v>
      </c>
      <c r="Q476" s="2" t="s">
        <v>29</v>
      </c>
      <c r="R476" s="2" t="s">
        <v>89</v>
      </c>
      <c r="S476" s="2" t="s">
        <v>90</v>
      </c>
      <c r="T476" s="2" t="s">
        <v>32</v>
      </c>
    </row>
    <row r="477" spans="1:20" ht="12.5" x14ac:dyDescent="0.25">
      <c r="A477" s="2" t="s">
        <v>1810</v>
      </c>
      <c r="B477" s="2" t="s">
        <v>1811</v>
      </c>
      <c r="C477" s="2" t="s">
        <v>1812</v>
      </c>
      <c r="D477" s="2" t="s">
        <v>1813</v>
      </c>
      <c r="E477" s="2" t="s">
        <v>24</v>
      </c>
      <c r="F477" s="2" t="s">
        <v>25</v>
      </c>
      <c r="G477" s="5">
        <v>2053</v>
      </c>
      <c r="H477" s="5">
        <v>20</v>
      </c>
      <c r="I477" s="5">
        <v>1643</v>
      </c>
      <c r="J477" s="5">
        <v>3</v>
      </c>
      <c r="K477" s="2" t="s">
        <v>163</v>
      </c>
      <c r="L477" s="2" t="s">
        <v>103</v>
      </c>
      <c r="M477" s="4">
        <v>4.4000000000000004</v>
      </c>
      <c r="N477" s="5">
        <v>24</v>
      </c>
      <c r="O477" s="3">
        <v>45772</v>
      </c>
      <c r="P477" s="2" t="s">
        <v>40</v>
      </c>
      <c r="Q477" s="2" t="s">
        <v>78</v>
      </c>
      <c r="R477" s="2" t="s">
        <v>41</v>
      </c>
      <c r="S477" s="2" t="s">
        <v>42</v>
      </c>
      <c r="T477" s="2" t="s">
        <v>203</v>
      </c>
    </row>
    <row r="478" spans="1:20" ht="12.5" x14ac:dyDescent="0.25">
      <c r="A478" s="2" t="s">
        <v>1814</v>
      </c>
      <c r="B478" s="2" t="s">
        <v>585</v>
      </c>
      <c r="C478" s="2" t="s">
        <v>1815</v>
      </c>
      <c r="D478" s="2" t="s">
        <v>1816</v>
      </c>
      <c r="E478" s="2" t="s">
        <v>24</v>
      </c>
      <c r="F478" s="2" t="s">
        <v>25</v>
      </c>
      <c r="G478" s="5">
        <v>1354</v>
      </c>
      <c r="H478" s="5">
        <v>15</v>
      </c>
      <c r="I478" s="5">
        <v>1151</v>
      </c>
      <c r="J478" s="5">
        <v>2</v>
      </c>
      <c r="K478" s="2" t="s">
        <v>32</v>
      </c>
      <c r="L478" s="2" t="s">
        <v>88</v>
      </c>
      <c r="M478" s="4">
        <v>4.3</v>
      </c>
      <c r="N478" s="5">
        <v>294</v>
      </c>
      <c r="O478" s="3">
        <v>45857</v>
      </c>
      <c r="P478" s="2" t="s">
        <v>40</v>
      </c>
      <c r="Q478" s="2" t="s">
        <v>65</v>
      </c>
      <c r="R478" s="2" t="s">
        <v>104</v>
      </c>
      <c r="S478" s="2" t="s">
        <v>105</v>
      </c>
      <c r="T478" s="2" t="s">
        <v>203</v>
      </c>
    </row>
    <row r="479" spans="1:20" ht="12.5" x14ac:dyDescent="0.25">
      <c r="A479" s="2" t="s">
        <v>1817</v>
      </c>
      <c r="B479" s="2" t="s">
        <v>85</v>
      </c>
      <c r="C479" s="2" t="s">
        <v>1818</v>
      </c>
      <c r="D479" s="2" t="s">
        <v>1819</v>
      </c>
      <c r="E479" s="2" t="s">
        <v>208</v>
      </c>
      <c r="F479" s="2" t="s">
        <v>117</v>
      </c>
      <c r="G479" s="5">
        <v>2171</v>
      </c>
      <c r="H479" s="5">
        <v>30</v>
      </c>
      <c r="I479" s="5">
        <v>1520</v>
      </c>
      <c r="J479" s="5">
        <v>3</v>
      </c>
      <c r="K479" s="2">
        <v>44</v>
      </c>
      <c r="L479" s="2" t="s">
        <v>168</v>
      </c>
      <c r="M479" s="4">
        <v>3.9</v>
      </c>
      <c r="N479" s="5">
        <v>110</v>
      </c>
      <c r="O479" s="3">
        <v>45802</v>
      </c>
      <c r="P479" s="2" t="s">
        <v>57</v>
      </c>
      <c r="Q479" s="2" t="s">
        <v>78</v>
      </c>
      <c r="R479" s="2" t="s">
        <v>89</v>
      </c>
      <c r="S479" s="2" t="s">
        <v>90</v>
      </c>
      <c r="T479" s="2" t="s">
        <v>32</v>
      </c>
    </row>
    <row r="480" spans="1:20" ht="12.5" x14ac:dyDescent="0.25">
      <c r="A480" s="2" t="s">
        <v>1820</v>
      </c>
      <c r="B480" s="2" t="s">
        <v>1624</v>
      </c>
      <c r="C480" s="2" t="s">
        <v>1821</v>
      </c>
      <c r="D480" s="2" t="s">
        <v>1822</v>
      </c>
      <c r="E480" s="2" t="s">
        <v>24</v>
      </c>
      <c r="F480" s="2" t="s">
        <v>25</v>
      </c>
      <c r="G480" s="5">
        <v>3819</v>
      </c>
      <c r="H480" s="5">
        <v>30</v>
      </c>
      <c r="I480" s="5">
        <v>2674</v>
      </c>
      <c r="J480" s="5">
        <v>3</v>
      </c>
      <c r="K480" s="2" t="s">
        <v>26</v>
      </c>
      <c r="L480" s="2" t="s">
        <v>39</v>
      </c>
      <c r="M480" s="4">
        <v>4</v>
      </c>
      <c r="N480" s="5">
        <v>176</v>
      </c>
      <c r="O480" s="3">
        <v>45774</v>
      </c>
      <c r="P480" s="2" t="s">
        <v>28</v>
      </c>
      <c r="Q480" s="2" t="s">
        <v>29</v>
      </c>
      <c r="R480" s="2" t="s">
        <v>149</v>
      </c>
      <c r="S480" s="2" t="s">
        <v>150</v>
      </c>
      <c r="T480" s="2" t="s">
        <v>32</v>
      </c>
    </row>
    <row r="481" spans="1:20" ht="12.5" x14ac:dyDescent="0.25">
      <c r="A481" s="2" t="s">
        <v>1823</v>
      </c>
      <c r="B481" s="2" t="s">
        <v>125</v>
      </c>
      <c r="C481" s="2" t="s">
        <v>1824</v>
      </c>
      <c r="D481" s="2" t="s">
        <v>1825</v>
      </c>
      <c r="E481" s="2" t="s">
        <v>55</v>
      </c>
      <c r="F481" s="2" t="s">
        <v>38</v>
      </c>
      <c r="G481" s="5">
        <v>4217</v>
      </c>
      <c r="H481" s="5">
        <v>15</v>
      </c>
      <c r="I481" s="5">
        <v>3585</v>
      </c>
      <c r="J481" s="5">
        <v>1</v>
      </c>
      <c r="K481" s="2">
        <v>42</v>
      </c>
      <c r="L481" s="2" t="s">
        <v>27</v>
      </c>
      <c r="M481" s="4">
        <v>3.7</v>
      </c>
      <c r="N481" s="5">
        <v>30</v>
      </c>
      <c r="O481" s="3">
        <v>45822</v>
      </c>
      <c r="P481" s="2" t="s">
        <v>28</v>
      </c>
      <c r="Q481" s="2" t="s">
        <v>29</v>
      </c>
      <c r="R481" s="2" t="s">
        <v>104</v>
      </c>
      <c r="S481" s="2" t="s">
        <v>105</v>
      </c>
      <c r="T481" s="2" t="s">
        <v>32</v>
      </c>
    </row>
    <row r="482" spans="1:20" ht="12.5" x14ac:dyDescent="0.25">
      <c r="A482" s="2" t="s">
        <v>1826</v>
      </c>
      <c r="B482" s="2" t="s">
        <v>1827</v>
      </c>
      <c r="C482" s="2" t="s">
        <v>1828</v>
      </c>
      <c r="D482" s="2" t="s">
        <v>1829</v>
      </c>
      <c r="E482" s="2" t="s">
        <v>147</v>
      </c>
      <c r="F482" s="2" t="s">
        <v>148</v>
      </c>
      <c r="G482" s="5">
        <v>624</v>
      </c>
      <c r="H482" s="5">
        <v>20</v>
      </c>
      <c r="I482" s="5">
        <v>500</v>
      </c>
      <c r="J482" s="5">
        <v>3</v>
      </c>
      <c r="K482" s="2">
        <v>44</v>
      </c>
      <c r="L482" s="2" t="s">
        <v>27</v>
      </c>
      <c r="M482" s="4">
        <v>4.9000000000000004</v>
      </c>
      <c r="N482" s="5">
        <v>50</v>
      </c>
      <c r="O482" s="3">
        <v>45774</v>
      </c>
      <c r="P482" s="2" t="s">
        <v>40</v>
      </c>
      <c r="Q482" s="2" t="s">
        <v>65</v>
      </c>
      <c r="R482" s="2" t="s">
        <v>83</v>
      </c>
      <c r="S482" s="2" t="s">
        <v>83</v>
      </c>
      <c r="T482" s="2" t="s">
        <v>203</v>
      </c>
    </row>
    <row r="483" spans="1:20" ht="12.5" x14ac:dyDescent="0.25">
      <c r="A483" s="2" t="s">
        <v>1830</v>
      </c>
      <c r="B483" s="2" t="s">
        <v>1831</v>
      </c>
      <c r="C483" s="2" t="s">
        <v>1832</v>
      </c>
      <c r="D483" s="2" t="s">
        <v>1833</v>
      </c>
      <c r="E483" s="2" t="s">
        <v>147</v>
      </c>
      <c r="F483" s="2" t="s">
        <v>148</v>
      </c>
      <c r="G483" s="5">
        <v>1628</v>
      </c>
      <c r="H483" s="5">
        <v>40</v>
      </c>
      <c r="I483" s="5">
        <v>977</v>
      </c>
      <c r="J483" s="5">
        <v>1</v>
      </c>
      <c r="K483" s="2">
        <v>42</v>
      </c>
      <c r="L483" s="2" t="s">
        <v>209</v>
      </c>
      <c r="M483" s="4">
        <v>4.8</v>
      </c>
      <c r="N483" s="5">
        <v>233</v>
      </c>
      <c r="O483" s="3">
        <v>45800</v>
      </c>
      <c r="P483" s="2" t="s">
        <v>40</v>
      </c>
      <c r="Q483" s="2" t="s">
        <v>78</v>
      </c>
      <c r="R483" s="2" t="s">
        <v>41</v>
      </c>
      <c r="S483" s="2" t="s">
        <v>42</v>
      </c>
      <c r="T483" s="2" t="s">
        <v>32</v>
      </c>
    </row>
    <row r="484" spans="1:20" ht="12.5" x14ac:dyDescent="0.25">
      <c r="A484" s="2" t="s">
        <v>1834</v>
      </c>
      <c r="B484" s="2" t="s">
        <v>1022</v>
      </c>
      <c r="C484" s="2" t="s">
        <v>1835</v>
      </c>
      <c r="D484" s="2" t="s">
        <v>1836</v>
      </c>
      <c r="E484" s="2" t="s">
        <v>247</v>
      </c>
      <c r="F484" s="2" t="s">
        <v>248</v>
      </c>
      <c r="G484" s="5">
        <v>4177</v>
      </c>
      <c r="H484" s="5">
        <v>25</v>
      </c>
      <c r="I484" s="5">
        <v>3133</v>
      </c>
      <c r="J484" s="5">
        <v>3</v>
      </c>
      <c r="K484" s="2" t="s">
        <v>72</v>
      </c>
      <c r="L484" s="2" t="s">
        <v>27</v>
      </c>
      <c r="M484" s="4">
        <v>4.3</v>
      </c>
      <c r="N484" s="5">
        <v>248</v>
      </c>
      <c r="O484" s="3">
        <v>45804</v>
      </c>
      <c r="P484" s="2" t="s">
        <v>28</v>
      </c>
      <c r="Q484" s="2" t="s">
        <v>78</v>
      </c>
      <c r="R484" s="2" t="s">
        <v>185</v>
      </c>
      <c r="S484" s="2" t="s">
        <v>186</v>
      </c>
      <c r="T484" s="2" t="s">
        <v>32</v>
      </c>
    </row>
    <row r="485" spans="1:20" ht="12.5" x14ac:dyDescent="0.25">
      <c r="A485" s="2" t="s">
        <v>1837</v>
      </c>
      <c r="B485" s="2" t="s">
        <v>219</v>
      </c>
      <c r="C485" s="2" t="s">
        <v>1838</v>
      </c>
      <c r="D485" s="2" t="s">
        <v>1839</v>
      </c>
      <c r="E485" s="2" t="s">
        <v>132</v>
      </c>
      <c r="F485" s="2" t="s">
        <v>38</v>
      </c>
      <c r="G485" s="5">
        <v>1198</v>
      </c>
      <c r="H485" s="5">
        <v>10</v>
      </c>
      <c r="I485" s="5">
        <v>1079</v>
      </c>
      <c r="J485" s="5">
        <v>3</v>
      </c>
      <c r="K485" s="2">
        <v>42</v>
      </c>
      <c r="L485" s="2" t="s">
        <v>103</v>
      </c>
      <c r="M485" s="4">
        <v>4.0999999999999996</v>
      </c>
      <c r="N485" s="5">
        <v>188</v>
      </c>
      <c r="O485" s="3">
        <v>45819</v>
      </c>
      <c r="P485" s="2" t="s">
        <v>28</v>
      </c>
      <c r="Q485" s="2" t="s">
        <v>65</v>
      </c>
      <c r="R485" s="2" t="s">
        <v>149</v>
      </c>
      <c r="S485" s="2" t="s">
        <v>150</v>
      </c>
      <c r="T485" s="2" t="s">
        <v>32</v>
      </c>
    </row>
    <row r="486" spans="1:20" ht="12.5" x14ac:dyDescent="0.25">
      <c r="A486" s="2" t="s">
        <v>1840</v>
      </c>
      <c r="B486" s="2" t="s">
        <v>1841</v>
      </c>
      <c r="C486" s="2" t="s">
        <v>1842</v>
      </c>
      <c r="D486" s="2" t="s">
        <v>1843</v>
      </c>
      <c r="E486" s="2" t="s">
        <v>208</v>
      </c>
      <c r="F486" s="2" t="s">
        <v>117</v>
      </c>
      <c r="G486" s="5">
        <v>707</v>
      </c>
      <c r="H486" s="5">
        <v>35</v>
      </c>
      <c r="I486" s="5">
        <v>460</v>
      </c>
      <c r="J486" s="5">
        <v>3</v>
      </c>
      <c r="K486" s="2">
        <v>40</v>
      </c>
      <c r="L486" s="2" t="s">
        <v>133</v>
      </c>
      <c r="M486" s="4">
        <v>3.8</v>
      </c>
      <c r="N486" s="5">
        <v>269</v>
      </c>
      <c r="O486" s="3">
        <v>45811</v>
      </c>
      <c r="P486" s="2" t="s">
        <v>28</v>
      </c>
      <c r="Q486" s="2" t="s">
        <v>29</v>
      </c>
      <c r="R486" s="2" t="s">
        <v>83</v>
      </c>
      <c r="S486" s="2" t="s">
        <v>83</v>
      </c>
      <c r="T486" s="2" t="s">
        <v>32</v>
      </c>
    </row>
    <row r="487" spans="1:20" ht="12.5" x14ac:dyDescent="0.25">
      <c r="A487" s="2" t="s">
        <v>1844</v>
      </c>
      <c r="B487" s="2" t="s">
        <v>581</v>
      </c>
      <c r="C487" s="2" t="s">
        <v>1845</v>
      </c>
      <c r="D487" s="2" t="s">
        <v>1846</v>
      </c>
      <c r="E487" s="2" t="s">
        <v>55</v>
      </c>
      <c r="F487" s="2" t="s">
        <v>38</v>
      </c>
      <c r="G487" s="5">
        <v>4186</v>
      </c>
      <c r="H487" s="5">
        <v>30</v>
      </c>
      <c r="I487" s="5">
        <v>2931</v>
      </c>
      <c r="J487" s="5">
        <v>2</v>
      </c>
      <c r="K487" s="2" t="s">
        <v>56</v>
      </c>
      <c r="L487" s="2" t="s">
        <v>73</v>
      </c>
      <c r="M487" s="4">
        <v>3.8</v>
      </c>
      <c r="N487" s="5">
        <v>104</v>
      </c>
      <c r="O487" s="3">
        <v>45803</v>
      </c>
      <c r="P487" s="2" t="s">
        <v>28</v>
      </c>
      <c r="Q487" s="2" t="s">
        <v>65</v>
      </c>
      <c r="R487" s="2" t="s">
        <v>30</v>
      </c>
      <c r="S487" s="2" t="s">
        <v>31</v>
      </c>
      <c r="T487" s="2" t="s">
        <v>32</v>
      </c>
    </row>
    <row r="488" spans="1:20" ht="12.5" x14ac:dyDescent="0.25">
      <c r="A488" s="2" t="s">
        <v>1847</v>
      </c>
      <c r="B488" s="2" t="s">
        <v>681</v>
      </c>
      <c r="C488" s="2" t="s">
        <v>1848</v>
      </c>
      <c r="D488" s="2" t="s">
        <v>1849</v>
      </c>
      <c r="E488" s="2" t="s">
        <v>132</v>
      </c>
      <c r="F488" s="2" t="s">
        <v>38</v>
      </c>
      <c r="G488" s="5">
        <v>988</v>
      </c>
      <c r="H488" s="5">
        <v>25</v>
      </c>
      <c r="I488" s="5">
        <v>741</v>
      </c>
      <c r="J488" s="5">
        <v>3</v>
      </c>
      <c r="K488" s="2" t="s">
        <v>72</v>
      </c>
      <c r="L488" s="2" t="s">
        <v>88</v>
      </c>
      <c r="M488" s="4">
        <v>4.5999999999999996</v>
      </c>
      <c r="N488" s="5">
        <v>193</v>
      </c>
      <c r="O488" s="3">
        <v>45833</v>
      </c>
      <c r="P488" s="2" t="s">
        <v>57</v>
      </c>
      <c r="Q488" s="2" t="s">
        <v>78</v>
      </c>
      <c r="R488" s="2" t="s">
        <v>149</v>
      </c>
      <c r="S488" s="2" t="s">
        <v>150</v>
      </c>
      <c r="T488" s="2" t="s">
        <v>32</v>
      </c>
    </row>
    <row r="489" spans="1:20" ht="12.5" x14ac:dyDescent="0.25">
      <c r="A489" s="2" t="s">
        <v>1850</v>
      </c>
      <c r="B489" s="2" t="s">
        <v>1352</v>
      </c>
      <c r="C489" s="2" t="s">
        <v>1851</v>
      </c>
      <c r="D489" s="2" t="s">
        <v>1852</v>
      </c>
      <c r="E489" s="2" t="s">
        <v>122</v>
      </c>
      <c r="F489" s="2" t="s">
        <v>123</v>
      </c>
      <c r="G489" s="5">
        <v>1290</v>
      </c>
      <c r="H489" s="5">
        <v>10</v>
      </c>
      <c r="I489" s="5">
        <v>1161</v>
      </c>
      <c r="J489" s="5">
        <v>2</v>
      </c>
      <c r="K489" s="2">
        <v>42</v>
      </c>
      <c r="L489" s="2" t="s">
        <v>39</v>
      </c>
      <c r="M489" s="4">
        <v>3.7</v>
      </c>
      <c r="N489" s="5">
        <v>133</v>
      </c>
      <c r="O489" s="3">
        <v>45840</v>
      </c>
      <c r="P489" s="2" t="s">
        <v>57</v>
      </c>
      <c r="Q489" s="2" t="s">
        <v>65</v>
      </c>
      <c r="R489" s="2" t="s">
        <v>149</v>
      </c>
      <c r="S489" s="2" t="s">
        <v>150</v>
      </c>
      <c r="T489" s="2" t="s">
        <v>32</v>
      </c>
    </row>
    <row r="490" spans="1:20" ht="12.5" x14ac:dyDescent="0.25">
      <c r="A490" s="2" t="s">
        <v>1853</v>
      </c>
      <c r="B490" s="2" t="s">
        <v>1854</v>
      </c>
      <c r="C490" s="2" t="s">
        <v>1855</v>
      </c>
      <c r="D490" s="2" t="s">
        <v>1856</v>
      </c>
      <c r="E490" s="2" t="s">
        <v>37</v>
      </c>
      <c r="F490" s="2" t="s">
        <v>38</v>
      </c>
      <c r="G490" s="5">
        <v>4996</v>
      </c>
      <c r="H490" s="5">
        <v>35</v>
      </c>
      <c r="I490" s="5">
        <v>3248</v>
      </c>
      <c r="J490" s="5">
        <v>3</v>
      </c>
      <c r="K490" s="2" t="s">
        <v>26</v>
      </c>
      <c r="L490" s="2" t="s">
        <v>64</v>
      </c>
      <c r="M490" s="4">
        <v>4.5</v>
      </c>
      <c r="N490" s="5">
        <v>215</v>
      </c>
      <c r="O490" s="3">
        <v>45773</v>
      </c>
      <c r="P490" s="2" t="s">
        <v>40</v>
      </c>
      <c r="Q490" s="2" t="s">
        <v>78</v>
      </c>
      <c r="R490" s="2" t="s">
        <v>149</v>
      </c>
      <c r="S490" s="2" t="s">
        <v>150</v>
      </c>
      <c r="T490" s="2" t="s">
        <v>203</v>
      </c>
    </row>
    <row r="491" spans="1:20" ht="12.5" x14ac:dyDescent="0.25">
      <c r="A491" s="2" t="s">
        <v>1857</v>
      </c>
      <c r="B491" s="2" t="s">
        <v>1858</v>
      </c>
      <c r="C491" s="2" t="s">
        <v>1859</v>
      </c>
      <c r="D491" s="2" t="s">
        <v>1860</v>
      </c>
      <c r="E491" s="2" t="s">
        <v>132</v>
      </c>
      <c r="F491" s="2" t="s">
        <v>38</v>
      </c>
      <c r="G491" s="5">
        <v>3564</v>
      </c>
      <c r="H491" s="5">
        <v>20</v>
      </c>
      <c r="I491" s="5">
        <v>2852</v>
      </c>
      <c r="J491" s="5">
        <v>3</v>
      </c>
      <c r="K491" s="2">
        <v>40</v>
      </c>
      <c r="L491" s="2" t="s">
        <v>133</v>
      </c>
      <c r="M491" s="4">
        <v>3.7</v>
      </c>
      <c r="N491" s="5">
        <v>113</v>
      </c>
      <c r="O491" s="3">
        <v>45850</v>
      </c>
      <c r="P491" s="2" t="s">
        <v>28</v>
      </c>
      <c r="Q491" s="2" t="s">
        <v>65</v>
      </c>
      <c r="R491" s="2" t="s">
        <v>110</v>
      </c>
      <c r="S491" s="2" t="s">
        <v>111</v>
      </c>
      <c r="T491" s="2" t="s">
        <v>32</v>
      </c>
    </row>
    <row r="492" spans="1:20" ht="12.5" x14ac:dyDescent="0.25">
      <c r="A492" s="2" t="s">
        <v>1861</v>
      </c>
      <c r="B492" s="2" t="s">
        <v>1007</v>
      </c>
      <c r="C492" s="2" t="s">
        <v>1862</v>
      </c>
      <c r="D492" s="2" t="s">
        <v>1863</v>
      </c>
      <c r="E492" s="2" t="s">
        <v>147</v>
      </c>
      <c r="F492" s="2" t="s">
        <v>148</v>
      </c>
      <c r="G492" s="5">
        <v>1246</v>
      </c>
      <c r="H492" s="5">
        <v>20</v>
      </c>
      <c r="I492" s="5">
        <v>997</v>
      </c>
      <c r="J492" s="5">
        <v>1</v>
      </c>
      <c r="K492" s="2" t="s">
        <v>261</v>
      </c>
      <c r="L492" s="2" t="s">
        <v>49</v>
      </c>
      <c r="M492" s="4">
        <v>5</v>
      </c>
      <c r="N492" s="5">
        <v>165</v>
      </c>
      <c r="O492" s="3">
        <v>45770</v>
      </c>
      <c r="P492" s="2" t="s">
        <v>40</v>
      </c>
      <c r="Q492" s="2" t="s">
        <v>29</v>
      </c>
      <c r="R492" s="2" t="s">
        <v>104</v>
      </c>
      <c r="S492" s="2" t="s">
        <v>105</v>
      </c>
      <c r="T492" s="2" t="s">
        <v>134</v>
      </c>
    </row>
    <row r="493" spans="1:20" ht="12.5" x14ac:dyDescent="0.25">
      <c r="A493" s="2" t="s">
        <v>1864</v>
      </c>
      <c r="B493" s="2" t="s">
        <v>593</v>
      </c>
      <c r="C493" s="2" t="s">
        <v>1865</v>
      </c>
      <c r="D493" s="2" t="s">
        <v>1866</v>
      </c>
      <c r="E493" s="2" t="s">
        <v>48</v>
      </c>
      <c r="F493" s="2" t="s">
        <v>25</v>
      </c>
      <c r="G493" s="5">
        <v>3175</v>
      </c>
      <c r="H493" s="5">
        <v>15</v>
      </c>
      <c r="I493" s="5">
        <v>2699</v>
      </c>
      <c r="J493" s="5">
        <v>3</v>
      </c>
      <c r="K493" s="2">
        <v>40</v>
      </c>
      <c r="L493" s="2" t="s">
        <v>64</v>
      </c>
      <c r="M493" s="4">
        <v>4.5999999999999996</v>
      </c>
      <c r="N493" s="5">
        <v>210</v>
      </c>
      <c r="O493" s="3">
        <v>45852</v>
      </c>
      <c r="P493" s="2" t="s">
        <v>57</v>
      </c>
      <c r="Q493" s="2" t="s">
        <v>78</v>
      </c>
      <c r="R493" s="2" t="s">
        <v>185</v>
      </c>
      <c r="S493" s="2" t="s">
        <v>186</v>
      </c>
      <c r="T493" s="2" t="s">
        <v>32</v>
      </c>
    </row>
    <row r="494" spans="1:20" ht="12.5" x14ac:dyDescent="0.25">
      <c r="A494" s="2" t="s">
        <v>1867</v>
      </c>
      <c r="B494" s="2" t="s">
        <v>1868</v>
      </c>
      <c r="C494" s="2" t="s">
        <v>1869</v>
      </c>
      <c r="D494" s="2" t="s">
        <v>1870</v>
      </c>
      <c r="E494" s="2" t="s">
        <v>132</v>
      </c>
      <c r="F494" s="2" t="s">
        <v>38</v>
      </c>
      <c r="G494" s="5">
        <v>3143</v>
      </c>
      <c r="H494" s="5">
        <v>10</v>
      </c>
      <c r="I494" s="5">
        <v>2829</v>
      </c>
      <c r="J494" s="5">
        <v>1</v>
      </c>
      <c r="K494" s="2" t="s">
        <v>26</v>
      </c>
      <c r="L494" s="2" t="s">
        <v>133</v>
      </c>
      <c r="M494" s="4">
        <v>4</v>
      </c>
      <c r="N494" s="5">
        <v>222</v>
      </c>
      <c r="O494" s="3">
        <v>45845</v>
      </c>
      <c r="P494" s="2" t="s">
        <v>28</v>
      </c>
      <c r="Q494" s="2" t="s">
        <v>78</v>
      </c>
      <c r="R494" s="2" t="s">
        <v>66</v>
      </c>
      <c r="S494" s="2" t="s">
        <v>67</v>
      </c>
      <c r="T494" s="2" t="s">
        <v>32</v>
      </c>
    </row>
    <row r="495" spans="1:20" ht="12.5" x14ac:dyDescent="0.25">
      <c r="A495" s="2" t="s">
        <v>1871</v>
      </c>
      <c r="B495" s="2" t="s">
        <v>1872</v>
      </c>
      <c r="C495" s="2" t="s">
        <v>1873</v>
      </c>
      <c r="D495" s="2" t="s">
        <v>1874</v>
      </c>
      <c r="E495" s="2" t="s">
        <v>132</v>
      </c>
      <c r="F495" s="2" t="s">
        <v>38</v>
      </c>
      <c r="G495" s="5">
        <v>1616</v>
      </c>
      <c r="H495" s="5">
        <v>25</v>
      </c>
      <c r="I495" s="5">
        <v>1212</v>
      </c>
      <c r="J495" s="5">
        <v>2</v>
      </c>
      <c r="K495" s="2" t="s">
        <v>26</v>
      </c>
      <c r="L495" s="2" t="s">
        <v>168</v>
      </c>
      <c r="M495" s="4">
        <v>3.9</v>
      </c>
      <c r="N495" s="5">
        <v>152</v>
      </c>
      <c r="O495" s="3">
        <v>45794</v>
      </c>
      <c r="P495" s="2" t="s">
        <v>40</v>
      </c>
      <c r="Q495" s="2" t="s">
        <v>29</v>
      </c>
      <c r="R495" s="2" t="s">
        <v>104</v>
      </c>
      <c r="S495" s="2" t="s">
        <v>105</v>
      </c>
      <c r="T495" s="2" t="s">
        <v>43</v>
      </c>
    </row>
    <row r="496" spans="1:20" ht="12.5" x14ac:dyDescent="0.25">
      <c r="A496" s="2" t="s">
        <v>1875</v>
      </c>
      <c r="B496" s="2" t="s">
        <v>1868</v>
      </c>
      <c r="C496" s="2" t="s">
        <v>1876</v>
      </c>
      <c r="D496" s="2" t="s">
        <v>1877</v>
      </c>
      <c r="E496" s="2" t="s">
        <v>122</v>
      </c>
      <c r="F496" s="2" t="s">
        <v>123</v>
      </c>
      <c r="G496" s="5">
        <v>3572</v>
      </c>
      <c r="H496" s="5">
        <v>25</v>
      </c>
      <c r="I496" s="5">
        <v>2679</v>
      </c>
      <c r="J496" s="5">
        <v>3</v>
      </c>
      <c r="K496" s="2" t="s">
        <v>226</v>
      </c>
      <c r="L496" s="2" t="s">
        <v>103</v>
      </c>
      <c r="M496" s="4">
        <v>3.9</v>
      </c>
      <c r="N496" s="5">
        <v>215</v>
      </c>
      <c r="O496" s="3">
        <v>45814</v>
      </c>
      <c r="P496" s="2" t="s">
        <v>57</v>
      </c>
      <c r="Q496" s="2" t="s">
        <v>78</v>
      </c>
      <c r="R496" s="2" t="s">
        <v>30</v>
      </c>
      <c r="S496" s="2" t="s">
        <v>31</v>
      </c>
      <c r="T496" s="2" t="s">
        <v>32</v>
      </c>
    </row>
    <row r="497" spans="1:20" ht="12.5" x14ac:dyDescent="0.25">
      <c r="A497" s="2" t="s">
        <v>1878</v>
      </c>
      <c r="B497" s="2" t="s">
        <v>428</v>
      </c>
      <c r="C497" s="2" t="s">
        <v>1879</v>
      </c>
      <c r="D497" s="2" t="s">
        <v>1880</v>
      </c>
      <c r="E497" s="2" t="s">
        <v>55</v>
      </c>
      <c r="F497" s="2" t="s">
        <v>38</v>
      </c>
      <c r="G497" s="5">
        <v>2899</v>
      </c>
      <c r="H497" s="5">
        <v>10</v>
      </c>
      <c r="I497" s="5">
        <v>2610</v>
      </c>
      <c r="J497" s="5">
        <v>2</v>
      </c>
      <c r="K497" s="2" t="s">
        <v>163</v>
      </c>
      <c r="L497" s="2" t="s">
        <v>209</v>
      </c>
      <c r="M497" s="4">
        <v>3.7</v>
      </c>
      <c r="N497" s="5">
        <v>288</v>
      </c>
      <c r="O497" s="3">
        <v>45775</v>
      </c>
      <c r="P497" s="2" t="s">
        <v>40</v>
      </c>
      <c r="Q497" s="2" t="s">
        <v>65</v>
      </c>
      <c r="R497" s="2" t="s">
        <v>89</v>
      </c>
      <c r="S497" s="2" t="s">
        <v>90</v>
      </c>
      <c r="T497" s="2" t="s">
        <v>32</v>
      </c>
    </row>
    <row r="498" spans="1:20" ht="12.5" x14ac:dyDescent="0.25">
      <c r="A498" s="2" t="s">
        <v>1881</v>
      </c>
      <c r="B498" s="2" t="s">
        <v>1564</v>
      </c>
      <c r="C498" s="2" t="s">
        <v>1882</v>
      </c>
      <c r="D498" s="2" t="s">
        <v>1883</v>
      </c>
      <c r="E498" s="2" t="s">
        <v>48</v>
      </c>
      <c r="F498" s="2" t="s">
        <v>25</v>
      </c>
      <c r="G498" s="5">
        <v>2590</v>
      </c>
      <c r="H498" s="5">
        <v>40</v>
      </c>
      <c r="I498" s="5">
        <v>1554</v>
      </c>
      <c r="J498" s="5">
        <v>3</v>
      </c>
      <c r="K498" s="2" t="s">
        <v>226</v>
      </c>
      <c r="L498" s="2" t="s">
        <v>209</v>
      </c>
      <c r="M498" s="4">
        <v>4.9000000000000004</v>
      </c>
      <c r="N498" s="5">
        <v>230</v>
      </c>
      <c r="O498" s="3">
        <v>45800</v>
      </c>
      <c r="P498" s="2" t="s">
        <v>57</v>
      </c>
      <c r="Q498" s="2" t="s">
        <v>65</v>
      </c>
      <c r="R498" s="2" t="s">
        <v>58</v>
      </c>
      <c r="S498" s="2" t="s">
        <v>59</v>
      </c>
      <c r="T498" s="2" t="s">
        <v>32</v>
      </c>
    </row>
    <row r="499" spans="1:20" ht="12.5" x14ac:dyDescent="0.25">
      <c r="A499" s="2" t="s">
        <v>1884</v>
      </c>
      <c r="B499" s="2" t="s">
        <v>809</v>
      </c>
      <c r="C499" s="2" t="s">
        <v>1885</v>
      </c>
      <c r="D499" s="2" t="s">
        <v>1886</v>
      </c>
      <c r="E499" s="2" t="s">
        <v>208</v>
      </c>
      <c r="F499" s="2" t="s">
        <v>117</v>
      </c>
      <c r="G499" s="5">
        <v>955</v>
      </c>
      <c r="H499" s="5">
        <v>30</v>
      </c>
      <c r="I499" s="5">
        <v>669</v>
      </c>
      <c r="J499" s="5">
        <v>1</v>
      </c>
      <c r="K499" s="2" t="s">
        <v>226</v>
      </c>
      <c r="L499" s="2" t="s">
        <v>49</v>
      </c>
      <c r="M499" s="4">
        <v>3.8</v>
      </c>
      <c r="N499" s="5">
        <v>237</v>
      </c>
      <c r="O499" s="3">
        <v>45856</v>
      </c>
      <c r="P499" s="2" t="s">
        <v>57</v>
      </c>
      <c r="Q499" s="2" t="s">
        <v>78</v>
      </c>
      <c r="R499" s="2" t="s">
        <v>58</v>
      </c>
      <c r="S499" s="2" t="s">
        <v>59</v>
      </c>
      <c r="T499" s="2" t="s">
        <v>32</v>
      </c>
    </row>
    <row r="500" spans="1:20" ht="12.5" x14ac:dyDescent="0.25">
      <c r="A500" s="2" t="s">
        <v>1887</v>
      </c>
      <c r="B500" s="2" t="s">
        <v>1487</v>
      </c>
      <c r="C500" s="2" t="s">
        <v>1888</v>
      </c>
      <c r="D500" s="2" t="s">
        <v>1889</v>
      </c>
      <c r="E500" s="2" t="s">
        <v>122</v>
      </c>
      <c r="F500" s="2" t="s">
        <v>123</v>
      </c>
      <c r="G500" s="5">
        <v>4871</v>
      </c>
      <c r="H500" s="5">
        <v>15</v>
      </c>
      <c r="I500" s="5">
        <v>4141</v>
      </c>
      <c r="J500" s="5">
        <v>2</v>
      </c>
      <c r="K500" s="2">
        <v>40</v>
      </c>
      <c r="L500" s="2" t="s">
        <v>39</v>
      </c>
      <c r="M500" s="4">
        <v>4.2</v>
      </c>
      <c r="N500" s="5">
        <v>117</v>
      </c>
      <c r="O500" s="3">
        <v>45836</v>
      </c>
      <c r="P500" s="2" t="s">
        <v>40</v>
      </c>
      <c r="Q500" s="2" t="s">
        <v>29</v>
      </c>
      <c r="R500" s="2" t="s">
        <v>30</v>
      </c>
      <c r="S500" s="2" t="s">
        <v>31</v>
      </c>
      <c r="T500" s="2" t="s">
        <v>203</v>
      </c>
    </row>
    <row r="501" spans="1:20" ht="12.5" x14ac:dyDescent="0.25">
      <c r="A501" s="2" t="s">
        <v>1890</v>
      </c>
      <c r="B501" s="2" t="s">
        <v>1516</v>
      </c>
      <c r="C501" s="2" t="s">
        <v>1891</v>
      </c>
      <c r="D501" s="2" t="s">
        <v>1892</v>
      </c>
      <c r="E501" s="2" t="s">
        <v>55</v>
      </c>
      <c r="F501" s="2" t="s">
        <v>38</v>
      </c>
      <c r="G501" s="5">
        <v>3488</v>
      </c>
      <c r="H501" s="5">
        <v>40</v>
      </c>
      <c r="I501" s="5">
        <v>2093</v>
      </c>
      <c r="J501" s="5">
        <v>1</v>
      </c>
      <c r="K501" s="2" t="s">
        <v>163</v>
      </c>
      <c r="L501" s="2" t="s">
        <v>64</v>
      </c>
      <c r="M501" s="4">
        <v>4.8</v>
      </c>
      <c r="N501" s="5">
        <v>156</v>
      </c>
      <c r="O501" s="3">
        <v>45777</v>
      </c>
      <c r="P501" s="2" t="s">
        <v>28</v>
      </c>
      <c r="Q501" s="2" t="s">
        <v>65</v>
      </c>
      <c r="R501" s="2" t="s">
        <v>149</v>
      </c>
      <c r="S501" s="2" t="s">
        <v>150</v>
      </c>
      <c r="T501" s="2" t="s">
        <v>32</v>
      </c>
    </row>
    <row r="502" spans="1:20" ht="12.5" x14ac:dyDescent="0.25">
      <c r="A502" s="2" t="s">
        <v>1893</v>
      </c>
      <c r="B502" s="2" t="s">
        <v>1894</v>
      </c>
      <c r="C502" s="2" t="s">
        <v>1895</v>
      </c>
      <c r="D502" s="2" t="s">
        <v>1896</v>
      </c>
      <c r="E502" s="2" t="s">
        <v>24</v>
      </c>
      <c r="F502" s="2" t="s">
        <v>25</v>
      </c>
      <c r="G502" s="5">
        <v>2350</v>
      </c>
      <c r="H502" s="5">
        <v>40</v>
      </c>
      <c r="I502" s="5">
        <v>1410</v>
      </c>
      <c r="J502" s="5">
        <v>1</v>
      </c>
      <c r="K502" s="2" t="s">
        <v>26</v>
      </c>
      <c r="L502" s="2" t="s">
        <v>88</v>
      </c>
      <c r="M502" s="4">
        <v>4.2</v>
      </c>
      <c r="N502" s="5">
        <v>85</v>
      </c>
      <c r="O502" s="3">
        <v>45816</v>
      </c>
      <c r="P502" s="2" t="s">
        <v>28</v>
      </c>
      <c r="Q502" s="2" t="s">
        <v>65</v>
      </c>
      <c r="R502" s="2" t="s">
        <v>185</v>
      </c>
      <c r="S502" s="2" t="s">
        <v>186</v>
      </c>
      <c r="T502" s="2" t="s">
        <v>32</v>
      </c>
    </row>
    <row r="503" spans="1:20" ht="12.5" x14ac:dyDescent="0.25">
      <c r="A503" s="2" t="s">
        <v>1897</v>
      </c>
      <c r="B503" s="2" t="s">
        <v>223</v>
      </c>
      <c r="C503" s="2" t="s">
        <v>1898</v>
      </c>
      <c r="D503" s="2" t="s">
        <v>1899</v>
      </c>
      <c r="E503" s="2" t="s">
        <v>37</v>
      </c>
      <c r="F503" s="2" t="s">
        <v>38</v>
      </c>
      <c r="G503" s="5">
        <v>1726</v>
      </c>
      <c r="H503" s="5">
        <v>40</v>
      </c>
      <c r="I503" s="5">
        <v>1036</v>
      </c>
      <c r="J503" s="5">
        <v>1</v>
      </c>
      <c r="K503" s="2" t="s">
        <v>226</v>
      </c>
      <c r="L503" s="2" t="s">
        <v>88</v>
      </c>
      <c r="M503" s="4">
        <v>4.0999999999999996</v>
      </c>
      <c r="N503" s="5">
        <v>209</v>
      </c>
      <c r="O503" s="3">
        <v>45803</v>
      </c>
      <c r="P503" s="2" t="s">
        <v>40</v>
      </c>
      <c r="Q503" s="2" t="s">
        <v>65</v>
      </c>
      <c r="R503" s="2" t="s">
        <v>149</v>
      </c>
      <c r="S503" s="2" t="s">
        <v>150</v>
      </c>
      <c r="T503" s="2" t="s">
        <v>32</v>
      </c>
    </row>
    <row r="504" spans="1:20" ht="12.5" x14ac:dyDescent="0.25">
      <c r="A504" s="2" t="s">
        <v>1900</v>
      </c>
      <c r="B504" s="2" t="s">
        <v>1901</v>
      </c>
      <c r="C504" s="2" t="s">
        <v>1902</v>
      </c>
      <c r="D504" s="2" t="s">
        <v>1903</v>
      </c>
      <c r="E504" s="2" t="s">
        <v>122</v>
      </c>
      <c r="F504" s="2" t="s">
        <v>123</v>
      </c>
      <c r="G504" s="5">
        <v>1734</v>
      </c>
      <c r="H504" s="5">
        <v>30</v>
      </c>
      <c r="I504" s="5">
        <v>1214</v>
      </c>
      <c r="J504" s="5">
        <v>1</v>
      </c>
      <c r="K504" s="2" t="s">
        <v>26</v>
      </c>
      <c r="L504" s="2" t="s">
        <v>39</v>
      </c>
      <c r="M504" s="4">
        <v>4.5</v>
      </c>
      <c r="N504" s="5">
        <v>284</v>
      </c>
      <c r="O504" s="3">
        <v>45824</v>
      </c>
      <c r="P504" s="2" t="s">
        <v>40</v>
      </c>
      <c r="Q504" s="2" t="s">
        <v>65</v>
      </c>
      <c r="R504" s="2" t="s">
        <v>41</v>
      </c>
      <c r="S504" s="2" t="s">
        <v>42</v>
      </c>
      <c r="T504" s="2" t="s">
        <v>203</v>
      </c>
    </row>
    <row r="505" spans="1:20" ht="12.5" x14ac:dyDescent="0.25">
      <c r="A505" s="2" t="s">
        <v>1904</v>
      </c>
      <c r="B505" s="2" t="s">
        <v>1905</v>
      </c>
      <c r="C505" s="2" t="s">
        <v>1906</v>
      </c>
      <c r="D505" s="2" t="s">
        <v>1907</v>
      </c>
      <c r="E505" s="2" t="s">
        <v>122</v>
      </c>
      <c r="F505" s="2" t="s">
        <v>123</v>
      </c>
      <c r="G505" s="5">
        <v>4410</v>
      </c>
      <c r="H505" s="5">
        <v>30</v>
      </c>
      <c r="I505" s="5">
        <v>3087</v>
      </c>
      <c r="J505" s="5">
        <v>2</v>
      </c>
      <c r="K505" s="2" t="s">
        <v>32</v>
      </c>
      <c r="L505" s="2" t="s">
        <v>103</v>
      </c>
      <c r="M505" s="4">
        <v>4.5</v>
      </c>
      <c r="N505" s="5">
        <v>57</v>
      </c>
      <c r="O505" s="3">
        <v>45851</v>
      </c>
      <c r="P505" s="2" t="s">
        <v>40</v>
      </c>
      <c r="Q505" s="2" t="s">
        <v>65</v>
      </c>
      <c r="R505" s="2" t="s">
        <v>110</v>
      </c>
      <c r="S505" s="2" t="s">
        <v>111</v>
      </c>
      <c r="T505" s="2" t="s">
        <v>32</v>
      </c>
    </row>
    <row r="506" spans="1:20" ht="12.5" x14ac:dyDescent="0.25">
      <c r="A506" s="2" t="s">
        <v>1908</v>
      </c>
      <c r="B506" s="2" t="s">
        <v>1909</v>
      </c>
      <c r="C506" s="2" t="s">
        <v>1910</v>
      </c>
      <c r="D506" s="2" t="s">
        <v>1911</v>
      </c>
      <c r="E506" s="2" t="s">
        <v>116</v>
      </c>
      <c r="F506" s="2" t="s">
        <v>117</v>
      </c>
      <c r="G506" s="5">
        <v>3750</v>
      </c>
      <c r="H506" s="5">
        <v>35</v>
      </c>
      <c r="I506" s="5">
        <v>2438</v>
      </c>
      <c r="J506" s="5">
        <v>2</v>
      </c>
      <c r="K506" s="2" t="s">
        <v>56</v>
      </c>
      <c r="L506" s="2" t="s">
        <v>133</v>
      </c>
      <c r="M506" s="4">
        <v>4.8</v>
      </c>
      <c r="N506" s="5">
        <v>245</v>
      </c>
      <c r="O506" s="3">
        <v>45836</v>
      </c>
      <c r="P506" s="2" t="s">
        <v>28</v>
      </c>
      <c r="Q506" s="2" t="s">
        <v>29</v>
      </c>
      <c r="R506" s="2" t="s">
        <v>149</v>
      </c>
      <c r="S506" s="2" t="s">
        <v>150</v>
      </c>
      <c r="T506" s="2" t="s">
        <v>32</v>
      </c>
    </row>
    <row r="507" spans="1:20" ht="12.5" x14ac:dyDescent="0.25">
      <c r="A507" s="2" t="s">
        <v>1912</v>
      </c>
      <c r="B507" s="2" t="s">
        <v>119</v>
      </c>
      <c r="C507" s="2" t="s">
        <v>1913</v>
      </c>
      <c r="D507" s="2" t="s">
        <v>1914</v>
      </c>
      <c r="E507" s="2" t="s">
        <v>116</v>
      </c>
      <c r="F507" s="2" t="s">
        <v>117</v>
      </c>
      <c r="G507" s="5">
        <v>4799</v>
      </c>
      <c r="H507" s="5">
        <v>25</v>
      </c>
      <c r="I507" s="5">
        <v>3600</v>
      </c>
      <c r="J507" s="5">
        <v>1</v>
      </c>
      <c r="K507" s="2">
        <v>44</v>
      </c>
      <c r="L507" s="2" t="s">
        <v>168</v>
      </c>
      <c r="M507" s="4">
        <v>3.9</v>
      </c>
      <c r="N507" s="5">
        <v>166</v>
      </c>
      <c r="O507" s="3">
        <v>45848</v>
      </c>
      <c r="P507" s="2" t="s">
        <v>40</v>
      </c>
      <c r="Q507" s="2" t="s">
        <v>65</v>
      </c>
      <c r="R507" s="2" t="s">
        <v>110</v>
      </c>
      <c r="S507" s="2" t="s">
        <v>111</v>
      </c>
      <c r="T507" s="2" t="s">
        <v>203</v>
      </c>
    </row>
    <row r="508" spans="1:20" ht="12.5" x14ac:dyDescent="0.25">
      <c r="A508" s="2" t="s">
        <v>1915</v>
      </c>
      <c r="B508" s="2" t="s">
        <v>165</v>
      </c>
      <c r="C508" s="2" t="s">
        <v>1916</v>
      </c>
      <c r="D508" s="2" t="s">
        <v>1917</v>
      </c>
      <c r="E508" s="2" t="s">
        <v>147</v>
      </c>
      <c r="F508" s="2" t="s">
        <v>148</v>
      </c>
      <c r="G508" s="5">
        <v>1649</v>
      </c>
      <c r="H508" s="5">
        <v>10</v>
      </c>
      <c r="I508" s="5">
        <v>1485</v>
      </c>
      <c r="J508" s="5">
        <v>1</v>
      </c>
      <c r="K508" s="2">
        <v>40</v>
      </c>
      <c r="L508" s="2" t="s">
        <v>103</v>
      </c>
      <c r="M508" s="4">
        <v>4</v>
      </c>
      <c r="N508" s="5">
        <v>36</v>
      </c>
      <c r="O508" s="3">
        <v>45816</v>
      </c>
      <c r="P508" s="2" t="s">
        <v>28</v>
      </c>
      <c r="Q508" s="2" t="s">
        <v>78</v>
      </c>
      <c r="R508" s="2" t="s">
        <v>58</v>
      </c>
      <c r="S508" s="2" t="s">
        <v>59</v>
      </c>
      <c r="T508" s="2" t="s">
        <v>32</v>
      </c>
    </row>
    <row r="509" spans="1:20" ht="12.5" x14ac:dyDescent="0.25">
      <c r="A509" s="2" t="s">
        <v>1918</v>
      </c>
      <c r="B509" s="2" t="s">
        <v>1919</v>
      </c>
      <c r="C509" s="2" t="s">
        <v>1920</v>
      </c>
      <c r="D509" s="2" t="s">
        <v>1921</v>
      </c>
      <c r="E509" s="2" t="s">
        <v>208</v>
      </c>
      <c r="F509" s="2" t="s">
        <v>117</v>
      </c>
      <c r="G509" s="5">
        <v>1993</v>
      </c>
      <c r="H509" s="5">
        <v>35</v>
      </c>
      <c r="I509" s="5">
        <v>1296</v>
      </c>
      <c r="J509" s="5">
        <v>3</v>
      </c>
      <c r="K509" s="2" t="s">
        <v>26</v>
      </c>
      <c r="L509" s="2" t="s">
        <v>168</v>
      </c>
      <c r="M509" s="4">
        <v>4.3</v>
      </c>
      <c r="N509" s="5">
        <v>237</v>
      </c>
      <c r="O509" s="3">
        <v>45829</v>
      </c>
      <c r="P509" s="2" t="s">
        <v>57</v>
      </c>
      <c r="Q509" s="2" t="s">
        <v>78</v>
      </c>
      <c r="R509" s="2" t="s">
        <v>185</v>
      </c>
      <c r="S509" s="2" t="s">
        <v>186</v>
      </c>
      <c r="T509" s="2" t="s">
        <v>32</v>
      </c>
    </row>
    <row r="510" spans="1:20" ht="12.5" x14ac:dyDescent="0.25">
      <c r="A510" s="2" t="s">
        <v>1922</v>
      </c>
      <c r="B510" s="2" t="s">
        <v>729</v>
      </c>
      <c r="C510" s="2" t="s">
        <v>1923</v>
      </c>
      <c r="D510" s="2" t="s">
        <v>1924</v>
      </c>
      <c r="E510" s="2" t="s">
        <v>116</v>
      </c>
      <c r="F510" s="2" t="s">
        <v>117</v>
      </c>
      <c r="G510" s="5">
        <v>4597</v>
      </c>
      <c r="H510" s="5">
        <v>25</v>
      </c>
      <c r="I510" s="5">
        <v>3448</v>
      </c>
      <c r="J510" s="5">
        <v>3</v>
      </c>
      <c r="K510" s="2">
        <v>44</v>
      </c>
      <c r="L510" s="2" t="s">
        <v>64</v>
      </c>
      <c r="M510" s="4">
        <v>4.3</v>
      </c>
      <c r="N510" s="5">
        <v>144</v>
      </c>
      <c r="O510" s="3">
        <v>45812</v>
      </c>
      <c r="P510" s="2" t="s">
        <v>40</v>
      </c>
      <c r="Q510" s="2" t="s">
        <v>29</v>
      </c>
      <c r="R510" s="2" t="s">
        <v>149</v>
      </c>
      <c r="S510" s="2" t="s">
        <v>150</v>
      </c>
      <c r="T510" s="2" t="s">
        <v>43</v>
      </c>
    </row>
    <row r="511" spans="1:20" ht="12.5" x14ac:dyDescent="0.25">
      <c r="A511" s="2" t="s">
        <v>1925</v>
      </c>
      <c r="B511" s="2" t="s">
        <v>1069</v>
      </c>
      <c r="C511" s="2" t="s">
        <v>1926</v>
      </c>
      <c r="D511" s="2" t="s">
        <v>1927</v>
      </c>
      <c r="E511" s="2" t="s">
        <v>122</v>
      </c>
      <c r="F511" s="2" t="s">
        <v>123</v>
      </c>
      <c r="G511" s="5">
        <v>2535</v>
      </c>
      <c r="H511" s="5">
        <v>40</v>
      </c>
      <c r="I511" s="5">
        <v>1521</v>
      </c>
      <c r="J511" s="5">
        <v>2</v>
      </c>
      <c r="K511" s="2" t="s">
        <v>32</v>
      </c>
      <c r="L511" s="2" t="s">
        <v>209</v>
      </c>
      <c r="M511" s="4">
        <v>4.2</v>
      </c>
      <c r="N511" s="5">
        <v>89</v>
      </c>
      <c r="O511" s="3">
        <v>45815</v>
      </c>
      <c r="P511" s="2" t="s">
        <v>40</v>
      </c>
      <c r="Q511" s="2" t="s">
        <v>78</v>
      </c>
      <c r="R511" s="2" t="s">
        <v>66</v>
      </c>
      <c r="S511" s="2" t="s">
        <v>67</v>
      </c>
      <c r="T511" s="2" t="s">
        <v>32</v>
      </c>
    </row>
    <row r="512" spans="1:20" ht="12.5" x14ac:dyDescent="0.25">
      <c r="A512" s="2" t="s">
        <v>1928</v>
      </c>
      <c r="B512" s="2" t="s">
        <v>824</v>
      </c>
      <c r="C512" s="2" t="s">
        <v>1929</v>
      </c>
      <c r="D512" s="2" t="s">
        <v>1930</v>
      </c>
      <c r="E512" s="2" t="s">
        <v>132</v>
      </c>
      <c r="F512" s="2" t="s">
        <v>38</v>
      </c>
      <c r="G512" s="5">
        <v>3719</v>
      </c>
      <c r="H512" s="5">
        <v>30</v>
      </c>
      <c r="I512" s="5">
        <v>2604</v>
      </c>
      <c r="J512" s="5">
        <v>3</v>
      </c>
      <c r="K512" s="2" t="s">
        <v>72</v>
      </c>
      <c r="L512" s="2" t="s">
        <v>64</v>
      </c>
      <c r="M512" s="4">
        <v>4.5</v>
      </c>
      <c r="N512" s="5">
        <v>193</v>
      </c>
      <c r="O512" s="3">
        <v>45808</v>
      </c>
      <c r="P512" s="2" t="s">
        <v>28</v>
      </c>
      <c r="Q512" s="2" t="s">
        <v>29</v>
      </c>
      <c r="R512" s="2" t="s">
        <v>30</v>
      </c>
      <c r="S512" s="2" t="s">
        <v>31</v>
      </c>
      <c r="T512" s="2" t="s">
        <v>32</v>
      </c>
    </row>
    <row r="513" spans="1:20" ht="12.5" x14ac:dyDescent="0.25">
      <c r="A513" s="2" t="s">
        <v>1931</v>
      </c>
      <c r="B513" s="2" t="s">
        <v>254</v>
      </c>
      <c r="C513" s="2" t="s">
        <v>1932</v>
      </c>
      <c r="D513" s="2" t="s">
        <v>1933</v>
      </c>
      <c r="E513" s="2" t="s">
        <v>247</v>
      </c>
      <c r="F513" s="2" t="s">
        <v>248</v>
      </c>
      <c r="G513" s="5">
        <v>4401</v>
      </c>
      <c r="H513" s="5">
        <v>40</v>
      </c>
      <c r="I513" s="5">
        <v>2641</v>
      </c>
      <c r="J513" s="5">
        <v>1</v>
      </c>
      <c r="K513" s="2" t="s">
        <v>72</v>
      </c>
      <c r="L513" s="2" t="s">
        <v>49</v>
      </c>
      <c r="M513" s="4">
        <v>4.5</v>
      </c>
      <c r="N513" s="5">
        <v>281</v>
      </c>
      <c r="O513" s="3">
        <v>45844</v>
      </c>
      <c r="P513" s="2" t="s">
        <v>40</v>
      </c>
      <c r="Q513" s="2" t="s">
        <v>78</v>
      </c>
      <c r="R513" s="2" t="s">
        <v>83</v>
      </c>
      <c r="S513" s="2" t="s">
        <v>83</v>
      </c>
      <c r="T513" s="2" t="s">
        <v>134</v>
      </c>
    </row>
    <row r="514" spans="1:20" ht="12.5" x14ac:dyDescent="0.25">
      <c r="A514" s="2" t="s">
        <v>1934</v>
      </c>
      <c r="B514" s="2" t="s">
        <v>1385</v>
      </c>
      <c r="C514" s="2" t="s">
        <v>1935</v>
      </c>
      <c r="D514" s="2" t="s">
        <v>1936</v>
      </c>
      <c r="E514" s="2" t="s">
        <v>116</v>
      </c>
      <c r="F514" s="2" t="s">
        <v>117</v>
      </c>
      <c r="G514" s="5">
        <v>3940</v>
      </c>
      <c r="H514" s="5">
        <v>15</v>
      </c>
      <c r="I514" s="5">
        <v>3349</v>
      </c>
      <c r="J514" s="5">
        <v>1</v>
      </c>
      <c r="K514" s="2" t="s">
        <v>261</v>
      </c>
      <c r="L514" s="2" t="s">
        <v>103</v>
      </c>
      <c r="M514" s="4">
        <v>4.9000000000000004</v>
      </c>
      <c r="N514" s="5">
        <v>181</v>
      </c>
      <c r="O514" s="3">
        <v>45775</v>
      </c>
      <c r="P514" s="2" t="s">
        <v>57</v>
      </c>
      <c r="Q514" s="2" t="s">
        <v>29</v>
      </c>
      <c r="R514" s="2" t="s">
        <v>89</v>
      </c>
      <c r="S514" s="2" t="s">
        <v>90</v>
      </c>
      <c r="T514" s="2" t="s">
        <v>32</v>
      </c>
    </row>
    <row r="515" spans="1:20" ht="12.5" x14ac:dyDescent="0.25">
      <c r="A515" s="2" t="s">
        <v>1937</v>
      </c>
      <c r="B515" s="2" t="s">
        <v>1938</v>
      </c>
      <c r="C515" s="2" t="s">
        <v>1939</v>
      </c>
      <c r="D515" s="2" t="s">
        <v>1940</v>
      </c>
      <c r="E515" s="2" t="s">
        <v>122</v>
      </c>
      <c r="F515" s="2" t="s">
        <v>123</v>
      </c>
      <c r="G515" s="5">
        <v>3286</v>
      </c>
      <c r="H515" s="5">
        <v>30</v>
      </c>
      <c r="I515" s="5">
        <v>2301</v>
      </c>
      <c r="J515" s="5">
        <v>1</v>
      </c>
      <c r="K515" s="2">
        <v>40</v>
      </c>
      <c r="L515" s="2" t="s">
        <v>133</v>
      </c>
      <c r="M515" s="4">
        <v>3.5</v>
      </c>
      <c r="N515" s="5">
        <v>209</v>
      </c>
      <c r="O515" s="3">
        <v>45821</v>
      </c>
      <c r="P515" s="2" t="s">
        <v>28</v>
      </c>
      <c r="Q515" s="2" t="s">
        <v>78</v>
      </c>
      <c r="R515" s="2" t="s">
        <v>30</v>
      </c>
      <c r="S515" s="2" t="s">
        <v>31</v>
      </c>
      <c r="T515" s="2" t="s">
        <v>32</v>
      </c>
    </row>
    <row r="516" spans="1:20" ht="12.5" x14ac:dyDescent="0.25">
      <c r="A516" s="2" t="s">
        <v>1941</v>
      </c>
      <c r="B516" s="2" t="s">
        <v>884</v>
      </c>
      <c r="C516" s="2" t="s">
        <v>1942</v>
      </c>
      <c r="D516" s="2" t="s">
        <v>1943</v>
      </c>
      <c r="E516" s="2" t="s">
        <v>122</v>
      </c>
      <c r="F516" s="2" t="s">
        <v>123</v>
      </c>
      <c r="G516" s="5">
        <v>2412</v>
      </c>
      <c r="H516" s="5">
        <v>35</v>
      </c>
      <c r="I516" s="5">
        <v>1568</v>
      </c>
      <c r="J516" s="5">
        <v>1</v>
      </c>
      <c r="K516" s="2" t="s">
        <v>72</v>
      </c>
      <c r="L516" s="2" t="s">
        <v>133</v>
      </c>
      <c r="M516" s="4">
        <v>4.8</v>
      </c>
      <c r="N516" s="5">
        <v>233</v>
      </c>
      <c r="O516" s="3">
        <v>45857</v>
      </c>
      <c r="P516" s="2" t="s">
        <v>40</v>
      </c>
      <c r="Q516" s="2" t="s">
        <v>78</v>
      </c>
      <c r="R516" s="2" t="s">
        <v>41</v>
      </c>
      <c r="S516" s="2" t="s">
        <v>42</v>
      </c>
      <c r="T516" s="2" t="s">
        <v>50</v>
      </c>
    </row>
    <row r="517" spans="1:20" ht="12.5" x14ac:dyDescent="0.25">
      <c r="A517" s="2" t="s">
        <v>1944</v>
      </c>
      <c r="B517" s="2" t="s">
        <v>577</v>
      </c>
      <c r="C517" s="2" t="s">
        <v>1945</v>
      </c>
      <c r="D517" s="2" t="s">
        <v>1946</v>
      </c>
      <c r="E517" s="2" t="s">
        <v>147</v>
      </c>
      <c r="F517" s="2" t="s">
        <v>148</v>
      </c>
      <c r="G517" s="5">
        <v>4389</v>
      </c>
      <c r="H517" s="5">
        <v>40</v>
      </c>
      <c r="I517" s="5">
        <v>2634</v>
      </c>
      <c r="J517" s="5">
        <v>1</v>
      </c>
      <c r="K517" s="2">
        <v>42</v>
      </c>
      <c r="L517" s="2" t="s">
        <v>27</v>
      </c>
      <c r="M517" s="4">
        <v>4.8</v>
      </c>
      <c r="N517" s="5">
        <v>78</v>
      </c>
      <c r="O517" s="3">
        <v>45825</v>
      </c>
      <c r="P517" s="2" t="s">
        <v>57</v>
      </c>
      <c r="Q517" s="2" t="s">
        <v>65</v>
      </c>
      <c r="R517" s="2" t="s">
        <v>83</v>
      </c>
      <c r="S517" s="2" t="s">
        <v>83</v>
      </c>
      <c r="T517" s="2" t="s">
        <v>32</v>
      </c>
    </row>
    <row r="518" spans="1:20" ht="12.5" x14ac:dyDescent="0.25">
      <c r="A518" s="2" t="s">
        <v>1947</v>
      </c>
      <c r="B518" s="2" t="s">
        <v>835</v>
      </c>
      <c r="C518" s="2" t="s">
        <v>1948</v>
      </c>
      <c r="D518" s="2" t="s">
        <v>1949</v>
      </c>
      <c r="E518" s="2" t="s">
        <v>37</v>
      </c>
      <c r="F518" s="2" t="s">
        <v>38</v>
      </c>
      <c r="G518" s="5">
        <v>2848</v>
      </c>
      <c r="H518" s="5">
        <v>10</v>
      </c>
      <c r="I518" s="5">
        <v>2564</v>
      </c>
      <c r="J518" s="5">
        <v>3</v>
      </c>
      <c r="K518" s="2">
        <v>40</v>
      </c>
      <c r="L518" s="2" t="s">
        <v>73</v>
      </c>
      <c r="M518" s="4">
        <v>4.4000000000000004</v>
      </c>
      <c r="N518" s="5">
        <v>13</v>
      </c>
      <c r="O518" s="3">
        <v>45855</v>
      </c>
      <c r="P518" s="2" t="s">
        <v>40</v>
      </c>
      <c r="Q518" s="2" t="s">
        <v>65</v>
      </c>
      <c r="R518" s="2" t="s">
        <v>110</v>
      </c>
      <c r="S518" s="2" t="s">
        <v>111</v>
      </c>
      <c r="T518" s="2" t="s">
        <v>32</v>
      </c>
    </row>
    <row r="519" spans="1:20" ht="12.5" x14ac:dyDescent="0.25">
      <c r="A519" s="2" t="s">
        <v>1950</v>
      </c>
      <c r="B519" s="2" t="s">
        <v>839</v>
      </c>
      <c r="C519" s="2" t="s">
        <v>1951</v>
      </c>
      <c r="D519" s="2" t="s">
        <v>1952</v>
      </c>
      <c r="E519" s="2" t="s">
        <v>48</v>
      </c>
      <c r="F519" s="2" t="s">
        <v>25</v>
      </c>
      <c r="G519" s="5">
        <v>1428</v>
      </c>
      <c r="H519" s="5">
        <v>10</v>
      </c>
      <c r="I519" s="5">
        <v>1286</v>
      </c>
      <c r="J519" s="5">
        <v>2</v>
      </c>
      <c r="K519" s="2" t="s">
        <v>261</v>
      </c>
      <c r="L519" s="2" t="s">
        <v>88</v>
      </c>
      <c r="M519" s="4">
        <v>3.9</v>
      </c>
      <c r="N519" s="5">
        <v>218</v>
      </c>
      <c r="O519" s="3">
        <v>45856</v>
      </c>
      <c r="P519" s="2" t="s">
        <v>40</v>
      </c>
      <c r="Q519" s="2" t="s">
        <v>65</v>
      </c>
      <c r="R519" s="2" t="s">
        <v>104</v>
      </c>
      <c r="S519" s="2" t="s">
        <v>105</v>
      </c>
      <c r="T519" s="2" t="s">
        <v>203</v>
      </c>
    </row>
    <row r="520" spans="1:20" ht="12.5" x14ac:dyDescent="0.25">
      <c r="A520" s="2" t="s">
        <v>1953</v>
      </c>
      <c r="B520" s="2" t="s">
        <v>1954</v>
      </c>
      <c r="C520" s="2" t="s">
        <v>1955</v>
      </c>
      <c r="D520" s="2" t="s">
        <v>1956</v>
      </c>
      <c r="E520" s="2" t="s">
        <v>24</v>
      </c>
      <c r="F520" s="2" t="s">
        <v>25</v>
      </c>
      <c r="G520" s="5">
        <v>2023</v>
      </c>
      <c r="H520" s="5">
        <v>35</v>
      </c>
      <c r="I520" s="5">
        <v>1315</v>
      </c>
      <c r="J520" s="5">
        <v>1</v>
      </c>
      <c r="K520" s="2">
        <v>42</v>
      </c>
      <c r="L520" s="2" t="s">
        <v>27</v>
      </c>
      <c r="M520" s="4">
        <v>3.9</v>
      </c>
      <c r="N520" s="5">
        <v>189</v>
      </c>
      <c r="O520" s="3">
        <v>45789</v>
      </c>
      <c r="P520" s="2" t="s">
        <v>40</v>
      </c>
      <c r="Q520" s="2" t="s">
        <v>29</v>
      </c>
      <c r="R520" s="2" t="s">
        <v>83</v>
      </c>
      <c r="S520" s="2" t="s">
        <v>83</v>
      </c>
      <c r="T520" s="2" t="s">
        <v>50</v>
      </c>
    </row>
    <row r="521" spans="1:20" ht="12.5" x14ac:dyDescent="0.25">
      <c r="A521" s="2" t="s">
        <v>1957</v>
      </c>
      <c r="B521" s="2" t="s">
        <v>1161</v>
      </c>
      <c r="C521" s="2" t="s">
        <v>1958</v>
      </c>
      <c r="D521" s="2" t="s">
        <v>1959</v>
      </c>
      <c r="E521" s="2" t="s">
        <v>147</v>
      </c>
      <c r="F521" s="2" t="s">
        <v>148</v>
      </c>
      <c r="G521" s="5">
        <v>4094</v>
      </c>
      <c r="H521" s="5">
        <v>15</v>
      </c>
      <c r="I521" s="5">
        <v>3480</v>
      </c>
      <c r="J521" s="5">
        <v>2</v>
      </c>
      <c r="K521" s="2" t="s">
        <v>56</v>
      </c>
      <c r="L521" s="2" t="s">
        <v>88</v>
      </c>
      <c r="M521" s="4">
        <v>4.5999999999999996</v>
      </c>
      <c r="N521" s="5">
        <v>184</v>
      </c>
      <c r="O521" s="3">
        <v>45787</v>
      </c>
      <c r="P521" s="2" t="s">
        <v>57</v>
      </c>
      <c r="Q521" s="2" t="s">
        <v>29</v>
      </c>
      <c r="R521" s="2" t="s">
        <v>110</v>
      </c>
      <c r="S521" s="2" t="s">
        <v>111</v>
      </c>
      <c r="T521" s="2" t="s">
        <v>32</v>
      </c>
    </row>
    <row r="522" spans="1:20" ht="12.5" x14ac:dyDescent="0.25">
      <c r="A522" s="2" t="s">
        <v>1960</v>
      </c>
      <c r="B522" s="2" t="s">
        <v>1961</v>
      </c>
      <c r="C522" s="2" t="s">
        <v>1962</v>
      </c>
      <c r="D522" s="2" t="s">
        <v>1963</v>
      </c>
      <c r="E522" s="2" t="s">
        <v>55</v>
      </c>
      <c r="F522" s="2" t="s">
        <v>38</v>
      </c>
      <c r="G522" s="5">
        <v>1265</v>
      </c>
      <c r="H522" s="5">
        <v>25</v>
      </c>
      <c r="I522" s="5">
        <v>949</v>
      </c>
      <c r="J522" s="5">
        <v>1</v>
      </c>
      <c r="K522" s="2" t="s">
        <v>56</v>
      </c>
      <c r="L522" s="2" t="s">
        <v>73</v>
      </c>
      <c r="M522" s="4">
        <v>3.8</v>
      </c>
      <c r="N522" s="5">
        <v>282</v>
      </c>
      <c r="O522" s="3">
        <v>45795</v>
      </c>
      <c r="P522" s="2" t="s">
        <v>28</v>
      </c>
      <c r="Q522" s="2" t="s">
        <v>29</v>
      </c>
      <c r="R522" s="2" t="s">
        <v>104</v>
      </c>
      <c r="S522" s="2" t="s">
        <v>105</v>
      </c>
      <c r="T522" s="2" t="s">
        <v>32</v>
      </c>
    </row>
    <row r="523" spans="1:20" ht="12.5" x14ac:dyDescent="0.25">
      <c r="A523" s="2" t="s">
        <v>1964</v>
      </c>
      <c r="B523" s="2" t="s">
        <v>993</v>
      </c>
      <c r="C523" s="2" t="s">
        <v>1965</v>
      </c>
      <c r="D523" s="2" t="s">
        <v>1966</v>
      </c>
      <c r="E523" s="2" t="s">
        <v>48</v>
      </c>
      <c r="F523" s="2" t="s">
        <v>25</v>
      </c>
      <c r="G523" s="5">
        <v>2107</v>
      </c>
      <c r="H523" s="5">
        <v>25</v>
      </c>
      <c r="I523" s="5">
        <v>1581</v>
      </c>
      <c r="J523" s="5">
        <v>1</v>
      </c>
      <c r="K523" s="2" t="s">
        <v>72</v>
      </c>
      <c r="L523" s="2" t="s">
        <v>168</v>
      </c>
      <c r="M523" s="4">
        <v>4</v>
      </c>
      <c r="N523" s="5">
        <v>158</v>
      </c>
      <c r="O523" s="3">
        <v>45770</v>
      </c>
      <c r="P523" s="2" t="s">
        <v>28</v>
      </c>
      <c r="Q523" s="2" t="s">
        <v>78</v>
      </c>
      <c r="R523" s="2" t="s">
        <v>110</v>
      </c>
      <c r="S523" s="2" t="s">
        <v>111</v>
      </c>
      <c r="T523" s="2" t="s">
        <v>32</v>
      </c>
    </row>
    <row r="524" spans="1:20" ht="12.5" x14ac:dyDescent="0.25">
      <c r="A524" s="2" t="s">
        <v>1967</v>
      </c>
      <c r="B524" s="2" t="s">
        <v>1042</v>
      </c>
      <c r="C524" s="2" t="s">
        <v>1968</v>
      </c>
      <c r="D524" s="2" t="s">
        <v>1969</v>
      </c>
      <c r="E524" s="2" t="s">
        <v>208</v>
      </c>
      <c r="F524" s="2" t="s">
        <v>117</v>
      </c>
      <c r="G524" s="5">
        <v>1040</v>
      </c>
      <c r="H524" s="5">
        <v>10</v>
      </c>
      <c r="I524" s="5">
        <v>936</v>
      </c>
      <c r="J524" s="5">
        <v>2</v>
      </c>
      <c r="K524" s="2" t="s">
        <v>163</v>
      </c>
      <c r="L524" s="2" t="s">
        <v>64</v>
      </c>
      <c r="M524" s="4">
        <v>4.8</v>
      </c>
      <c r="N524" s="5">
        <v>71</v>
      </c>
      <c r="O524" s="3">
        <v>45800</v>
      </c>
      <c r="P524" s="2" t="s">
        <v>57</v>
      </c>
      <c r="Q524" s="2" t="s">
        <v>29</v>
      </c>
      <c r="R524" s="2" t="s">
        <v>110</v>
      </c>
      <c r="S524" s="2" t="s">
        <v>111</v>
      </c>
      <c r="T524" s="2" t="s">
        <v>32</v>
      </c>
    </row>
    <row r="525" spans="1:20" ht="12.5" x14ac:dyDescent="0.25">
      <c r="A525" s="2" t="s">
        <v>1970</v>
      </c>
      <c r="B525" s="2" t="s">
        <v>630</v>
      </c>
      <c r="C525" s="2" t="s">
        <v>1971</v>
      </c>
      <c r="D525" s="2" t="s">
        <v>1972</v>
      </c>
      <c r="E525" s="2" t="s">
        <v>208</v>
      </c>
      <c r="F525" s="2" t="s">
        <v>117</v>
      </c>
      <c r="G525" s="5">
        <v>3263</v>
      </c>
      <c r="H525" s="5">
        <v>15</v>
      </c>
      <c r="I525" s="5">
        <v>2774</v>
      </c>
      <c r="J525" s="5">
        <v>3</v>
      </c>
      <c r="K525" s="2" t="s">
        <v>163</v>
      </c>
      <c r="L525" s="2" t="s">
        <v>88</v>
      </c>
      <c r="M525" s="4">
        <v>4.4000000000000004</v>
      </c>
      <c r="N525" s="5">
        <v>155</v>
      </c>
      <c r="O525" s="3">
        <v>45793</v>
      </c>
      <c r="P525" s="2" t="s">
        <v>40</v>
      </c>
      <c r="Q525" s="2" t="s">
        <v>29</v>
      </c>
      <c r="R525" s="2" t="s">
        <v>149</v>
      </c>
      <c r="S525" s="2" t="s">
        <v>150</v>
      </c>
      <c r="T525" s="2" t="s">
        <v>50</v>
      </c>
    </row>
    <row r="526" spans="1:20" ht="12.5" x14ac:dyDescent="0.25">
      <c r="A526" s="2" t="s">
        <v>1973</v>
      </c>
      <c r="B526" s="2" t="s">
        <v>444</v>
      </c>
      <c r="C526" s="2" t="s">
        <v>1974</v>
      </c>
      <c r="D526" s="2" t="s">
        <v>1975</v>
      </c>
      <c r="E526" s="2" t="s">
        <v>48</v>
      </c>
      <c r="F526" s="2" t="s">
        <v>25</v>
      </c>
      <c r="G526" s="5">
        <v>4097</v>
      </c>
      <c r="H526" s="5">
        <v>25</v>
      </c>
      <c r="I526" s="5">
        <v>3073</v>
      </c>
      <c r="J526" s="5">
        <v>2</v>
      </c>
      <c r="K526" s="2" t="s">
        <v>26</v>
      </c>
      <c r="L526" s="2" t="s">
        <v>88</v>
      </c>
      <c r="M526" s="4">
        <v>4.5999999999999996</v>
      </c>
      <c r="N526" s="5">
        <v>264</v>
      </c>
      <c r="O526" s="3">
        <v>45826</v>
      </c>
      <c r="P526" s="2" t="s">
        <v>28</v>
      </c>
      <c r="Q526" s="2" t="s">
        <v>29</v>
      </c>
      <c r="R526" s="2" t="s">
        <v>149</v>
      </c>
      <c r="S526" s="2" t="s">
        <v>150</v>
      </c>
      <c r="T526" s="2" t="s">
        <v>32</v>
      </c>
    </row>
    <row r="527" spans="1:20" ht="12.5" x14ac:dyDescent="0.25">
      <c r="A527" s="2" t="s">
        <v>1976</v>
      </c>
      <c r="B527" s="2" t="s">
        <v>1977</v>
      </c>
      <c r="C527" s="2" t="s">
        <v>1978</v>
      </c>
      <c r="D527" s="2" t="s">
        <v>1979</v>
      </c>
      <c r="E527" s="2" t="s">
        <v>208</v>
      </c>
      <c r="F527" s="2" t="s">
        <v>117</v>
      </c>
      <c r="G527" s="5">
        <v>1794</v>
      </c>
      <c r="H527" s="5">
        <v>20</v>
      </c>
      <c r="I527" s="5">
        <v>1436</v>
      </c>
      <c r="J527" s="5">
        <v>3</v>
      </c>
      <c r="K527" s="2">
        <v>42</v>
      </c>
      <c r="L527" s="2" t="s">
        <v>103</v>
      </c>
      <c r="M527" s="4">
        <v>4.7</v>
      </c>
      <c r="N527" s="5">
        <v>13</v>
      </c>
      <c r="O527" s="3">
        <v>45801</v>
      </c>
      <c r="P527" s="2" t="s">
        <v>40</v>
      </c>
      <c r="Q527" s="2" t="s">
        <v>78</v>
      </c>
      <c r="R527" s="2" t="s">
        <v>104</v>
      </c>
      <c r="S527" s="2" t="s">
        <v>105</v>
      </c>
      <c r="T527" s="2" t="s">
        <v>43</v>
      </c>
    </row>
    <row r="528" spans="1:20" ht="12.5" x14ac:dyDescent="0.25">
      <c r="A528" s="2" t="s">
        <v>1980</v>
      </c>
      <c r="B528" s="2" t="s">
        <v>125</v>
      </c>
      <c r="C528" s="2" t="s">
        <v>1981</v>
      </c>
      <c r="D528" s="2" t="s">
        <v>1982</v>
      </c>
      <c r="E528" s="2" t="s">
        <v>48</v>
      </c>
      <c r="F528" s="2" t="s">
        <v>25</v>
      </c>
      <c r="G528" s="5">
        <v>754</v>
      </c>
      <c r="H528" s="5">
        <v>25</v>
      </c>
      <c r="I528" s="5">
        <v>566</v>
      </c>
      <c r="J528" s="5">
        <v>2</v>
      </c>
      <c r="K528" s="2" t="s">
        <v>226</v>
      </c>
      <c r="L528" s="2" t="s">
        <v>209</v>
      </c>
      <c r="M528" s="4">
        <v>4.0999999999999996</v>
      </c>
      <c r="N528" s="5">
        <v>97</v>
      </c>
      <c r="O528" s="3">
        <v>45772</v>
      </c>
      <c r="P528" s="2" t="s">
        <v>57</v>
      </c>
      <c r="Q528" s="2" t="s">
        <v>65</v>
      </c>
      <c r="R528" s="2" t="s">
        <v>110</v>
      </c>
      <c r="S528" s="2" t="s">
        <v>111</v>
      </c>
      <c r="T528" s="2" t="s">
        <v>32</v>
      </c>
    </row>
    <row r="529" spans="1:20" ht="12.5" x14ac:dyDescent="0.25">
      <c r="A529" s="2" t="s">
        <v>1983</v>
      </c>
      <c r="B529" s="2" t="s">
        <v>1984</v>
      </c>
      <c r="C529" s="2" t="s">
        <v>604</v>
      </c>
      <c r="D529" s="2" t="s">
        <v>1985</v>
      </c>
      <c r="E529" s="2" t="s">
        <v>122</v>
      </c>
      <c r="F529" s="2" t="s">
        <v>123</v>
      </c>
      <c r="G529" s="5">
        <v>2758</v>
      </c>
      <c r="H529" s="5">
        <v>35</v>
      </c>
      <c r="I529" s="5">
        <v>1793</v>
      </c>
      <c r="J529" s="5">
        <v>3</v>
      </c>
      <c r="K529" s="2" t="s">
        <v>26</v>
      </c>
      <c r="L529" s="2" t="s">
        <v>103</v>
      </c>
      <c r="M529" s="4">
        <v>4.5999999999999996</v>
      </c>
      <c r="N529" s="5">
        <v>52</v>
      </c>
      <c r="O529" s="3">
        <v>45833</v>
      </c>
      <c r="P529" s="2" t="s">
        <v>40</v>
      </c>
      <c r="Q529" s="2" t="s">
        <v>65</v>
      </c>
      <c r="R529" s="2" t="s">
        <v>104</v>
      </c>
      <c r="S529" s="2" t="s">
        <v>105</v>
      </c>
      <c r="T529" s="2" t="s">
        <v>203</v>
      </c>
    </row>
    <row r="530" spans="1:20" ht="12.5" x14ac:dyDescent="0.25">
      <c r="A530" s="2" t="s">
        <v>1986</v>
      </c>
      <c r="B530" s="2" t="s">
        <v>1175</v>
      </c>
      <c r="C530" s="2" t="s">
        <v>1987</v>
      </c>
      <c r="D530" s="2" t="s">
        <v>1988</v>
      </c>
      <c r="E530" s="2" t="s">
        <v>48</v>
      </c>
      <c r="F530" s="2" t="s">
        <v>25</v>
      </c>
      <c r="G530" s="5">
        <v>2932</v>
      </c>
      <c r="H530" s="5">
        <v>40</v>
      </c>
      <c r="I530" s="5">
        <v>1760</v>
      </c>
      <c r="J530" s="5">
        <v>3</v>
      </c>
      <c r="K530" s="2" t="s">
        <v>72</v>
      </c>
      <c r="L530" s="2" t="s">
        <v>73</v>
      </c>
      <c r="M530" s="4">
        <v>4</v>
      </c>
      <c r="N530" s="5">
        <v>267</v>
      </c>
      <c r="O530" s="3">
        <v>45846</v>
      </c>
      <c r="P530" s="2" t="s">
        <v>57</v>
      </c>
      <c r="Q530" s="2" t="s">
        <v>65</v>
      </c>
      <c r="R530" s="2" t="s">
        <v>30</v>
      </c>
      <c r="S530" s="2" t="s">
        <v>31</v>
      </c>
      <c r="T530" s="2" t="s">
        <v>32</v>
      </c>
    </row>
    <row r="531" spans="1:20" ht="12.5" x14ac:dyDescent="0.25">
      <c r="A531" s="2" t="s">
        <v>1989</v>
      </c>
      <c r="B531" s="2" t="s">
        <v>1990</v>
      </c>
      <c r="C531" s="2" t="s">
        <v>1991</v>
      </c>
      <c r="D531" s="2" t="s">
        <v>1992</v>
      </c>
      <c r="E531" s="2" t="s">
        <v>48</v>
      </c>
      <c r="F531" s="2" t="s">
        <v>25</v>
      </c>
      <c r="G531" s="5">
        <v>604</v>
      </c>
      <c r="H531" s="5">
        <v>10</v>
      </c>
      <c r="I531" s="5">
        <v>544</v>
      </c>
      <c r="J531" s="5">
        <v>3</v>
      </c>
      <c r="K531" s="2" t="s">
        <v>26</v>
      </c>
      <c r="L531" s="2" t="s">
        <v>73</v>
      </c>
      <c r="M531" s="4">
        <v>4.7</v>
      </c>
      <c r="N531" s="5">
        <v>172</v>
      </c>
      <c r="O531" s="3">
        <v>45799</v>
      </c>
      <c r="P531" s="2" t="s">
        <v>57</v>
      </c>
      <c r="Q531" s="2" t="s">
        <v>78</v>
      </c>
      <c r="R531" s="2" t="s">
        <v>89</v>
      </c>
      <c r="S531" s="2" t="s">
        <v>90</v>
      </c>
      <c r="T531" s="2" t="s">
        <v>32</v>
      </c>
    </row>
    <row r="532" spans="1:20" ht="12.5" x14ac:dyDescent="0.25">
      <c r="A532" s="2" t="s">
        <v>1993</v>
      </c>
      <c r="B532" s="2" t="s">
        <v>1073</v>
      </c>
      <c r="C532" s="2" t="s">
        <v>1994</v>
      </c>
      <c r="D532" s="2" t="s">
        <v>1995</v>
      </c>
      <c r="E532" s="2" t="s">
        <v>37</v>
      </c>
      <c r="F532" s="2" t="s">
        <v>38</v>
      </c>
      <c r="G532" s="5">
        <v>1317</v>
      </c>
      <c r="H532" s="5">
        <v>40</v>
      </c>
      <c r="I532" s="5">
        <v>791</v>
      </c>
      <c r="J532" s="5">
        <v>3</v>
      </c>
      <c r="K532" s="2" t="s">
        <v>26</v>
      </c>
      <c r="L532" s="2" t="s">
        <v>168</v>
      </c>
      <c r="M532" s="4">
        <v>4.7</v>
      </c>
      <c r="N532" s="5">
        <v>178</v>
      </c>
      <c r="O532" s="3">
        <v>45812</v>
      </c>
      <c r="P532" s="2" t="s">
        <v>40</v>
      </c>
      <c r="Q532" s="2" t="s">
        <v>29</v>
      </c>
      <c r="R532" s="2" t="s">
        <v>41</v>
      </c>
      <c r="S532" s="2" t="s">
        <v>42</v>
      </c>
      <c r="T532" s="2" t="s">
        <v>203</v>
      </c>
    </row>
    <row r="533" spans="1:20" ht="12.5" x14ac:dyDescent="0.25">
      <c r="A533" s="2" t="s">
        <v>1996</v>
      </c>
      <c r="B533" s="2" t="s">
        <v>1265</v>
      </c>
      <c r="C533" s="2" t="s">
        <v>1997</v>
      </c>
      <c r="D533" s="2" t="s">
        <v>1998</v>
      </c>
      <c r="E533" s="2" t="s">
        <v>147</v>
      </c>
      <c r="F533" s="2" t="s">
        <v>148</v>
      </c>
      <c r="G533" s="5">
        <v>1900</v>
      </c>
      <c r="H533" s="5">
        <v>10</v>
      </c>
      <c r="I533" s="5">
        <v>1710</v>
      </c>
      <c r="J533" s="5">
        <v>3</v>
      </c>
      <c r="K533" s="2" t="s">
        <v>26</v>
      </c>
      <c r="L533" s="2" t="s">
        <v>39</v>
      </c>
      <c r="M533" s="4">
        <v>4.5</v>
      </c>
      <c r="N533" s="5">
        <v>202</v>
      </c>
      <c r="O533" s="3">
        <v>45778</v>
      </c>
      <c r="P533" s="2" t="s">
        <v>40</v>
      </c>
      <c r="Q533" s="2" t="s">
        <v>65</v>
      </c>
      <c r="R533" s="2" t="s">
        <v>58</v>
      </c>
      <c r="S533" s="2" t="s">
        <v>59</v>
      </c>
      <c r="T533" s="2" t="s">
        <v>203</v>
      </c>
    </row>
    <row r="534" spans="1:20" ht="12.5" x14ac:dyDescent="0.25">
      <c r="A534" s="2" t="s">
        <v>1999</v>
      </c>
      <c r="B534" s="2" t="s">
        <v>2000</v>
      </c>
      <c r="C534" s="2" t="s">
        <v>2001</v>
      </c>
      <c r="D534" s="2" t="s">
        <v>2002</v>
      </c>
      <c r="E534" s="2" t="s">
        <v>116</v>
      </c>
      <c r="F534" s="2" t="s">
        <v>117</v>
      </c>
      <c r="G534" s="5">
        <v>2335</v>
      </c>
      <c r="H534" s="5">
        <v>20</v>
      </c>
      <c r="I534" s="5">
        <v>1868</v>
      </c>
      <c r="J534" s="5">
        <v>1</v>
      </c>
      <c r="K534" s="2" t="s">
        <v>163</v>
      </c>
      <c r="L534" s="2" t="s">
        <v>168</v>
      </c>
      <c r="M534" s="4">
        <v>4.2</v>
      </c>
      <c r="N534" s="5">
        <v>87</v>
      </c>
      <c r="O534" s="3">
        <v>45798</v>
      </c>
      <c r="P534" s="2" t="s">
        <v>28</v>
      </c>
      <c r="Q534" s="2" t="s">
        <v>78</v>
      </c>
      <c r="R534" s="2" t="s">
        <v>83</v>
      </c>
      <c r="S534" s="2" t="s">
        <v>83</v>
      </c>
      <c r="T534" s="2" t="s">
        <v>32</v>
      </c>
    </row>
    <row r="535" spans="1:20" ht="12.5" x14ac:dyDescent="0.25">
      <c r="A535" s="2" t="s">
        <v>2003</v>
      </c>
      <c r="B535" s="2" t="s">
        <v>659</v>
      </c>
      <c r="C535" s="2" t="s">
        <v>2004</v>
      </c>
      <c r="D535" s="2" t="s">
        <v>2005</v>
      </c>
      <c r="E535" s="2" t="s">
        <v>55</v>
      </c>
      <c r="F535" s="2" t="s">
        <v>38</v>
      </c>
      <c r="G535" s="5">
        <v>2505</v>
      </c>
      <c r="H535" s="5">
        <v>20</v>
      </c>
      <c r="I535" s="5">
        <v>2004</v>
      </c>
      <c r="J535" s="5">
        <v>3</v>
      </c>
      <c r="K535" s="2" t="s">
        <v>56</v>
      </c>
      <c r="L535" s="2" t="s">
        <v>103</v>
      </c>
      <c r="M535" s="4">
        <v>3.8</v>
      </c>
      <c r="N535" s="5">
        <v>80</v>
      </c>
      <c r="O535" s="3">
        <v>45853</v>
      </c>
      <c r="P535" s="2" t="s">
        <v>28</v>
      </c>
      <c r="Q535" s="2" t="s">
        <v>29</v>
      </c>
      <c r="R535" s="2" t="s">
        <v>41</v>
      </c>
      <c r="S535" s="2" t="s">
        <v>42</v>
      </c>
      <c r="T535" s="2" t="s">
        <v>32</v>
      </c>
    </row>
    <row r="536" spans="1:20" ht="12.5" x14ac:dyDescent="0.25">
      <c r="A536" s="2" t="s">
        <v>2006</v>
      </c>
      <c r="B536" s="2" t="s">
        <v>1412</v>
      </c>
      <c r="C536" s="2" t="s">
        <v>2007</v>
      </c>
      <c r="D536" s="2" t="s">
        <v>2008</v>
      </c>
      <c r="E536" s="2" t="s">
        <v>24</v>
      </c>
      <c r="F536" s="2" t="s">
        <v>25</v>
      </c>
      <c r="G536" s="5">
        <v>2591</v>
      </c>
      <c r="H536" s="5">
        <v>15</v>
      </c>
      <c r="I536" s="5">
        <v>2203</v>
      </c>
      <c r="J536" s="5">
        <v>1</v>
      </c>
      <c r="K536" s="2" t="s">
        <v>32</v>
      </c>
      <c r="L536" s="2" t="s">
        <v>88</v>
      </c>
      <c r="M536" s="4">
        <v>4.5</v>
      </c>
      <c r="N536" s="5">
        <v>109</v>
      </c>
      <c r="O536" s="3">
        <v>45769</v>
      </c>
      <c r="P536" s="2" t="s">
        <v>40</v>
      </c>
      <c r="Q536" s="2" t="s">
        <v>78</v>
      </c>
      <c r="R536" s="2" t="s">
        <v>104</v>
      </c>
      <c r="S536" s="2" t="s">
        <v>105</v>
      </c>
      <c r="T536" s="2" t="s">
        <v>134</v>
      </c>
    </row>
    <row r="537" spans="1:20" ht="12.5" x14ac:dyDescent="0.25">
      <c r="A537" s="2" t="s">
        <v>2009</v>
      </c>
      <c r="B537" s="2" t="s">
        <v>2010</v>
      </c>
      <c r="C537" s="2" t="s">
        <v>2011</v>
      </c>
      <c r="D537" s="2" t="s">
        <v>2012</v>
      </c>
      <c r="E537" s="2" t="s">
        <v>24</v>
      </c>
      <c r="F537" s="2" t="s">
        <v>25</v>
      </c>
      <c r="G537" s="5">
        <v>2641</v>
      </c>
      <c r="H537" s="5">
        <v>10</v>
      </c>
      <c r="I537" s="5">
        <v>2377</v>
      </c>
      <c r="J537" s="5">
        <v>3</v>
      </c>
      <c r="K537" s="2">
        <v>40</v>
      </c>
      <c r="L537" s="2" t="s">
        <v>27</v>
      </c>
      <c r="M537" s="4">
        <v>3.9</v>
      </c>
      <c r="N537" s="5">
        <v>34</v>
      </c>
      <c r="O537" s="3">
        <v>45836</v>
      </c>
      <c r="P537" s="2" t="s">
        <v>28</v>
      </c>
      <c r="Q537" s="2" t="s">
        <v>65</v>
      </c>
      <c r="R537" s="2" t="s">
        <v>149</v>
      </c>
      <c r="S537" s="2" t="s">
        <v>150</v>
      </c>
      <c r="T537" s="2" t="s">
        <v>32</v>
      </c>
    </row>
    <row r="538" spans="1:20" ht="12.5" x14ac:dyDescent="0.25">
      <c r="A538" s="2" t="s">
        <v>2013</v>
      </c>
      <c r="B538" s="2" t="s">
        <v>1807</v>
      </c>
      <c r="C538" s="2" t="s">
        <v>2014</v>
      </c>
      <c r="D538" s="2" t="s">
        <v>2015</v>
      </c>
      <c r="E538" s="2" t="s">
        <v>116</v>
      </c>
      <c r="F538" s="2" t="s">
        <v>117</v>
      </c>
      <c r="G538" s="5">
        <v>2832</v>
      </c>
      <c r="H538" s="5">
        <v>20</v>
      </c>
      <c r="I538" s="5">
        <v>2266</v>
      </c>
      <c r="J538" s="5">
        <v>3</v>
      </c>
      <c r="K538" s="2">
        <v>40</v>
      </c>
      <c r="L538" s="2" t="s">
        <v>103</v>
      </c>
      <c r="M538" s="4">
        <v>3.8</v>
      </c>
      <c r="N538" s="5">
        <v>68</v>
      </c>
      <c r="O538" s="3">
        <v>45856</v>
      </c>
      <c r="P538" s="2" t="s">
        <v>57</v>
      </c>
      <c r="Q538" s="2" t="s">
        <v>78</v>
      </c>
      <c r="R538" s="2" t="s">
        <v>58</v>
      </c>
      <c r="S538" s="2" t="s">
        <v>59</v>
      </c>
      <c r="T538" s="2" t="s">
        <v>32</v>
      </c>
    </row>
    <row r="539" spans="1:20" ht="12.5" x14ac:dyDescent="0.25">
      <c r="A539" s="2" t="s">
        <v>2016</v>
      </c>
      <c r="B539" s="2" t="s">
        <v>2017</v>
      </c>
      <c r="C539" s="2" t="s">
        <v>2018</v>
      </c>
      <c r="D539" s="2" t="s">
        <v>2019</v>
      </c>
      <c r="E539" s="2" t="s">
        <v>147</v>
      </c>
      <c r="F539" s="2" t="s">
        <v>148</v>
      </c>
      <c r="G539" s="5">
        <v>4272</v>
      </c>
      <c r="H539" s="5">
        <v>10</v>
      </c>
      <c r="I539" s="5">
        <v>3845</v>
      </c>
      <c r="J539" s="5">
        <v>3</v>
      </c>
      <c r="K539" s="2" t="s">
        <v>32</v>
      </c>
      <c r="L539" s="2" t="s">
        <v>103</v>
      </c>
      <c r="M539" s="4">
        <v>4.5</v>
      </c>
      <c r="N539" s="5">
        <v>188</v>
      </c>
      <c r="O539" s="3">
        <v>45787</v>
      </c>
      <c r="P539" s="2" t="s">
        <v>28</v>
      </c>
      <c r="Q539" s="2" t="s">
        <v>78</v>
      </c>
      <c r="R539" s="2" t="s">
        <v>110</v>
      </c>
      <c r="S539" s="2" t="s">
        <v>111</v>
      </c>
      <c r="T539" s="2" t="s">
        <v>32</v>
      </c>
    </row>
    <row r="540" spans="1:20" ht="12.5" x14ac:dyDescent="0.25">
      <c r="A540" s="2" t="s">
        <v>2020</v>
      </c>
      <c r="B540" s="2" t="s">
        <v>307</v>
      </c>
      <c r="C540" s="2" t="s">
        <v>2021</v>
      </c>
      <c r="D540" s="2" t="s">
        <v>2022</v>
      </c>
      <c r="E540" s="2" t="s">
        <v>37</v>
      </c>
      <c r="F540" s="2" t="s">
        <v>38</v>
      </c>
      <c r="G540" s="5">
        <v>3097</v>
      </c>
      <c r="H540" s="5">
        <v>40</v>
      </c>
      <c r="I540" s="5">
        <v>1859</v>
      </c>
      <c r="J540" s="5">
        <v>1</v>
      </c>
      <c r="K540" s="2">
        <v>40</v>
      </c>
      <c r="L540" s="2" t="s">
        <v>168</v>
      </c>
      <c r="M540" s="4">
        <v>4.8</v>
      </c>
      <c r="N540" s="5">
        <v>195</v>
      </c>
      <c r="O540" s="3">
        <v>45819</v>
      </c>
      <c r="P540" s="2" t="s">
        <v>57</v>
      </c>
      <c r="Q540" s="2" t="s">
        <v>78</v>
      </c>
      <c r="R540" s="2" t="s">
        <v>30</v>
      </c>
      <c r="S540" s="2" t="s">
        <v>31</v>
      </c>
      <c r="T540" s="2" t="s">
        <v>32</v>
      </c>
    </row>
    <row r="541" spans="1:20" ht="12.5" x14ac:dyDescent="0.25">
      <c r="A541" s="2" t="s">
        <v>2023</v>
      </c>
      <c r="B541" s="2" t="s">
        <v>2024</v>
      </c>
      <c r="C541" s="2" t="s">
        <v>2025</v>
      </c>
      <c r="D541" s="2" t="s">
        <v>2026</v>
      </c>
      <c r="E541" s="2" t="s">
        <v>132</v>
      </c>
      <c r="F541" s="2" t="s">
        <v>38</v>
      </c>
      <c r="G541" s="5">
        <v>2185</v>
      </c>
      <c r="H541" s="5">
        <v>15</v>
      </c>
      <c r="I541" s="5">
        <v>1858</v>
      </c>
      <c r="J541" s="5">
        <v>2</v>
      </c>
      <c r="K541" s="2" t="s">
        <v>261</v>
      </c>
      <c r="L541" s="2" t="s">
        <v>49</v>
      </c>
      <c r="M541" s="4">
        <v>4.8</v>
      </c>
      <c r="N541" s="5">
        <v>215</v>
      </c>
      <c r="O541" s="3">
        <v>45840</v>
      </c>
      <c r="P541" s="2" t="s">
        <v>57</v>
      </c>
      <c r="Q541" s="2" t="s">
        <v>65</v>
      </c>
      <c r="R541" s="2" t="s">
        <v>58</v>
      </c>
      <c r="S541" s="2" t="s">
        <v>59</v>
      </c>
      <c r="T541" s="2" t="s">
        <v>32</v>
      </c>
    </row>
    <row r="542" spans="1:20" ht="12.5" x14ac:dyDescent="0.25">
      <c r="A542" s="2" t="s">
        <v>2027</v>
      </c>
      <c r="B542" s="2" t="s">
        <v>769</v>
      </c>
      <c r="C542" s="2" t="s">
        <v>2028</v>
      </c>
      <c r="D542" s="2" t="s">
        <v>2029</v>
      </c>
      <c r="E542" s="2" t="s">
        <v>247</v>
      </c>
      <c r="F542" s="2" t="s">
        <v>248</v>
      </c>
      <c r="G542" s="5">
        <v>2573</v>
      </c>
      <c r="H542" s="5">
        <v>20</v>
      </c>
      <c r="I542" s="5">
        <v>2059</v>
      </c>
      <c r="J542" s="5">
        <v>3</v>
      </c>
      <c r="K542" s="2" t="s">
        <v>32</v>
      </c>
      <c r="L542" s="2" t="s">
        <v>168</v>
      </c>
      <c r="M542" s="4">
        <v>4.5</v>
      </c>
      <c r="N542" s="5">
        <v>228</v>
      </c>
      <c r="O542" s="3">
        <v>45787</v>
      </c>
      <c r="P542" s="2" t="s">
        <v>57</v>
      </c>
      <c r="Q542" s="2" t="s">
        <v>65</v>
      </c>
      <c r="R542" s="2" t="s">
        <v>41</v>
      </c>
      <c r="S542" s="2" t="s">
        <v>42</v>
      </c>
      <c r="T542" s="2" t="s">
        <v>32</v>
      </c>
    </row>
    <row r="543" spans="1:20" ht="12.5" x14ac:dyDescent="0.25">
      <c r="A543" s="2" t="s">
        <v>2030</v>
      </c>
      <c r="B543" s="2" t="s">
        <v>1284</v>
      </c>
      <c r="C543" s="2" t="s">
        <v>2031</v>
      </c>
      <c r="D543" s="2" t="s">
        <v>2032</v>
      </c>
      <c r="E543" s="2" t="s">
        <v>247</v>
      </c>
      <c r="F543" s="2" t="s">
        <v>248</v>
      </c>
      <c r="G543" s="5">
        <v>2963</v>
      </c>
      <c r="H543" s="5">
        <v>30</v>
      </c>
      <c r="I543" s="5">
        <v>2075</v>
      </c>
      <c r="J543" s="5">
        <v>3</v>
      </c>
      <c r="K543" s="2">
        <v>44</v>
      </c>
      <c r="L543" s="2" t="s">
        <v>168</v>
      </c>
      <c r="M543" s="4">
        <v>4.4000000000000004</v>
      </c>
      <c r="N543" s="5">
        <v>205</v>
      </c>
      <c r="O543" s="3">
        <v>45782</v>
      </c>
      <c r="P543" s="2" t="s">
        <v>40</v>
      </c>
      <c r="Q543" s="2" t="s">
        <v>29</v>
      </c>
      <c r="R543" s="2" t="s">
        <v>149</v>
      </c>
      <c r="S543" s="2" t="s">
        <v>150</v>
      </c>
      <c r="T543" s="2" t="s">
        <v>32</v>
      </c>
    </row>
    <row r="544" spans="1:20" ht="12.5" x14ac:dyDescent="0.25">
      <c r="A544" s="2" t="s">
        <v>2033</v>
      </c>
      <c r="B544" s="2" t="s">
        <v>464</v>
      </c>
      <c r="C544" s="2" t="s">
        <v>2034</v>
      </c>
      <c r="D544" s="2" t="s">
        <v>2035</v>
      </c>
      <c r="E544" s="2" t="s">
        <v>48</v>
      </c>
      <c r="F544" s="2" t="s">
        <v>25</v>
      </c>
      <c r="G544" s="5">
        <v>1646</v>
      </c>
      <c r="H544" s="5">
        <v>20</v>
      </c>
      <c r="I544" s="5">
        <v>1317</v>
      </c>
      <c r="J544" s="5">
        <v>3</v>
      </c>
      <c r="K544" s="2">
        <v>40</v>
      </c>
      <c r="L544" s="2" t="s">
        <v>168</v>
      </c>
      <c r="M544" s="4">
        <v>4.8</v>
      </c>
      <c r="N544" s="5">
        <v>191</v>
      </c>
      <c r="O544" s="3">
        <v>45840</v>
      </c>
      <c r="P544" s="2" t="s">
        <v>57</v>
      </c>
      <c r="Q544" s="2" t="s">
        <v>78</v>
      </c>
      <c r="R544" s="2" t="s">
        <v>66</v>
      </c>
      <c r="S544" s="2" t="s">
        <v>67</v>
      </c>
      <c r="T544" s="2" t="s">
        <v>32</v>
      </c>
    </row>
    <row r="545" spans="1:20" ht="12.5" x14ac:dyDescent="0.25">
      <c r="A545" s="2" t="s">
        <v>2036</v>
      </c>
      <c r="B545" s="2" t="s">
        <v>136</v>
      </c>
      <c r="C545" s="2" t="s">
        <v>2037</v>
      </c>
      <c r="D545" s="2" t="s">
        <v>2038</v>
      </c>
      <c r="E545" s="2" t="s">
        <v>122</v>
      </c>
      <c r="F545" s="2" t="s">
        <v>123</v>
      </c>
      <c r="G545" s="5">
        <v>3935</v>
      </c>
      <c r="H545" s="5">
        <v>20</v>
      </c>
      <c r="I545" s="5">
        <v>3148</v>
      </c>
      <c r="J545" s="5">
        <v>3</v>
      </c>
      <c r="K545" s="2" t="s">
        <v>56</v>
      </c>
      <c r="L545" s="2" t="s">
        <v>88</v>
      </c>
      <c r="M545" s="4">
        <v>4.2</v>
      </c>
      <c r="N545" s="5">
        <v>252</v>
      </c>
      <c r="O545" s="3">
        <v>45790</v>
      </c>
      <c r="P545" s="2" t="s">
        <v>28</v>
      </c>
      <c r="Q545" s="2" t="s">
        <v>29</v>
      </c>
      <c r="R545" s="2" t="s">
        <v>66</v>
      </c>
      <c r="S545" s="2" t="s">
        <v>67</v>
      </c>
      <c r="T545" s="2" t="s">
        <v>32</v>
      </c>
    </row>
    <row r="546" spans="1:20" ht="12.5" x14ac:dyDescent="0.25">
      <c r="A546" s="2" t="s">
        <v>2039</v>
      </c>
      <c r="B546" s="2" t="s">
        <v>2040</v>
      </c>
      <c r="C546" s="2" t="s">
        <v>2041</v>
      </c>
      <c r="D546" s="2" t="s">
        <v>2042</v>
      </c>
      <c r="E546" s="2" t="s">
        <v>147</v>
      </c>
      <c r="F546" s="2" t="s">
        <v>148</v>
      </c>
      <c r="G546" s="5">
        <v>4654</v>
      </c>
      <c r="H546" s="5">
        <v>10</v>
      </c>
      <c r="I546" s="5">
        <v>4189</v>
      </c>
      <c r="J546" s="5">
        <v>2</v>
      </c>
      <c r="K546" s="2" t="s">
        <v>72</v>
      </c>
      <c r="L546" s="2" t="s">
        <v>27</v>
      </c>
      <c r="M546" s="4">
        <v>3.6</v>
      </c>
      <c r="N546" s="5">
        <v>125</v>
      </c>
      <c r="O546" s="3">
        <v>45832</v>
      </c>
      <c r="P546" s="2" t="s">
        <v>40</v>
      </c>
      <c r="Q546" s="2" t="s">
        <v>78</v>
      </c>
      <c r="R546" s="2" t="s">
        <v>30</v>
      </c>
      <c r="S546" s="2" t="s">
        <v>31</v>
      </c>
      <c r="T546" s="2" t="s">
        <v>50</v>
      </c>
    </row>
    <row r="547" spans="1:20" ht="12.5" x14ac:dyDescent="0.25">
      <c r="A547" s="2" t="s">
        <v>2043</v>
      </c>
      <c r="B547" s="2" t="s">
        <v>1765</v>
      </c>
      <c r="C547" s="2" t="s">
        <v>2044</v>
      </c>
      <c r="D547" s="2" t="s">
        <v>2045</v>
      </c>
      <c r="E547" s="2" t="s">
        <v>24</v>
      </c>
      <c r="F547" s="2" t="s">
        <v>25</v>
      </c>
      <c r="G547" s="5">
        <v>3692</v>
      </c>
      <c r="H547" s="5">
        <v>20</v>
      </c>
      <c r="I547" s="5">
        <v>2954</v>
      </c>
      <c r="J547" s="5">
        <v>1</v>
      </c>
      <c r="K547" s="2" t="s">
        <v>261</v>
      </c>
      <c r="L547" s="2" t="s">
        <v>168</v>
      </c>
      <c r="M547" s="4">
        <v>4.8</v>
      </c>
      <c r="N547" s="5">
        <v>68</v>
      </c>
      <c r="O547" s="3">
        <v>45793</v>
      </c>
      <c r="P547" s="2" t="s">
        <v>57</v>
      </c>
      <c r="Q547" s="2" t="s">
        <v>29</v>
      </c>
      <c r="R547" s="2" t="s">
        <v>83</v>
      </c>
      <c r="S547" s="2" t="s">
        <v>83</v>
      </c>
      <c r="T547" s="2" t="s">
        <v>32</v>
      </c>
    </row>
    <row r="548" spans="1:20" ht="12.5" x14ac:dyDescent="0.25">
      <c r="A548" s="2" t="s">
        <v>2046</v>
      </c>
      <c r="B548" s="2" t="s">
        <v>295</v>
      </c>
      <c r="C548" s="2" t="s">
        <v>2047</v>
      </c>
      <c r="D548" s="2" t="s">
        <v>2048</v>
      </c>
      <c r="E548" s="2" t="s">
        <v>24</v>
      </c>
      <c r="F548" s="2" t="s">
        <v>25</v>
      </c>
      <c r="G548" s="5">
        <v>4250</v>
      </c>
      <c r="H548" s="5">
        <v>35</v>
      </c>
      <c r="I548" s="5">
        <v>2763</v>
      </c>
      <c r="J548" s="5">
        <v>1</v>
      </c>
      <c r="K548" s="2" t="s">
        <v>226</v>
      </c>
      <c r="L548" s="2" t="s">
        <v>39</v>
      </c>
      <c r="M548" s="4">
        <v>4.4000000000000004</v>
      </c>
      <c r="N548" s="5">
        <v>124</v>
      </c>
      <c r="O548" s="3">
        <v>45800</v>
      </c>
      <c r="P548" s="2" t="s">
        <v>40</v>
      </c>
      <c r="Q548" s="2" t="s">
        <v>29</v>
      </c>
      <c r="R548" s="2" t="s">
        <v>58</v>
      </c>
      <c r="S548" s="2" t="s">
        <v>59</v>
      </c>
      <c r="T548" s="2" t="s">
        <v>43</v>
      </c>
    </row>
    <row r="549" spans="1:20" ht="12.5" x14ac:dyDescent="0.25">
      <c r="A549" s="2" t="s">
        <v>2049</v>
      </c>
      <c r="B549" s="2" t="s">
        <v>1909</v>
      </c>
      <c r="C549" s="2" t="s">
        <v>2050</v>
      </c>
      <c r="D549" s="2" t="s">
        <v>2051</v>
      </c>
      <c r="E549" s="2" t="s">
        <v>116</v>
      </c>
      <c r="F549" s="2" t="s">
        <v>117</v>
      </c>
      <c r="G549" s="5">
        <v>4728</v>
      </c>
      <c r="H549" s="5">
        <v>10</v>
      </c>
      <c r="I549" s="5">
        <v>4256</v>
      </c>
      <c r="J549" s="5">
        <v>3</v>
      </c>
      <c r="K549" s="2" t="s">
        <v>56</v>
      </c>
      <c r="L549" s="2" t="s">
        <v>27</v>
      </c>
      <c r="M549" s="4">
        <v>4.9000000000000004</v>
      </c>
      <c r="N549" s="5">
        <v>249</v>
      </c>
      <c r="O549" s="3">
        <v>45825</v>
      </c>
      <c r="P549" s="2" t="s">
        <v>40</v>
      </c>
      <c r="Q549" s="2" t="s">
        <v>29</v>
      </c>
      <c r="R549" s="2" t="s">
        <v>58</v>
      </c>
      <c r="S549" s="2" t="s">
        <v>59</v>
      </c>
      <c r="T549" s="2" t="s">
        <v>43</v>
      </c>
    </row>
    <row r="550" spans="1:20" ht="12.5" x14ac:dyDescent="0.25">
      <c r="A550" s="2" t="s">
        <v>2052</v>
      </c>
      <c r="B550" s="2" t="s">
        <v>2053</v>
      </c>
      <c r="C550" s="2" t="s">
        <v>2054</v>
      </c>
      <c r="D550" s="2" t="s">
        <v>2055</v>
      </c>
      <c r="E550" s="2" t="s">
        <v>247</v>
      </c>
      <c r="F550" s="2" t="s">
        <v>248</v>
      </c>
      <c r="G550" s="5">
        <v>3716</v>
      </c>
      <c r="H550" s="5">
        <v>20</v>
      </c>
      <c r="I550" s="5">
        <v>2973</v>
      </c>
      <c r="J550" s="5">
        <v>1</v>
      </c>
      <c r="K550" s="2" t="s">
        <v>163</v>
      </c>
      <c r="L550" s="2" t="s">
        <v>27</v>
      </c>
      <c r="M550" s="4">
        <v>4.5999999999999996</v>
      </c>
      <c r="N550" s="5">
        <v>105</v>
      </c>
      <c r="O550" s="3">
        <v>45773</v>
      </c>
      <c r="P550" s="2" t="s">
        <v>57</v>
      </c>
      <c r="Q550" s="2" t="s">
        <v>29</v>
      </c>
      <c r="R550" s="2" t="s">
        <v>83</v>
      </c>
      <c r="S550" s="2" t="s">
        <v>83</v>
      </c>
      <c r="T550" s="2" t="s">
        <v>32</v>
      </c>
    </row>
    <row r="551" spans="1:20" ht="12.5" x14ac:dyDescent="0.25">
      <c r="A551" s="2" t="s">
        <v>2056</v>
      </c>
      <c r="B551" s="2" t="s">
        <v>948</v>
      </c>
      <c r="C551" s="2" t="s">
        <v>2057</v>
      </c>
      <c r="D551" s="2" t="s">
        <v>2058</v>
      </c>
      <c r="E551" s="2" t="s">
        <v>48</v>
      </c>
      <c r="F551" s="2" t="s">
        <v>25</v>
      </c>
      <c r="G551" s="5">
        <v>1765</v>
      </c>
      <c r="H551" s="5">
        <v>20</v>
      </c>
      <c r="I551" s="5">
        <v>1412</v>
      </c>
      <c r="J551" s="5">
        <v>2</v>
      </c>
      <c r="K551" s="2" t="s">
        <v>26</v>
      </c>
      <c r="L551" s="2" t="s">
        <v>88</v>
      </c>
      <c r="M551" s="4">
        <v>4.9000000000000004</v>
      </c>
      <c r="N551" s="5">
        <v>78</v>
      </c>
      <c r="O551" s="3">
        <v>45805</v>
      </c>
      <c r="P551" s="2" t="s">
        <v>57</v>
      </c>
      <c r="Q551" s="2" t="s">
        <v>78</v>
      </c>
      <c r="R551" s="2" t="s">
        <v>149</v>
      </c>
      <c r="S551" s="2" t="s">
        <v>150</v>
      </c>
      <c r="T551" s="2" t="s">
        <v>32</v>
      </c>
    </row>
    <row r="552" spans="1:20" ht="12.5" x14ac:dyDescent="0.25">
      <c r="A552" s="2" t="s">
        <v>2059</v>
      </c>
      <c r="B552" s="2" t="s">
        <v>897</v>
      </c>
      <c r="C552" s="2" t="s">
        <v>2060</v>
      </c>
      <c r="D552" s="2" t="s">
        <v>2061</v>
      </c>
      <c r="E552" s="2" t="s">
        <v>132</v>
      </c>
      <c r="F552" s="2" t="s">
        <v>38</v>
      </c>
      <c r="G552" s="5">
        <v>2373</v>
      </c>
      <c r="H552" s="5">
        <v>15</v>
      </c>
      <c r="I552" s="5">
        <v>2018</v>
      </c>
      <c r="J552" s="5">
        <v>3</v>
      </c>
      <c r="K552" s="2">
        <v>42</v>
      </c>
      <c r="L552" s="2" t="s">
        <v>49</v>
      </c>
      <c r="M552" s="4">
        <v>4.2</v>
      </c>
      <c r="N552" s="5">
        <v>186</v>
      </c>
      <c r="O552" s="3">
        <v>45816</v>
      </c>
      <c r="P552" s="2" t="s">
        <v>40</v>
      </c>
      <c r="Q552" s="2" t="s">
        <v>65</v>
      </c>
      <c r="R552" s="2" t="s">
        <v>104</v>
      </c>
      <c r="S552" s="2" t="s">
        <v>105</v>
      </c>
      <c r="T552" s="2" t="s">
        <v>32</v>
      </c>
    </row>
    <row r="553" spans="1:20" ht="12.5" x14ac:dyDescent="0.25">
      <c r="A553" s="2" t="s">
        <v>2062</v>
      </c>
      <c r="B553" s="2" t="s">
        <v>2063</v>
      </c>
      <c r="C553" s="2" t="s">
        <v>2064</v>
      </c>
      <c r="D553" s="2" t="s">
        <v>2065</v>
      </c>
      <c r="E553" s="2" t="s">
        <v>116</v>
      </c>
      <c r="F553" s="2" t="s">
        <v>117</v>
      </c>
      <c r="G553" s="5">
        <v>2708</v>
      </c>
      <c r="H553" s="5">
        <v>15</v>
      </c>
      <c r="I553" s="5">
        <v>2302</v>
      </c>
      <c r="J553" s="5">
        <v>1</v>
      </c>
      <c r="K553" s="2" t="s">
        <v>72</v>
      </c>
      <c r="L553" s="2" t="s">
        <v>39</v>
      </c>
      <c r="M553" s="4">
        <v>4.5999999999999996</v>
      </c>
      <c r="N553" s="5">
        <v>35</v>
      </c>
      <c r="O553" s="3">
        <v>45790</v>
      </c>
      <c r="P553" s="2" t="s">
        <v>57</v>
      </c>
      <c r="Q553" s="2" t="s">
        <v>29</v>
      </c>
      <c r="R553" s="2" t="s">
        <v>58</v>
      </c>
      <c r="S553" s="2" t="s">
        <v>59</v>
      </c>
      <c r="T553" s="2" t="s">
        <v>32</v>
      </c>
    </row>
    <row r="554" spans="1:20" ht="12.5" x14ac:dyDescent="0.25">
      <c r="A554" s="2" t="s">
        <v>2066</v>
      </c>
      <c r="B554" s="2" t="s">
        <v>140</v>
      </c>
      <c r="C554" s="2" t="s">
        <v>2067</v>
      </c>
      <c r="D554" s="2" t="s">
        <v>2068</v>
      </c>
      <c r="E554" s="2" t="s">
        <v>147</v>
      </c>
      <c r="F554" s="2" t="s">
        <v>148</v>
      </c>
      <c r="G554" s="5">
        <v>683</v>
      </c>
      <c r="H554" s="5">
        <v>15</v>
      </c>
      <c r="I554" s="5">
        <v>581</v>
      </c>
      <c r="J554" s="5">
        <v>1</v>
      </c>
      <c r="K554" s="2" t="s">
        <v>26</v>
      </c>
      <c r="L554" s="2" t="s">
        <v>39</v>
      </c>
      <c r="M554" s="4">
        <v>4.0999999999999996</v>
      </c>
      <c r="N554" s="5">
        <v>52</v>
      </c>
      <c r="O554" s="3">
        <v>45771</v>
      </c>
      <c r="P554" s="2" t="s">
        <v>57</v>
      </c>
      <c r="Q554" s="2" t="s">
        <v>78</v>
      </c>
      <c r="R554" s="2" t="s">
        <v>58</v>
      </c>
      <c r="S554" s="2" t="s">
        <v>59</v>
      </c>
      <c r="T554" s="2" t="s">
        <v>32</v>
      </c>
    </row>
    <row r="555" spans="1:20" ht="12.5" x14ac:dyDescent="0.25">
      <c r="A555" s="2" t="s">
        <v>2069</v>
      </c>
      <c r="B555" s="2" t="s">
        <v>228</v>
      </c>
      <c r="C555" s="2" t="s">
        <v>2070</v>
      </c>
      <c r="D555" s="2" t="s">
        <v>2071</v>
      </c>
      <c r="E555" s="2" t="s">
        <v>122</v>
      </c>
      <c r="F555" s="2" t="s">
        <v>123</v>
      </c>
      <c r="G555" s="5">
        <v>4380</v>
      </c>
      <c r="H555" s="5">
        <v>35</v>
      </c>
      <c r="I555" s="5">
        <v>2847</v>
      </c>
      <c r="J555" s="5">
        <v>1</v>
      </c>
      <c r="K555" s="2" t="s">
        <v>226</v>
      </c>
      <c r="L555" s="2" t="s">
        <v>39</v>
      </c>
      <c r="M555" s="4">
        <v>4.8</v>
      </c>
      <c r="N555" s="5">
        <v>64</v>
      </c>
      <c r="O555" s="3">
        <v>45847</v>
      </c>
      <c r="P555" s="2" t="s">
        <v>40</v>
      </c>
      <c r="Q555" s="2" t="s">
        <v>78</v>
      </c>
      <c r="R555" s="2" t="s">
        <v>83</v>
      </c>
      <c r="S555" s="2" t="s">
        <v>83</v>
      </c>
      <c r="T555" s="2" t="s">
        <v>43</v>
      </c>
    </row>
    <row r="556" spans="1:20" ht="12.5" x14ac:dyDescent="0.25">
      <c r="A556" s="2" t="s">
        <v>2072</v>
      </c>
      <c r="B556" s="2" t="s">
        <v>2073</v>
      </c>
      <c r="C556" s="2" t="s">
        <v>2074</v>
      </c>
      <c r="D556" s="2" t="s">
        <v>2075</v>
      </c>
      <c r="E556" s="2" t="s">
        <v>132</v>
      </c>
      <c r="F556" s="2" t="s">
        <v>38</v>
      </c>
      <c r="G556" s="5">
        <v>2605</v>
      </c>
      <c r="H556" s="5">
        <v>10</v>
      </c>
      <c r="I556" s="5">
        <v>2345</v>
      </c>
      <c r="J556" s="5">
        <v>1</v>
      </c>
      <c r="K556" s="2" t="s">
        <v>261</v>
      </c>
      <c r="L556" s="2" t="s">
        <v>73</v>
      </c>
      <c r="M556" s="4">
        <v>4.5</v>
      </c>
      <c r="N556" s="5">
        <v>41</v>
      </c>
      <c r="O556" s="3">
        <v>45786</v>
      </c>
      <c r="P556" s="2" t="s">
        <v>28</v>
      </c>
      <c r="Q556" s="2" t="s">
        <v>78</v>
      </c>
      <c r="R556" s="2" t="s">
        <v>83</v>
      </c>
      <c r="S556" s="2" t="s">
        <v>83</v>
      </c>
      <c r="T556" s="2" t="s">
        <v>32</v>
      </c>
    </row>
    <row r="557" spans="1:20" ht="12.5" x14ac:dyDescent="0.25">
      <c r="A557" s="2" t="s">
        <v>2076</v>
      </c>
      <c r="B557" s="2" t="s">
        <v>769</v>
      </c>
      <c r="C557" s="2" t="s">
        <v>2077</v>
      </c>
      <c r="D557" s="2" t="s">
        <v>2078</v>
      </c>
      <c r="E557" s="2" t="s">
        <v>37</v>
      </c>
      <c r="F557" s="2" t="s">
        <v>38</v>
      </c>
      <c r="G557" s="5">
        <v>4198</v>
      </c>
      <c r="H557" s="5">
        <v>25</v>
      </c>
      <c r="I557" s="5">
        <v>3149</v>
      </c>
      <c r="J557" s="5">
        <v>1</v>
      </c>
      <c r="K557" s="2">
        <v>42</v>
      </c>
      <c r="L557" s="2" t="s">
        <v>209</v>
      </c>
      <c r="M557" s="4">
        <v>4.2</v>
      </c>
      <c r="N557" s="5">
        <v>141</v>
      </c>
      <c r="O557" s="3">
        <v>45823</v>
      </c>
      <c r="P557" s="2" t="s">
        <v>28</v>
      </c>
      <c r="Q557" s="2" t="s">
        <v>78</v>
      </c>
      <c r="R557" s="2" t="s">
        <v>89</v>
      </c>
      <c r="S557" s="2" t="s">
        <v>90</v>
      </c>
      <c r="T557" s="2" t="s">
        <v>32</v>
      </c>
    </row>
    <row r="558" spans="1:20" ht="12.5" x14ac:dyDescent="0.25">
      <c r="A558" s="2" t="s">
        <v>2079</v>
      </c>
      <c r="B558" s="2" t="s">
        <v>1254</v>
      </c>
      <c r="C558" s="2" t="s">
        <v>2080</v>
      </c>
      <c r="D558" s="2" t="s">
        <v>2081</v>
      </c>
      <c r="E558" s="2" t="s">
        <v>208</v>
      </c>
      <c r="F558" s="2" t="s">
        <v>117</v>
      </c>
      <c r="G558" s="5">
        <v>1717</v>
      </c>
      <c r="H558" s="5">
        <v>10</v>
      </c>
      <c r="I558" s="5">
        <v>1546</v>
      </c>
      <c r="J558" s="5">
        <v>2</v>
      </c>
      <c r="K558" s="2" t="s">
        <v>261</v>
      </c>
      <c r="L558" s="2" t="s">
        <v>133</v>
      </c>
      <c r="M558" s="4">
        <v>3.7</v>
      </c>
      <c r="N558" s="5">
        <v>148</v>
      </c>
      <c r="O558" s="3">
        <v>45850</v>
      </c>
      <c r="P558" s="2" t="s">
        <v>57</v>
      </c>
      <c r="Q558" s="2" t="s">
        <v>65</v>
      </c>
      <c r="R558" s="2" t="s">
        <v>58</v>
      </c>
      <c r="S558" s="2" t="s">
        <v>59</v>
      </c>
      <c r="T558" s="2" t="s">
        <v>32</v>
      </c>
    </row>
    <row r="559" spans="1:20" ht="12.5" x14ac:dyDescent="0.25">
      <c r="A559" s="2" t="s">
        <v>2082</v>
      </c>
      <c r="B559" s="2" t="s">
        <v>2083</v>
      </c>
      <c r="C559" s="2" t="s">
        <v>2084</v>
      </c>
      <c r="D559" s="2" t="s">
        <v>2085</v>
      </c>
      <c r="E559" s="2" t="s">
        <v>247</v>
      </c>
      <c r="F559" s="2" t="s">
        <v>248</v>
      </c>
      <c r="G559" s="5">
        <v>1142</v>
      </c>
      <c r="H559" s="5">
        <v>20</v>
      </c>
      <c r="I559" s="5">
        <v>914</v>
      </c>
      <c r="J559" s="5">
        <v>3</v>
      </c>
      <c r="K559" s="2">
        <v>40</v>
      </c>
      <c r="L559" s="2" t="s">
        <v>73</v>
      </c>
      <c r="M559" s="4">
        <v>3.5</v>
      </c>
      <c r="N559" s="5">
        <v>72</v>
      </c>
      <c r="O559" s="3">
        <v>45797</v>
      </c>
      <c r="P559" s="2" t="s">
        <v>57</v>
      </c>
      <c r="Q559" s="2" t="s">
        <v>78</v>
      </c>
      <c r="R559" s="2" t="s">
        <v>58</v>
      </c>
      <c r="S559" s="2" t="s">
        <v>59</v>
      </c>
      <c r="T559" s="2" t="s">
        <v>32</v>
      </c>
    </row>
    <row r="560" spans="1:20" ht="12.5" x14ac:dyDescent="0.25">
      <c r="A560" s="2" t="s">
        <v>2086</v>
      </c>
      <c r="B560" s="2" t="s">
        <v>271</v>
      </c>
      <c r="C560" s="2" t="s">
        <v>2087</v>
      </c>
      <c r="D560" s="2" t="s">
        <v>2088</v>
      </c>
      <c r="E560" s="2" t="s">
        <v>37</v>
      </c>
      <c r="F560" s="2" t="s">
        <v>38</v>
      </c>
      <c r="G560" s="5">
        <v>2616</v>
      </c>
      <c r="H560" s="5">
        <v>25</v>
      </c>
      <c r="I560" s="5">
        <v>1962</v>
      </c>
      <c r="J560" s="5">
        <v>3</v>
      </c>
      <c r="K560" s="2">
        <v>42</v>
      </c>
      <c r="L560" s="2" t="s">
        <v>168</v>
      </c>
      <c r="M560" s="4">
        <v>4.7</v>
      </c>
      <c r="N560" s="5">
        <v>268</v>
      </c>
      <c r="O560" s="3">
        <v>45827</v>
      </c>
      <c r="P560" s="2" t="s">
        <v>40</v>
      </c>
      <c r="Q560" s="2" t="s">
        <v>65</v>
      </c>
      <c r="R560" s="2" t="s">
        <v>149</v>
      </c>
      <c r="S560" s="2" t="s">
        <v>150</v>
      </c>
      <c r="T560" s="2" t="s">
        <v>203</v>
      </c>
    </row>
    <row r="561" spans="1:20" ht="12.5" x14ac:dyDescent="0.25">
      <c r="A561" s="2" t="s">
        <v>2089</v>
      </c>
      <c r="B561" s="2" t="s">
        <v>599</v>
      </c>
      <c r="C561" s="2" t="s">
        <v>2090</v>
      </c>
      <c r="D561" s="2" t="s">
        <v>2091</v>
      </c>
      <c r="E561" s="2" t="s">
        <v>208</v>
      </c>
      <c r="F561" s="2" t="s">
        <v>117</v>
      </c>
      <c r="G561" s="5">
        <v>4753</v>
      </c>
      <c r="H561" s="5">
        <v>20</v>
      </c>
      <c r="I561" s="5">
        <v>3803</v>
      </c>
      <c r="J561" s="5">
        <v>3</v>
      </c>
      <c r="K561" s="2">
        <v>44</v>
      </c>
      <c r="L561" s="2" t="s">
        <v>39</v>
      </c>
      <c r="M561" s="4">
        <v>4.5</v>
      </c>
      <c r="N561" s="5">
        <v>253</v>
      </c>
      <c r="O561" s="3">
        <v>45827</v>
      </c>
      <c r="P561" s="2" t="s">
        <v>40</v>
      </c>
      <c r="Q561" s="2" t="s">
        <v>29</v>
      </c>
      <c r="R561" s="2" t="s">
        <v>104</v>
      </c>
      <c r="S561" s="2" t="s">
        <v>105</v>
      </c>
      <c r="T561" s="2" t="s">
        <v>43</v>
      </c>
    </row>
    <row r="562" spans="1:20" ht="12.5" x14ac:dyDescent="0.25">
      <c r="A562" s="2" t="s">
        <v>2092</v>
      </c>
      <c r="B562" s="2" t="s">
        <v>2093</v>
      </c>
      <c r="C562" s="2" t="s">
        <v>2094</v>
      </c>
      <c r="D562" s="2" t="s">
        <v>2095</v>
      </c>
      <c r="E562" s="2" t="s">
        <v>132</v>
      </c>
      <c r="F562" s="2" t="s">
        <v>38</v>
      </c>
      <c r="G562" s="5">
        <v>2539</v>
      </c>
      <c r="H562" s="5">
        <v>10</v>
      </c>
      <c r="I562" s="5">
        <v>2286</v>
      </c>
      <c r="J562" s="5">
        <v>3</v>
      </c>
      <c r="K562" s="2" t="s">
        <v>72</v>
      </c>
      <c r="L562" s="2" t="s">
        <v>27</v>
      </c>
      <c r="M562" s="4">
        <v>4</v>
      </c>
      <c r="N562" s="5">
        <v>32</v>
      </c>
      <c r="O562" s="3">
        <v>45775</v>
      </c>
      <c r="P562" s="2" t="s">
        <v>40</v>
      </c>
      <c r="Q562" s="2" t="s">
        <v>78</v>
      </c>
      <c r="R562" s="2" t="s">
        <v>41</v>
      </c>
      <c r="S562" s="2" t="s">
        <v>42</v>
      </c>
      <c r="T562" s="2" t="s">
        <v>32</v>
      </c>
    </row>
    <row r="563" spans="1:20" ht="12.5" x14ac:dyDescent="0.25">
      <c r="A563" s="2" t="s">
        <v>2096</v>
      </c>
      <c r="B563" s="2" t="s">
        <v>1359</v>
      </c>
      <c r="C563" s="2" t="s">
        <v>2097</v>
      </c>
      <c r="D563" s="2" t="s">
        <v>2098</v>
      </c>
      <c r="E563" s="2" t="s">
        <v>37</v>
      </c>
      <c r="F563" s="2" t="s">
        <v>38</v>
      </c>
      <c r="G563" s="5">
        <v>1866</v>
      </c>
      <c r="H563" s="5">
        <v>40</v>
      </c>
      <c r="I563" s="5">
        <v>1120</v>
      </c>
      <c r="J563" s="5">
        <v>3</v>
      </c>
      <c r="K563" s="2">
        <v>42</v>
      </c>
      <c r="L563" s="2" t="s">
        <v>73</v>
      </c>
      <c r="M563" s="4">
        <v>3.6</v>
      </c>
      <c r="N563" s="5">
        <v>66</v>
      </c>
      <c r="O563" s="3">
        <v>45835</v>
      </c>
      <c r="P563" s="2" t="s">
        <v>57</v>
      </c>
      <c r="Q563" s="2" t="s">
        <v>29</v>
      </c>
      <c r="R563" s="2" t="s">
        <v>30</v>
      </c>
      <c r="S563" s="2" t="s">
        <v>31</v>
      </c>
      <c r="T563" s="2" t="s">
        <v>32</v>
      </c>
    </row>
    <row r="564" spans="1:20" ht="12.5" x14ac:dyDescent="0.25">
      <c r="A564" s="2" t="s">
        <v>2099</v>
      </c>
      <c r="B564" s="2" t="s">
        <v>2100</v>
      </c>
      <c r="C564" s="2" t="s">
        <v>2101</v>
      </c>
      <c r="D564" s="2" t="s">
        <v>2102</v>
      </c>
      <c r="E564" s="2" t="s">
        <v>48</v>
      </c>
      <c r="F564" s="2" t="s">
        <v>25</v>
      </c>
      <c r="G564" s="5">
        <v>3701</v>
      </c>
      <c r="H564" s="5">
        <v>30</v>
      </c>
      <c r="I564" s="5">
        <v>2591</v>
      </c>
      <c r="J564" s="5">
        <v>3</v>
      </c>
      <c r="K564" s="2">
        <v>44</v>
      </c>
      <c r="L564" s="2" t="s">
        <v>49</v>
      </c>
      <c r="M564" s="4">
        <v>5</v>
      </c>
      <c r="N564" s="5">
        <v>229</v>
      </c>
      <c r="O564" s="3">
        <v>45811</v>
      </c>
      <c r="P564" s="2" t="s">
        <v>57</v>
      </c>
      <c r="Q564" s="2" t="s">
        <v>29</v>
      </c>
      <c r="R564" s="2" t="s">
        <v>110</v>
      </c>
      <c r="S564" s="2" t="s">
        <v>111</v>
      </c>
      <c r="T564" s="2" t="s">
        <v>32</v>
      </c>
    </row>
    <row r="565" spans="1:20" ht="12.5" x14ac:dyDescent="0.25">
      <c r="A565" s="2" t="s">
        <v>2103</v>
      </c>
      <c r="B565" s="2" t="s">
        <v>1425</v>
      </c>
      <c r="C565" s="2" t="s">
        <v>2104</v>
      </c>
      <c r="D565" s="2" t="s">
        <v>2105</v>
      </c>
      <c r="E565" s="2" t="s">
        <v>122</v>
      </c>
      <c r="F565" s="2" t="s">
        <v>123</v>
      </c>
      <c r="G565" s="5">
        <v>4433</v>
      </c>
      <c r="H565" s="5">
        <v>35</v>
      </c>
      <c r="I565" s="5">
        <v>2882</v>
      </c>
      <c r="J565" s="5">
        <v>3</v>
      </c>
      <c r="K565" s="2" t="s">
        <v>26</v>
      </c>
      <c r="L565" s="2" t="s">
        <v>168</v>
      </c>
      <c r="M565" s="4">
        <v>4.3</v>
      </c>
      <c r="N565" s="5">
        <v>227</v>
      </c>
      <c r="O565" s="3">
        <v>45817</v>
      </c>
      <c r="P565" s="2" t="s">
        <v>28</v>
      </c>
      <c r="Q565" s="2" t="s">
        <v>29</v>
      </c>
      <c r="R565" s="2" t="s">
        <v>66</v>
      </c>
      <c r="S565" s="2" t="s">
        <v>67</v>
      </c>
      <c r="T565" s="2" t="s">
        <v>32</v>
      </c>
    </row>
    <row r="566" spans="1:20" ht="12.5" x14ac:dyDescent="0.25">
      <c r="A566" s="2" t="s">
        <v>2106</v>
      </c>
      <c r="B566" s="2" t="s">
        <v>1901</v>
      </c>
      <c r="C566" s="2" t="s">
        <v>2107</v>
      </c>
      <c r="D566" s="2" t="s">
        <v>2108</v>
      </c>
      <c r="E566" s="2" t="s">
        <v>116</v>
      </c>
      <c r="F566" s="2" t="s">
        <v>117</v>
      </c>
      <c r="G566" s="5">
        <v>3761</v>
      </c>
      <c r="H566" s="5">
        <v>30</v>
      </c>
      <c r="I566" s="5">
        <v>2633</v>
      </c>
      <c r="J566" s="5">
        <v>1</v>
      </c>
      <c r="K566" s="2" t="s">
        <v>163</v>
      </c>
      <c r="L566" s="2" t="s">
        <v>88</v>
      </c>
      <c r="M566" s="4">
        <v>4.2</v>
      </c>
      <c r="N566" s="5">
        <v>200</v>
      </c>
      <c r="O566" s="3">
        <v>45826</v>
      </c>
      <c r="P566" s="2" t="s">
        <v>57</v>
      </c>
      <c r="Q566" s="2" t="s">
        <v>29</v>
      </c>
      <c r="R566" s="2" t="s">
        <v>58</v>
      </c>
      <c r="S566" s="2" t="s">
        <v>59</v>
      </c>
      <c r="T566" s="2" t="s">
        <v>32</v>
      </c>
    </row>
    <row r="567" spans="1:20" ht="12.5" x14ac:dyDescent="0.25">
      <c r="A567" s="2" t="s">
        <v>2109</v>
      </c>
      <c r="B567" s="2" t="s">
        <v>981</v>
      </c>
      <c r="C567" s="2" t="s">
        <v>2110</v>
      </c>
      <c r="D567" s="2" t="s">
        <v>2111</v>
      </c>
      <c r="E567" s="2" t="s">
        <v>122</v>
      </c>
      <c r="F567" s="2" t="s">
        <v>123</v>
      </c>
      <c r="G567" s="5">
        <v>3694</v>
      </c>
      <c r="H567" s="5">
        <v>15</v>
      </c>
      <c r="I567" s="5">
        <v>3140</v>
      </c>
      <c r="J567" s="5">
        <v>2</v>
      </c>
      <c r="K567" s="2" t="s">
        <v>163</v>
      </c>
      <c r="L567" s="2" t="s">
        <v>209</v>
      </c>
      <c r="M567" s="4">
        <v>3.6</v>
      </c>
      <c r="N567" s="5">
        <v>85</v>
      </c>
      <c r="O567" s="3">
        <v>45821</v>
      </c>
      <c r="P567" s="2" t="s">
        <v>40</v>
      </c>
      <c r="Q567" s="2" t="s">
        <v>78</v>
      </c>
      <c r="R567" s="2" t="s">
        <v>149</v>
      </c>
      <c r="S567" s="2" t="s">
        <v>150</v>
      </c>
      <c r="T567" s="2" t="s">
        <v>43</v>
      </c>
    </row>
    <row r="568" spans="1:20" ht="12.5" x14ac:dyDescent="0.25">
      <c r="A568" s="2" t="s">
        <v>2112</v>
      </c>
      <c r="B568" s="2" t="s">
        <v>2100</v>
      </c>
      <c r="C568" s="2" t="s">
        <v>2113</v>
      </c>
      <c r="D568" s="2" t="s">
        <v>2114</v>
      </c>
      <c r="E568" s="2" t="s">
        <v>37</v>
      </c>
      <c r="F568" s="2" t="s">
        <v>38</v>
      </c>
      <c r="G568" s="5">
        <v>4621</v>
      </c>
      <c r="H568" s="5">
        <v>10</v>
      </c>
      <c r="I568" s="5">
        <v>4159</v>
      </c>
      <c r="J568" s="5">
        <v>1</v>
      </c>
      <c r="K568" s="2" t="s">
        <v>26</v>
      </c>
      <c r="L568" s="2" t="s">
        <v>73</v>
      </c>
      <c r="M568" s="4">
        <v>3.9</v>
      </c>
      <c r="N568" s="5">
        <v>260</v>
      </c>
      <c r="O568" s="3">
        <v>45820</v>
      </c>
      <c r="P568" s="2" t="s">
        <v>40</v>
      </c>
      <c r="Q568" s="2" t="s">
        <v>29</v>
      </c>
      <c r="R568" s="2" t="s">
        <v>41</v>
      </c>
      <c r="S568" s="2" t="s">
        <v>42</v>
      </c>
      <c r="T568" s="2" t="s">
        <v>203</v>
      </c>
    </row>
    <row r="569" spans="1:20" ht="12.5" x14ac:dyDescent="0.25">
      <c r="A569" s="2" t="s">
        <v>2115</v>
      </c>
      <c r="B569" s="2" t="s">
        <v>2116</v>
      </c>
      <c r="C569" s="2" t="s">
        <v>2117</v>
      </c>
      <c r="D569" s="2" t="s">
        <v>2118</v>
      </c>
      <c r="E569" s="2" t="s">
        <v>24</v>
      </c>
      <c r="F569" s="2" t="s">
        <v>25</v>
      </c>
      <c r="G569" s="5">
        <v>4720</v>
      </c>
      <c r="H569" s="5">
        <v>10</v>
      </c>
      <c r="I569" s="5">
        <v>4248</v>
      </c>
      <c r="J569" s="5">
        <v>1</v>
      </c>
      <c r="K569" s="2" t="s">
        <v>32</v>
      </c>
      <c r="L569" s="2" t="s">
        <v>133</v>
      </c>
      <c r="M569" s="4">
        <v>4.5999999999999996</v>
      </c>
      <c r="N569" s="5">
        <v>290</v>
      </c>
      <c r="O569" s="3">
        <v>45834</v>
      </c>
      <c r="P569" s="2" t="s">
        <v>40</v>
      </c>
      <c r="Q569" s="2" t="s">
        <v>29</v>
      </c>
      <c r="R569" s="2" t="s">
        <v>149</v>
      </c>
      <c r="S569" s="2" t="s">
        <v>150</v>
      </c>
      <c r="T569" s="2" t="s">
        <v>203</v>
      </c>
    </row>
    <row r="570" spans="1:20" ht="12.5" x14ac:dyDescent="0.25">
      <c r="A570" s="2" t="s">
        <v>2119</v>
      </c>
      <c r="B570" s="2" t="s">
        <v>2120</v>
      </c>
      <c r="C570" s="2" t="s">
        <v>2121</v>
      </c>
      <c r="D570" s="2" t="s">
        <v>2122</v>
      </c>
      <c r="E570" s="2" t="s">
        <v>55</v>
      </c>
      <c r="F570" s="2" t="s">
        <v>38</v>
      </c>
      <c r="G570" s="5">
        <v>1535</v>
      </c>
      <c r="H570" s="5">
        <v>40</v>
      </c>
      <c r="I570" s="5">
        <v>921</v>
      </c>
      <c r="J570" s="5">
        <v>3</v>
      </c>
      <c r="K570" s="2">
        <v>42</v>
      </c>
      <c r="L570" s="2" t="s">
        <v>209</v>
      </c>
      <c r="M570" s="4">
        <v>3.9</v>
      </c>
      <c r="N570" s="5">
        <v>44</v>
      </c>
      <c r="O570" s="3">
        <v>45826</v>
      </c>
      <c r="P570" s="2" t="s">
        <v>28</v>
      </c>
      <c r="Q570" s="2" t="s">
        <v>65</v>
      </c>
      <c r="R570" s="2" t="s">
        <v>66</v>
      </c>
      <c r="S570" s="2" t="s">
        <v>67</v>
      </c>
      <c r="T570" s="2" t="s">
        <v>32</v>
      </c>
    </row>
    <row r="571" spans="1:20" ht="12.5" x14ac:dyDescent="0.25">
      <c r="A571" s="2" t="s">
        <v>2123</v>
      </c>
      <c r="B571" s="2" t="s">
        <v>1961</v>
      </c>
      <c r="C571" s="2" t="s">
        <v>2124</v>
      </c>
      <c r="D571" s="2" t="s">
        <v>2125</v>
      </c>
      <c r="E571" s="2" t="s">
        <v>37</v>
      </c>
      <c r="F571" s="2" t="s">
        <v>38</v>
      </c>
      <c r="G571" s="5">
        <v>4823</v>
      </c>
      <c r="H571" s="5">
        <v>10</v>
      </c>
      <c r="I571" s="5">
        <v>4341</v>
      </c>
      <c r="J571" s="5">
        <v>3</v>
      </c>
      <c r="K571" s="2" t="s">
        <v>72</v>
      </c>
      <c r="L571" s="2" t="s">
        <v>49</v>
      </c>
      <c r="M571" s="4">
        <v>3.6</v>
      </c>
      <c r="N571" s="5">
        <v>161</v>
      </c>
      <c r="O571" s="3">
        <v>45770</v>
      </c>
      <c r="P571" s="2" t="s">
        <v>40</v>
      </c>
      <c r="Q571" s="2" t="s">
        <v>78</v>
      </c>
      <c r="R571" s="2" t="s">
        <v>110</v>
      </c>
      <c r="S571" s="2" t="s">
        <v>111</v>
      </c>
      <c r="T571" s="2" t="s">
        <v>203</v>
      </c>
    </row>
    <row r="572" spans="1:20" ht="12.5" x14ac:dyDescent="0.25">
      <c r="A572" s="2" t="s">
        <v>2126</v>
      </c>
      <c r="B572" s="2" t="s">
        <v>2127</v>
      </c>
      <c r="C572" s="2" t="s">
        <v>2128</v>
      </c>
      <c r="D572" s="2" t="s">
        <v>2129</v>
      </c>
      <c r="E572" s="2" t="s">
        <v>122</v>
      </c>
      <c r="F572" s="2" t="s">
        <v>123</v>
      </c>
      <c r="G572" s="5">
        <v>3718</v>
      </c>
      <c r="H572" s="5">
        <v>35</v>
      </c>
      <c r="I572" s="5">
        <v>2417</v>
      </c>
      <c r="J572" s="5">
        <v>1</v>
      </c>
      <c r="K572" s="2" t="s">
        <v>56</v>
      </c>
      <c r="L572" s="2" t="s">
        <v>27</v>
      </c>
      <c r="M572" s="4">
        <v>4.2</v>
      </c>
      <c r="N572" s="5">
        <v>37</v>
      </c>
      <c r="O572" s="3">
        <v>45840</v>
      </c>
      <c r="P572" s="2" t="s">
        <v>28</v>
      </c>
      <c r="Q572" s="2" t="s">
        <v>78</v>
      </c>
      <c r="R572" s="2" t="s">
        <v>89</v>
      </c>
      <c r="S572" s="2" t="s">
        <v>90</v>
      </c>
      <c r="T572" s="2" t="s">
        <v>32</v>
      </c>
    </row>
    <row r="573" spans="1:20" ht="12.5" x14ac:dyDescent="0.25">
      <c r="A573" s="2" t="s">
        <v>2130</v>
      </c>
      <c r="B573" s="2" t="s">
        <v>2131</v>
      </c>
      <c r="C573" s="2" t="s">
        <v>2007</v>
      </c>
      <c r="D573" s="2" t="s">
        <v>2132</v>
      </c>
      <c r="E573" s="2" t="s">
        <v>132</v>
      </c>
      <c r="F573" s="2" t="s">
        <v>38</v>
      </c>
      <c r="G573" s="5">
        <v>1350</v>
      </c>
      <c r="H573" s="5">
        <v>15</v>
      </c>
      <c r="I573" s="5">
        <v>1148</v>
      </c>
      <c r="J573" s="5">
        <v>3</v>
      </c>
      <c r="K573" s="2">
        <v>42</v>
      </c>
      <c r="L573" s="2" t="s">
        <v>39</v>
      </c>
      <c r="M573" s="4">
        <v>3.7</v>
      </c>
      <c r="N573" s="5">
        <v>248</v>
      </c>
      <c r="O573" s="3">
        <v>45837</v>
      </c>
      <c r="P573" s="2" t="s">
        <v>28</v>
      </c>
      <c r="Q573" s="2" t="s">
        <v>65</v>
      </c>
      <c r="R573" s="2" t="s">
        <v>83</v>
      </c>
      <c r="S573" s="2" t="s">
        <v>83</v>
      </c>
      <c r="T573" s="2" t="s">
        <v>32</v>
      </c>
    </row>
    <row r="574" spans="1:20" ht="12.5" x14ac:dyDescent="0.25">
      <c r="A574" s="2" t="s">
        <v>2133</v>
      </c>
      <c r="B574" s="2" t="s">
        <v>2134</v>
      </c>
      <c r="C574" s="2" t="s">
        <v>2135</v>
      </c>
      <c r="D574" s="2" t="s">
        <v>2136</v>
      </c>
      <c r="E574" s="2" t="s">
        <v>24</v>
      </c>
      <c r="F574" s="2" t="s">
        <v>25</v>
      </c>
      <c r="G574" s="5">
        <v>4562</v>
      </c>
      <c r="H574" s="5">
        <v>15</v>
      </c>
      <c r="I574" s="5">
        <v>3878</v>
      </c>
      <c r="J574" s="5">
        <v>2</v>
      </c>
      <c r="K574" s="2" t="s">
        <v>226</v>
      </c>
      <c r="L574" s="2" t="s">
        <v>73</v>
      </c>
      <c r="M574" s="4">
        <v>3.7</v>
      </c>
      <c r="N574" s="5">
        <v>150</v>
      </c>
      <c r="O574" s="3">
        <v>45856</v>
      </c>
      <c r="P574" s="2" t="s">
        <v>28</v>
      </c>
      <c r="Q574" s="2" t="s">
        <v>29</v>
      </c>
      <c r="R574" s="2" t="s">
        <v>83</v>
      </c>
      <c r="S574" s="2" t="s">
        <v>83</v>
      </c>
      <c r="T574" s="2" t="s">
        <v>32</v>
      </c>
    </row>
    <row r="575" spans="1:20" ht="12.5" x14ac:dyDescent="0.25">
      <c r="A575" s="2" t="s">
        <v>2137</v>
      </c>
      <c r="B575" s="2" t="s">
        <v>880</v>
      </c>
      <c r="C575" s="2" t="s">
        <v>2138</v>
      </c>
      <c r="D575" s="2" t="s">
        <v>2139</v>
      </c>
      <c r="E575" s="2" t="s">
        <v>208</v>
      </c>
      <c r="F575" s="2" t="s">
        <v>117</v>
      </c>
      <c r="G575" s="5">
        <v>4638</v>
      </c>
      <c r="H575" s="5">
        <v>15</v>
      </c>
      <c r="I575" s="5">
        <v>3943</v>
      </c>
      <c r="J575" s="5">
        <v>3</v>
      </c>
      <c r="K575" s="2" t="s">
        <v>261</v>
      </c>
      <c r="L575" s="2" t="s">
        <v>73</v>
      </c>
      <c r="M575" s="4">
        <v>5</v>
      </c>
      <c r="N575" s="5">
        <v>171</v>
      </c>
      <c r="O575" s="3">
        <v>45846</v>
      </c>
      <c r="P575" s="2" t="s">
        <v>40</v>
      </c>
      <c r="Q575" s="2" t="s">
        <v>78</v>
      </c>
      <c r="R575" s="2" t="s">
        <v>30</v>
      </c>
      <c r="S575" s="2" t="s">
        <v>31</v>
      </c>
      <c r="T575" s="2" t="s">
        <v>32</v>
      </c>
    </row>
    <row r="576" spans="1:20" ht="12.5" x14ac:dyDescent="0.25">
      <c r="A576" s="2" t="s">
        <v>2140</v>
      </c>
      <c r="B576" s="2" t="s">
        <v>909</v>
      </c>
      <c r="C576" s="2" t="s">
        <v>2141</v>
      </c>
      <c r="D576" s="2" t="s">
        <v>2142</v>
      </c>
      <c r="E576" s="2" t="s">
        <v>55</v>
      </c>
      <c r="F576" s="2" t="s">
        <v>38</v>
      </c>
      <c r="G576" s="5">
        <v>4764</v>
      </c>
      <c r="H576" s="5">
        <v>40</v>
      </c>
      <c r="I576" s="5">
        <v>2859</v>
      </c>
      <c r="J576" s="5">
        <v>3</v>
      </c>
      <c r="K576" s="2" t="s">
        <v>261</v>
      </c>
      <c r="L576" s="2" t="s">
        <v>27</v>
      </c>
      <c r="M576" s="4">
        <v>4.2</v>
      </c>
      <c r="N576" s="5">
        <v>207</v>
      </c>
      <c r="O576" s="3">
        <v>45814</v>
      </c>
      <c r="P576" s="2" t="s">
        <v>57</v>
      </c>
      <c r="Q576" s="2" t="s">
        <v>78</v>
      </c>
      <c r="R576" s="2" t="s">
        <v>149</v>
      </c>
      <c r="S576" s="2" t="s">
        <v>150</v>
      </c>
      <c r="T576" s="2" t="s">
        <v>32</v>
      </c>
    </row>
    <row r="577" spans="1:20" ht="12.5" x14ac:dyDescent="0.25">
      <c r="A577" s="2" t="s">
        <v>2143</v>
      </c>
      <c r="B577" s="2" t="s">
        <v>349</v>
      </c>
      <c r="C577" s="2" t="s">
        <v>2144</v>
      </c>
      <c r="D577" s="2" t="s">
        <v>2145</v>
      </c>
      <c r="E577" s="2" t="s">
        <v>48</v>
      </c>
      <c r="F577" s="2" t="s">
        <v>25</v>
      </c>
      <c r="G577" s="5">
        <v>4125</v>
      </c>
      <c r="H577" s="5">
        <v>40</v>
      </c>
      <c r="I577" s="5">
        <v>2475</v>
      </c>
      <c r="J577" s="5">
        <v>3</v>
      </c>
      <c r="K577" s="2">
        <v>44</v>
      </c>
      <c r="L577" s="2" t="s">
        <v>39</v>
      </c>
      <c r="M577" s="4">
        <v>4.8</v>
      </c>
      <c r="N577" s="5">
        <v>136</v>
      </c>
      <c r="O577" s="3">
        <v>45849</v>
      </c>
      <c r="P577" s="2" t="s">
        <v>57</v>
      </c>
      <c r="Q577" s="2" t="s">
        <v>78</v>
      </c>
      <c r="R577" s="2" t="s">
        <v>83</v>
      </c>
      <c r="S577" s="2" t="s">
        <v>83</v>
      </c>
      <c r="T577" s="2" t="s">
        <v>32</v>
      </c>
    </row>
    <row r="578" spans="1:20" ht="12.5" x14ac:dyDescent="0.25">
      <c r="A578" s="2" t="s">
        <v>2146</v>
      </c>
      <c r="B578" s="2" t="s">
        <v>1803</v>
      </c>
      <c r="C578" s="2" t="s">
        <v>2147</v>
      </c>
      <c r="D578" s="2" t="s">
        <v>2148</v>
      </c>
      <c r="E578" s="2" t="s">
        <v>122</v>
      </c>
      <c r="F578" s="2" t="s">
        <v>123</v>
      </c>
      <c r="G578" s="5">
        <v>4779</v>
      </c>
      <c r="H578" s="5">
        <v>25</v>
      </c>
      <c r="I578" s="5">
        <v>3585</v>
      </c>
      <c r="J578" s="5">
        <v>1</v>
      </c>
      <c r="K578" s="2">
        <v>40</v>
      </c>
      <c r="L578" s="2" t="s">
        <v>64</v>
      </c>
      <c r="M578" s="4">
        <v>4.9000000000000004</v>
      </c>
      <c r="N578" s="5">
        <v>186</v>
      </c>
      <c r="O578" s="3">
        <v>45821</v>
      </c>
      <c r="P578" s="2" t="s">
        <v>28</v>
      </c>
      <c r="Q578" s="2" t="s">
        <v>78</v>
      </c>
      <c r="R578" s="2" t="s">
        <v>41</v>
      </c>
      <c r="S578" s="2" t="s">
        <v>42</v>
      </c>
      <c r="T578" s="2" t="s">
        <v>32</v>
      </c>
    </row>
    <row r="579" spans="1:20" ht="12.5" x14ac:dyDescent="0.25">
      <c r="A579" s="2" t="s">
        <v>2149</v>
      </c>
      <c r="B579" s="2" t="s">
        <v>215</v>
      </c>
      <c r="C579" s="2" t="s">
        <v>2150</v>
      </c>
      <c r="D579" s="2" t="s">
        <v>2151</v>
      </c>
      <c r="E579" s="2" t="s">
        <v>247</v>
      </c>
      <c r="F579" s="2" t="s">
        <v>248</v>
      </c>
      <c r="G579" s="5">
        <v>1379</v>
      </c>
      <c r="H579" s="5">
        <v>15</v>
      </c>
      <c r="I579" s="5">
        <v>1173</v>
      </c>
      <c r="J579" s="5">
        <v>3</v>
      </c>
      <c r="K579" s="2" t="s">
        <v>72</v>
      </c>
      <c r="L579" s="2" t="s">
        <v>88</v>
      </c>
      <c r="M579" s="4">
        <v>4</v>
      </c>
      <c r="N579" s="5">
        <v>63</v>
      </c>
      <c r="O579" s="3">
        <v>45810</v>
      </c>
      <c r="P579" s="2" t="s">
        <v>40</v>
      </c>
      <c r="Q579" s="2" t="s">
        <v>65</v>
      </c>
      <c r="R579" s="2" t="s">
        <v>83</v>
      </c>
      <c r="S579" s="2" t="s">
        <v>83</v>
      </c>
      <c r="T579" s="2" t="s">
        <v>32</v>
      </c>
    </row>
    <row r="580" spans="1:20" ht="12.5" x14ac:dyDescent="0.25">
      <c r="A580" s="2" t="s">
        <v>2152</v>
      </c>
      <c r="B580" s="2" t="s">
        <v>2153</v>
      </c>
      <c r="C580" s="2" t="s">
        <v>2154</v>
      </c>
      <c r="D580" s="2" t="s">
        <v>2155</v>
      </c>
      <c r="E580" s="2" t="s">
        <v>122</v>
      </c>
      <c r="F580" s="2" t="s">
        <v>123</v>
      </c>
      <c r="G580" s="5">
        <v>3120</v>
      </c>
      <c r="H580" s="5">
        <v>25</v>
      </c>
      <c r="I580" s="5">
        <v>2340</v>
      </c>
      <c r="J580" s="5">
        <v>1</v>
      </c>
      <c r="K580" s="2" t="s">
        <v>226</v>
      </c>
      <c r="L580" s="2" t="s">
        <v>73</v>
      </c>
      <c r="M580" s="4">
        <v>4.8</v>
      </c>
      <c r="N580" s="5">
        <v>252</v>
      </c>
      <c r="O580" s="3">
        <v>45820</v>
      </c>
      <c r="P580" s="2" t="s">
        <v>57</v>
      </c>
      <c r="Q580" s="2" t="s">
        <v>78</v>
      </c>
      <c r="R580" s="2" t="s">
        <v>104</v>
      </c>
      <c r="S580" s="2" t="s">
        <v>105</v>
      </c>
      <c r="T580" s="2" t="s">
        <v>32</v>
      </c>
    </row>
    <row r="581" spans="1:20" ht="12.5" x14ac:dyDescent="0.25">
      <c r="A581" s="2" t="s">
        <v>2156</v>
      </c>
      <c r="B581" s="2" t="s">
        <v>2157</v>
      </c>
      <c r="C581" s="2" t="s">
        <v>2158</v>
      </c>
      <c r="D581" s="2" t="s">
        <v>2159</v>
      </c>
      <c r="E581" s="2" t="s">
        <v>37</v>
      </c>
      <c r="F581" s="2" t="s">
        <v>38</v>
      </c>
      <c r="G581" s="5">
        <v>1003</v>
      </c>
      <c r="H581" s="5">
        <v>35</v>
      </c>
      <c r="I581" s="5">
        <v>652</v>
      </c>
      <c r="J581" s="5">
        <v>2</v>
      </c>
      <c r="K581" s="2" t="s">
        <v>72</v>
      </c>
      <c r="L581" s="2" t="s">
        <v>64</v>
      </c>
      <c r="M581" s="4">
        <v>4.8</v>
      </c>
      <c r="N581" s="5">
        <v>171</v>
      </c>
      <c r="O581" s="3">
        <v>45837</v>
      </c>
      <c r="P581" s="2" t="s">
        <v>40</v>
      </c>
      <c r="Q581" s="2" t="s">
        <v>78</v>
      </c>
      <c r="R581" s="2" t="s">
        <v>41</v>
      </c>
      <c r="S581" s="2" t="s">
        <v>42</v>
      </c>
      <c r="T581" s="2" t="s">
        <v>50</v>
      </c>
    </row>
    <row r="582" spans="1:20" ht="12.5" x14ac:dyDescent="0.25">
      <c r="A582" s="2" t="s">
        <v>2160</v>
      </c>
      <c r="B582" s="2" t="s">
        <v>589</v>
      </c>
      <c r="C582" s="2" t="s">
        <v>2161</v>
      </c>
      <c r="D582" s="2" t="s">
        <v>2162</v>
      </c>
      <c r="E582" s="2" t="s">
        <v>122</v>
      </c>
      <c r="F582" s="2" t="s">
        <v>123</v>
      </c>
      <c r="G582" s="5">
        <v>3019</v>
      </c>
      <c r="H582" s="5">
        <v>15</v>
      </c>
      <c r="I582" s="5">
        <v>2567</v>
      </c>
      <c r="J582" s="5">
        <v>2</v>
      </c>
      <c r="K582" s="2" t="s">
        <v>226</v>
      </c>
      <c r="L582" s="2" t="s">
        <v>88</v>
      </c>
      <c r="M582" s="4">
        <v>3.9</v>
      </c>
      <c r="N582" s="5">
        <v>154</v>
      </c>
      <c r="O582" s="3">
        <v>45796</v>
      </c>
      <c r="P582" s="2" t="s">
        <v>57</v>
      </c>
      <c r="Q582" s="2" t="s">
        <v>65</v>
      </c>
      <c r="R582" s="2" t="s">
        <v>149</v>
      </c>
      <c r="S582" s="2" t="s">
        <v>150</v>
      </c>
      <c r="T582" s="2" t="s">
        <v>32</v>
      </c>
    </row>
    <row r="583" spans="1:20" ht="12.5" x14ac:dyDescent="0.25">
      <c r="A583" s="2" t="s">
        <v>2163</v>
      </c>
      <c r="B583" s="2" t="s">
        <v>959</v>
      </c>
      <c r="C583" s="2" t="s">
        <v>2164</v>
      </c>
      <c r="D583" s="2" t="s">
        <v>2165</v>
      </c>
      <c r="E583" s="2" t="s">
        <v>37</v>
      </c>
      <c r="F583" s="2" t="s">
        <v>38</v>
      </c>
      <c r="G583" s="5">
        <v>3113</v>
      </c>
      <c r="H583" s="5">
        <v>25</v>
      </c>
      <c r="I583" s="5">
        <v>2335</v>
      </c>
      <c r="J583" s="5">
        <v>2</v>
      </c>
      <c r="K583" s="2" t="s">
        <v>56</v>
      </c>
      <c r="L583" s="2" t="s">
        <v>209</v>
      </c>
      <c r="M583" s="4">
        <v>3.8</v>
      </c>
      <c r="N583" s="5">
        <v>99</v>
      </c>
      <c r="O583" s="3">
        <v>45827</v>
      </c>
      <c r="P583" s="2" t="s">
        <v>28</v>
      </c>
      <c r="Q583" s="2" t="s">
        <v>29</v>
      </c>
      <c r="R583" s="2" t="s">
        <v>83</v>
      </c>
      <c r="S583" s="2" t="s">
        <v>83</v>
      </c>
      <c r="T583" s="2" t="s">
        <v>32</v>
      </c>
    </row>
    <row r="584" spans="1:20" ht="12.5" x14ac:dyDescent="0.25">
      <c r="A584" s="2" t="s">
        <v>2166</v>
      </c>
      <c r="B584" s="2" t="s">
        <v>119</v>
      </c>
      <c r="C584" s="2" t="s">
        <v>2167</v>
      </c>
      <c r="D584" s="2" t="s">
        <v>2168</v>
      </c>
      <c r="E584" s="2" t="s">
        <v>37</v>
      </c>
      <c r="F584" s="2" t="s">
        <v>38</v>
      </c>
      <c r="G584" s="5">
        <v>684</v>
      </c>
      <c r="H584" s="5">
        <v>35</v>
      </c>
      <c r="I584" s="5">
        <v>445</v>
      </c>
      <c r="J584" s="5">
        <v>1</v>
      </c>
      <c r="K584" s="2" t="s">
        <v>226</v>
      </c>
      <c r="L584" s="2" t="s">
        <v>209</v>
      </c>
      <c r="M584" s="4">
        <v>4.4000000000000004</v>
      </c>
      <c r="N584" s="5">
        <v>208</v>
      </c>
      <c r="O584" s="3">
        <v>45786</v>
      </c>
      <c r="P584" s="2" t="s">
        <v>57</v>
      </c>
      <c r="Q584" s="2" t="s">
        <v>29</v>
      </c>
      <c r="R584" s="2" t="s">
        <v>83</v>
      </c>
      <c r="S584" s="2" t="s">
        <v>83</v>
      </c>
      <c r="T584" s="2" t="s">
        <v>32</v>
      </c>
    </row>
    <row r="585" spans="1:20" ht="12.5" x14ac:dyDescent="0.25">
      <c r="A585" s="2" t="s">
        <v>2169</v>
      </c>
      <c r="B585" s="2" t="s">
        <v>1676</v>
      </c>
      <c r="C585" s="2" t="s">
        <v>2170</v>
      </c>
      <c r="D585" s="2" t="s">
        <v>2171</v>
      </c>
      <c r="E585" s="2" t="s">
        <v>208</v>
      </c>
      <c r="F585" s="2" t="s">
        <v>117</v>
      </c>
      <c r="G585" s="5">
        <v>882</v>
      </c>
      <c r="H585" s="5">
        <v>10</v>
      </c>
      <c r="I585" s="5">
        <v>794</v>
      </c>
      <c r="J585" s="5">
        <v>2</v>
      </c>
      <c r="K585" s="2">
        <v>42</v>
      </c>
      <c r="L585" s="2" t="s">
        <v>73</v>
      </c>
      <c r="M585" s="4">
        <v>4</v>
      </c>
      <c r="N585" s="5">
        <v>51</v>
      </c>
      <c r="O585" s="3">
        <v>45829</v>
      </c>
      <c r="P585" s="2" t="s">
        <v>57</v>
      </c>
      <c r="Q585" s="2" t="s">
        <v>78</v>
      </c>
      <c r="R585" s="2" t="s">
        <v>149</v>
      </c>
      <c r="S585" s="2" t="s">
        <v>150</v>
      </c>
      <c r="T585" s="2" t="s">
        <v>32</v>
      </c>
    </row>
    <row r="586" spans="1:20" ht="12.5" x14ac:dyDescent="0.25">
      <c r="A586" s="2" t="s">
        <v>2172</v>
      </c>
      <c r="B586" s="2" t="s">
        <v>1696</v>
      </c>
      <c r="C586" s="2" t="s">
        <v>1721</v>
      </c>
      <c r="D586" s="2" t="s">
        <v>2173</v>
      </c>
      <c r="E586" s="2" t="s">
        <v>247</v>
      </c>
      <c r="F586" s="2" t="s">
        <v>248</v>
      </c>
      <c r="G586" s="5">
        <v>2671</v>
      </c>
      <c r="H586" s="5">
        <v>35</v>
      </c>
      <c r="I586" s="5">
        <v>1737</v>
      </c>
      <c r="J586" s="5">
        <v>3</v>
      </c>
      <c r="K586" s="2">
        <v>42</v>
      </c>
      <c r="L586" s="2" t="s">
        <v>27</v>
      </c>
      <c r="M586" s="4">
        <v>3.8</v>
      </c>
      <c r="N586" s="5">
        <v>145</v>
      </c>
      <c r="O586" s="3">
        <v>45803</v>
      </c>
      <c r="P586" s="2" t="s">
        <v>28</v>
      </c>
      <c r="Q586" s="2" t="s">
        <v>78</v>
      </c>
      <c r="R586" s="2" t="s">
        <v>66</v>
      </c>
      <c r="S586" s="2" t="s">
        <v>67</v>
      </c>
      <c r="T586" s="2" t="s">
        <v>32</v>
      </c>
    </row>
    <row r="587" spans="1:20" ht="12.5" x14ac:dyDescent="0.25">
      <c r="A587" s="2" t="s">
        <v>2174</v>
      </c>
      <c r="B587" s="2" t="s">
        <v>2175</v>
      </c>
      <c r="C587" s="2" t="s">
        <v>2176</v>
      </c>
      <c r="D587" s="2" t="s">
        <v>2177</v>
      </c>
      <c r="E587" s="2" t="s">
        <v>122</v>
      </c>
      <c r="F587" s="2" t="s">
        <v>123</v>
      </c>
      <c r="G587" s="5">
        <v>3643</v>
      </c>
      <c r="H587" s="5">
        <v>40</v>
      </c>
      <c r="I587" s="5">
        <v>2186</v>
      </c>
      <c r="J587" s="5">
        <v>2</v>
      </c>
      <c r="K587" s="2" t="s">
        <v>72</v>
      </c>
      <c r="L587" s="2" t="s">
        <v>64</v>
      </c>
      <c r="M587" s="4">
        <v>4.2</v>
      </c>
      <c r="N587" s="5">
        <v>118</v>
      </c>
      <c r="O587" s="3">
        <v>45821</v>
      </c>
      <c r="P587" s="2" t="s">
        <v>28</v>
      </c>
      <c r="Q587" s="2" t="s">
        <v>78</v>
      </c>
      <c r="R587" s="2" t="s">
        <v>30</v>
      </c>
      <c r="S587" s="2" t="s">
        <v>31</v>
      </c>
      <c r="T587" s="2" t="s">
        <v>32</v>
      </c>
    </row>
    <row r="588" spans="1:20" ht="12.5" x14ac:dyDescent="0.25">
      <c r="A588" s="2" t="s">
        <v>2178</v>
      </c>
      <c r="B588" s="2" t="s">
        <v>802</v>
      </c>
      <c r="C588" s="2" t="s">
        <v>2179</v>
      </c>
      <c r="D588" s="2" t="s">
        <v>2180</v>
      </c>
      <c r="E588" s="2" t="s">
        <v>132</v>
      </c>
      <c r="F588" s="2" t="s">
        <v>38</v>
      </c>
      <c r="G588" s="5">
        <v>2378</v>
      </c>
      <c r="H588" s="5">
        <v>15</v>
      </c>
      <c r="I588" s="5">
        <v>2022</v>
      </c>
      <c r="J588" s="5">
        <v>2</v>
      </c>
      <c r="K588" s="2" t="s">
        <v>32</v>
      </c>
      <c r="L588" s="2" t="s">
        <v>88</v>
      </c>
      <c r="M588" s="4">
        <v>4.5999999999999996</v>
      </c>
      <c r="N588" s="5">
        <v>17</v>
      </c>
      <c r="O588" s="3">
        <v>45821</v>
      </c>
      <c r="P588" s="2" t="s">
        <v>57</v>
      </c>
      <c r="Q588" s="2" t="s">
        <v>29</v>
      </c>
      <c r="R588" s="2" t="s">
        <v>30</v>
      </c>
      <c r="S588" s="2" t="s">
        <v>31</v>
      </c>
      <c r="T588" s="2" t="s">
        <v>32</v>
      </c>
    </row>
    <row r="589" spans="1:20" ht="12.5" x14ac:dyDescent="0.25">
      <c r="A589" s="2" t="s">
        <v>2181</v>
      </c>
      <c r="B589" s="2" t="s">
        <v>1385</v>
      </c>
      <c r="C589" s="2" t="s">
        <v>2182</v>
      </c>
      <c r="D589" s="2" t="s">
        <v>2183</v>
      </c>
      <c r="E589" s="2" t="s">
        <v>208</v>
      </c>
      <c r="F589" s="2" t="s">
        <v>117</v>
      </c>
      <c r="G589" s="5">
        <v>1802</v>
      </c>
      <c r="H589" s="5">
        <v>15</v>
      </c>
      <c r="I589" s="5">
        <v>1532</v>
      </c>
      <c r="J589" s="5">
        <v>3</v>
      </c>
      <c r="K589" s="2">
        <v>42</v>
      </c>
      <c r="L589" s="2" t="s">
        <v>168</v>
      </c>
      <c r="M589" s="4">
        <v>4.3</v>
      </c>
      <c r="N589" s="5">
        <v>110</v>
      </c>
      <c r="O589" s="3">
        <v>45842</v>
      </c>
      <c r="P589" s="2" t="s">
        <v>28</v>
      </c>
      <c r="Q589" s="2" t="s">
        <v>29</v>
      </c>
      <c r="R589" s="2" t="s">
        <v>66</v>
      </c>
      <c r="S589" s="2" t="s">
        <v>67</v>
      </c>
      <c r="T589" s="2" t="s">
        <v>32</v>
      </c>
    </row>
    <row r="590" spans="1:20" ht="12.5" x14ac:dyDescent="0.25">
      <c r="A590" s="2" t="s">
        <v>2184</v>
      </c>
      <c r="B590" s="2" t="s">
        <v>2185</v>
      </c>
      <c r="C590" s="2" t="s">
        <v>2186</v>
      </c>
      <c r="D590" s="2" t="s">
        <v>2187</v>
      </c>
      <c r="E590" s="2" t="s">
        <v>132</v>
      </c>
      <c r="F590" s="2" t="s">
        <v>38</v>
      </c>
      <c r="G590" s="5">
        <v>2904</v>
      </c>
      <c r="H590" s="5">
        <v>40</v>
      </c>
      <c r="I590" s="5">
        <v>1743</v>
      </c>
      <c r="J590" s="5">
        <v>3</v>
      </c>
      <c r="K590" s="2">
        <v>42</v>
      </c>
      <c r="L590" s="2" t="s">
        <v>133</v>
      </c>
      <c r="M590" s="4">
        <v>3.9</v>
      </c>
      <c r="N590" s="5">
        <v>264</v>
      </c>
      <c r="O590" s="3">
        <v>45794</v>
      </c>
      <c r="P590" s="2" t="s">
        <v>28</v>
      </c>
      <c r="Q590" s="2" t="s">
        <v>65</v>
      </c>
      <c r="R590" s="2" t="s">
        <v>89</v>
      </c>
      <c r="S590" s="2" t="s">
        <v>90</v>
      </c>
      <c r="T590" s="2" t="s">
        <v>32</v>
      </c>
    </row>
    <row r="591" spans="1:20" ht="12.5" x14ac:dyDescent="0.25">
      <c r="A591" s="2" t="s">
        <v>2188</v>
      </c>
      <c r="B591" s="2" t="s">
        <v>2093</v>
      </c>
      <c r="C591" s="2" t="s">
        <v>2189</v>
      </c>
      <c r="D591" s="2" t="s">
        <v>2190</v>
      </c>
      <c r="E591" s="2" t="s">
        <v>132</v>
      </c>
      <c r="F591" s="2" t="s">
        <v>38</v>
      </c>
      <c r="G591" s="5">
        <v>1846</v>
      </c>
      <c r="H591" s="5">
        <v>25</v>
      </c>
      <c r="I591" s="5">
        <v>1385</v>
      </c>
      <c r="J591" s="5">
        <v>2</v>
      </c>
      <c r="K591" s="2" t="s">
        <v>26</v>
      </c>
      <c r="L591" s="2" t="s">
        <v>133</v>
      </c>
      <c r="M591" s="4">
        <v>4.5999999999999996</v>
      </c>
      <c r="N591" s="5">
        <v>285</v>
      </c>
      <c r="O591" s="3">
        <v>45784</v>
      </c>
      <c r="P591" s="2" t="s">
        <v>28</v>
      </c>
      <c r="Q591" s="2" t="s">
        <v>78</v>
      </c>
      <c r="R591" s="2" t="s">
        <v>149</v>
      </c>
      <c r="S591" s="2" t="s">
        <v>150</v>
      </c>
      <c r="T591" s="2" t="s">
        <v>32</v>
      </c>
    </row>
    <row r="592" spans="1:20" ht="12.5" x14ac:dyDescent="0.25">
      <c r="A592" s="2" t="s">
        <v>2191</v>
      </c>
      <c r="B592" s="2" t="s">
        <v>1516</v>
      </c>
      <c r="C592" s="2" t="s">
        <v>2192</v>
      </c>
      <c r="D592" s="2" t="s">
        <v>2193</v>
      </c>
      <c r="E592" s="2" t="s">
        <v>116</v>
      </c>
      <c r="F592" s="2" t="s">
        <v>117</v>
      </c>
      <c r="G592" s="5">
        <v>3956</v>
      </c>
      <c r="H592" s="5">
        <v>35</v>
      </c>
      <c r="I592" s="5">
        <v>2572</v>
      </c>
      <c r="J592" s="5">
        <v>3</v>
      </c>
      <c r="K592" s="2" t="s">
        <v>72</v>
      </c>
      <c r="L592" s="2" t="s">
        <v>209</v>
      </c>
      <c r="M592" s="4">
        <v>3.9</v>
      </c>
      <c r="N592" s="5">
        <v>152</v>
      </c>
      <c r="O592" s="3">
        <v>45851</v>
      </c>
      <c r="P592" s="2" t="s">
        <v>57</v>
      </c>
      <c r="Q592" s="2" t="s">
        <v>29</v>
      </c>
      <c r="R592" s="2" t="s">
        <v>83</v>
      </c>
      <c r="S592" s="2" t="s">
        <v>83</v>
      </c>
      <c r="T592" s="2" t="s">
        <v>32</v>
      </c>
    </row>
    <row r="593" spans="1:20" ht="12.5" x14ac:dyDescent="0.25">
      <c r="A593" s="2" t="s">
        <v>2194</v>
      </c>
      <c r="B593" s="2" t="s">
        <v>1227</v>
      </c>
      <c r="C593" s="2" t="s">
        <v>2195</v>
      </c>
      <c r="D593" s="2" t="s">
        <v>2196</v>
      </c>
      <c r="E593" s="2" t="s">
        <v>208</v>
      </c>
      <c r="F593" s="2" t="s">
        <v>117</v>
      </c>
      <c r="G593" s="5">
        <v>876</v>
      </c>
      <c r="H593" s="5">
        <v>40</v>
      </c>
      <c r="I593" s="5">
        <v>526</v>
      </c>
      <c r="J593" s="5">
        <v>1</v>
      </c>
      <c r="K593" s="2">
        <v>42</v>
      </c>
      <c r="L593" s="2" t="s">
        <v>73</v>
      </c>
      <c r="M593" s="4">
        <v>3.5</v>
      </c>
      <c r="N593" s="5">
        <v>237</v>
      </c>
      <c r="O593" s="3">
        <v>45811</v>
      </c>
      <c r="P593" s="2" t="s">
        <v>28</v>
      </c>
      <c r="Q593" s="2" t="s">
        <v>78</v>
      </c>
      <c r="R593" s="2" t="s">
        <v>110</v>
      </c>
      <c r="S593" s="2" t="s">
        <v>111</v>
      </c>
      <c r="T593" s="2" t="s">
        <v>32</v>
      </c>
    </row>
    <row r="594" spans="1:20" ht="12.5" x14ac:dyDescent="0.25">
      <c r="A594" s="2" t="s">
        <v>2197</v>
      </c>
      <c r="B594" s="2" t="s">
        <v>2198</v>
      </c>
      <c r="C594" s="2" t="s">
        <v>2199</v>
      </c>
      <c r="D594" s="2" t="s">
        <v>2200</v>
      </c>
      <c r="E594" s="2" t="s">
        <v>247</v>
      </c>
      <c r="F594" s="2" t="s">
        <v>248</v>
      </c>
      <c r="G594" s="5">
        <v>4591</v>
      </c>
      <c r="H594" s="5">
        <v>15</v>
      </c>
      <c r="I594" s="5">
        <v>3903</v>
      </c>
      <c r="J594" s="5">
        <v>3</v>
      </c>
      <c r="K594" s="2">
        <v>40</v>
      </c>
      <c r="L594" s="2" t="s">
        <v>64</v>
      </c>
      <c r="M594" s="4">
        <v>3.9</v>
      </c>
      <c r="N594" s="5">
        <v>255</v>
      </c>
      <c r="O594" s="3">
        <v>45787</v>
      </c>
      <c r="P594" s="2" t="s">
        <v>28</v>
      </c>
      <c r="Q594" s="2" t="s">
        <v>29</v>
      </c>
      <c r="R594" s="2" t="s">
        <v>58</v>
      </c>
      <c r="S594" s="2" t="s">
        <v>59</v>
      </c>
      <c r="T594" s="2" t="s">
        <v>32</v>
      </c>
    </row>
    <row r="595" spans="1:20" ht="12.5" x14ac:dyDescent="0.25">
      <c r="A595" s="2" t="s">
        <v>2201</v>
      </c>
      <c r="B595" s="2" t="s">
        <v>2202</v>
      </c>
      <c r="C595" s="2" t="s">
        <v>2203</v>
      </c>
      <c r="D595" s="2" t="s">
        <v>2204</v>
      </c>
      <c r="E595" s="2" t="s">
        <v>48</v>
      </c>
      <c r="F595" s="2" t="s">
        <v>25</v>
      </c>
      <c r="G595" s="5">
        <v>3307</v>
      </c>
      <c r="H595" s="5">
        <v>30</v>
      </c>
      <c r="I595" s="5">
        <v>2315</v>
      </c>
      <c r="J595" s="5">
        <v>2</v>
      </c>
      <c r="K595" s="2" t="s">
        <v>163</v>
      </c>
      <c r="L595" s="2" t="s">
        <v>88</v>
      </c>
      <c r="M595" s="4">
        <v>3.9</v>
      </c>
      <c r="N595" s="5">
        <v>197</v>
      </c>
      <c r="O595" s="3">
        <v>45841</v>
      </c>
      <c r="P595" s="2" t="s">
        <v>40</v>
      </c>
      <c r="Q595" s="2" t="s">
        <v>78</v>
      </c>
      <c r="R595" s="2" t="s">
        <v>41</v>
      </c>
      <c r="S595" s="2" t="s">
        <v>42</v>
      </c>
      <c r="T595" s="2" t="s">
        <v>50</v>
      </c>
    </row>
    <row r="596" spans="1:20" ht="12.5" x14ac:dyDescent="0.25">
      <c r="A596" s="2" t="s">
        <v>2205</v>
      </c>
      <c r="B596" s="2" t="s">
        <v>460</v>
      </c>
      <c r="C596" s="2" t="s">
        <v>2206</v>
      </c>
      <c r="D596" s="2" t="s">
        <v>2207</v>
      </c>
      <c r="E596" s="2" t="s">
        <v>147</v>
      </c>
      <c r="F596" s="2" t="s">
        <v>148</v>
      </c>
      <c r="G596" s="5">
        <v>2504</v>
      </c>
      <c r="H596" s="5">
        <v>35</v>
      </c>
      <c r="I596" s="5">
        <v>1628</v>
      </c>
      <c r="J596" s="5">
        <v>3</v>
      </c>
      <c r="K596" s="2" t="s">
        <v>26</v>
      </c>
      <c r="L596" s="2" t="s">
        <v>88</v>
      </c>
      <c r="M596" s="4">
        <v>4.4000000000000004</v>
      </c>
      <c r="N596" s="5">
        <v>159</v>
      </c>
      <c r="O596" s="3">
        <v>45809</v>
      </c>
      <c r="P596" s="2" t="s">
        <v>28</v>
      </c>
      <c r="Q596" s="2" t="s">
        <v>65</v>
      </c>
      <c r="R596" s="2" t="s">
        <v>185</v>
      </c>
      <c r="S596" s="2" t="s">
        <v>186</v>
      </c>
      <c r="T596" s="2" t="s">
        <v>32</v>
      </c>
    </row>
    <row r="597" spans="1:20" ht="12.5" x14ac:dyDescent="0.25">
      <c r="A597" s="2" t="s">
        <v>2208</v>
      </c>
      <c r="B597" s="2" t="s">
        <v>1990</v>
      </c>
      <c r="C597" s="2" t="s">
        <v>2209</v>
      </c>
      <c r="D597" s="2" t="s">
        <v>2210</v>
      </c>
      <c r="E597" s="2" t="s">
        <v>37</v>
      </c>
      <c r="F597" s="2" t="s">
        <v>38</v>
      </c>
      <c r="G597" s="5">
        <v>2409</v>
      </c>
      <c r="H597" s="5">
        <v>30</v>
      </c>
      <c r="I597" s="5">
        <v>1687</v>
      </c>
      <c r="J597" s="5">
        <v>2</v>
      </c>
      <c r="K597" s="2" t="s">
        <v>226</v>
      </c>
      <c r="L597" s="2" t="s">
        <v>27</v>
      </c>
      <c r="M597" s="4">
        <v>3.8</v>
      </c>
      <c r="N597" s="5">
        <v>76</v>
      </c>
      <c r="O597" s="3">
        <v>45836</v>
      </c>
      <c r="P597" s="2" t="s">
        <v>40</v>
      </c>
      <c r="Q597" s="2" t="s">
        <v>78</v>
      </c>
      <c r="R597" s="2" t="s">
        <v>185</v>
      </c>
      <c r="S597" s="2" t="s">
        <v>186</v>
      </c>
      <c r="T597" s="2" t="s">
        <v>50</v>
      </c>
    </row>
    <row r="598" spans="1:20" ht="12.5" x14ac:dyDescent="0.25">
      <c r="A598" s="2" t="s">
        <v>2211</v>
      </c>
      <c r="B598" s="2" t="s">
        <v>713</v>
      </c>
      <c r="C598" s="2" t="s">
        <v>1207</v>
      </c>
      <c r="D598" s="2" t="s">
        <v>2212</v>
      </c>
      <c r="E598" s="2" t="s">
        <v>122</v>
      </c>
      <c r="F598" s="2" t="s">
        <v>123</v>
      </c>
      <c r="G598" s="5">
        <v>3307</v>
      </c>
      <c r="H598" s="5">
        <v>40</v>
      </c>
      <c r="I598" s="5">
        <v>1985</v>
      </c>
      <c r="J598" s="5">
        <v>2</v>
      </c>
      <c r="K598" s="2" t="s">
        <v>26</v>
      </c>
      <c r="L598" s="2" t="s">
        <v>27</v>
      </c>
      <c r="M598" s="4">
        <v>4.4000000000000004</v>
      </c>
      <c r="N598" s="5">
        <v>220</v>
      </c>
      <c r="O598" s="3">
        <v>45858</v>
      </c>
      <c r="P598" s="2" t="s">
        <v>28</v>
      </c>
      <c r="Q598" s="2" t="s">
        <v>65</v>
      </c>
      <c r="R598" s="2" t="s">
        <v>58</v>
      </c>
      <c r="S598" s="2" t="s">
        <v>59</v>
      </c>
      <c r="T598" s="2" t="s">
        <v>32</v>
      </c>
    </row>
    <row r="599" spans="1:20" ht="12.5" x14ac:dyDescent="0.25">
      <c r="A599" s="2" t="s">
        <v>2213</v>
      </c>
      <c r="B599" s="2" t="s">
        <v>2214</v>
      </c>
      <c r="C599" s="2" t="s">
        <v>1659</v>
      </c>
      <c r="D599" s="2" t="s">
        <v>2215</v>
      </c>
      <c r="E599" s="2" t="s">
        <v>147</v>
      </c>
      <c r="F599" s="2" t="s">
        <v>148</v>
      </c>
      <c r="G599" s="5">
        <v>1640</v>
      </c>
      <c r="H599" s="5">
        <v>20</v>
      </c>
      <c r="I599" s="5">
        <v>1312</v>
      </c>
      <c r="J599" s="5">
        <v>1</v>
      </c>
      <c r="K599" s="2" t="s">
        <v>163</v>
      </c>
      <c r="L599" s="2" t="s">
        <v>49</v>
      </c>
      <c r="M599" s="4">
        <v>3.7</v>
      </c>
      <c r="N599" s="5">
        <v>242</v>
      </c>
      <c r="O599" s="3">
        <v>45809</v>
      </c>
      <c r="P599" s="2" t="s">
        <v>57</v>
      </c>
      <c r="Q599" s="2" t="s">
        <v>78</v>
      </c>
      <c r="R599" s="2" t="s">
        <v>30</v>
      </c>
      <c r="S599" s="2" t="s">
        <v>31</v>
      </c>
      <c r="T599" s="2" t="s">
        <v>32</v>
      </c>
    </row>
    <row r="600" spans="1:20" ht="12.5" x14ac:dyDescent="0.25">
      <c r="A600" s="2" t="s">
        <v>2216</v>
      </c>
      <c r="B600" s="2" t="s">
        <v>2217</v>
      </c>
      <c r="C600" s="2" t="s">
        <v>2218</v>
      </c>
      <c r="D600" s="2" t="s">
        <v>2219</v>
      </c>
      <c r="E600" s="2" t="s">
        <v>147</v>
      </c>
      <c r="F600" s="2" t="s">
        <v>148</v>
      </c>
      <c r="G600" s="5">
        <v>948</v>
      </c>
      <c r="H600" s="5">
        <v>20</v>
      </c>
      <c r="I600" s="5">
        <v>759</v>
      </c>
      <c r="J600" s="5">
        <v>3</v>
      </c>
      <c r="K600" s="2">
        <v>40</v>
      </c>
      <c r="L600" s="2" t="s">
        <v>168</v>
      </c>
      <c r="M600" s="4">
        <v>4.5</v>
      </c>
      <c r="N600" s="5">
        <v>57</v>
      </c>
      <c r="O600" s="3">
        <v>45792</v>
      </c>
      <c r="P600" s="2" t="s">
        <v>28</v>
      </c>
      <c r="Q600" s="2" t="s">
        <v>29</v>
      </c>
      <c r="R600" s="2" t="s">
        <v>30</v>
      </c>
      <c r="S600" s="2" t="s">
        <v>31</v>
      </c>
      <c r="T600" s="2" t="s">
        <v>32</v>
      </c>
    </row>
    <row r="601" spans="1:20" ht="12.5" x14ac:dyDescent="0.25">
      <c r="A601" s="2" t="s">
        <v>2220</v>
      </c>
      <c r="B601" s="2" t="s">
        <v>659</v>
      </c>
      <c r="C601" s="2" t="s">
        <v>2221</v>
      </c>
      <c r="D601" s="2" t="s">
        <v>2222</v>
      </c>
      <c r="E601" s="2" t="s">
        <v>55</v>
      </c>
      <c r="F601" s="2" t="s">
        <v>38</v>
      </c>
      <c r="G601" s="5">
        <v>4541</v>
      </c>
      <c r="H601" s="5">
        <v>20</v>
      </c>
      <c r="I601" s="5">
        <v>3633</v>
      </c>
      <c r="J601" s="5">
        <v>3</v>
      </c>
      <c r="K601" s="2" t="s">
        <v>26</v>
      </c>
      <c r="L601" s="2" t="s">
        <v>209</v>
      </c>
      <c r="M601" s="4">
        <v>3.8</v>
      </c>
      <c r="N601" s="5">
        <v>225</v>
      </c>
      <c r="O601" s="3">
        <v>45805</v>
      </c>
      <c r="P601" s="2" t="s">
        <v>28</v>
      </c>
      <c r="Q601" s="2" t="s">
        <v>29</v>
      </c>
      <c r="R601" s="2" t="s">
        <v>149</v>
      </c>
      <c r="S601" s="2" t="s">
        <v>150</v>
      </c>
      <c r="T601" s="2" t="s">
        <v>32</v>
      </c>
    </row>
    <row r="602" spans="1:20" ht="12.5" x14ac:dyDescent="0.25">
      <c r="A602" s="2" t="s">
        <v>2223</v>
      </c>
      <c r="B602" s="2" t="s">
        <v>2224</v>
      </c>
      <c r="C602" s="2" t="s">
        <v>2225</v>
      </c>
      <c r="D602" s="2" t="s">
        <v>2226</v>
      </c>
      <c r="E602" s="2" t="s">
        <v>247</v>
      </c>
      <c r="F602" s="2" t="s">
        <v>248</v>
      </c>
      <c r="G602" s="5">
        <v>3056</v>
      </c>
      <c r="H602" s="5">
        <v>10</v>
      </c>
      <c r="I602" s="5">
        <v>2751</v>
      </c>
      <c r="J602" s="5">
        <v>1</v>
      </c>
      <c r="K602" s="2">
        <v>40</v>
      </c>
      <c r="L602" s="2" t="s">
        <v>64</v>
      </c>
      <c r="M602" s="4">
        <v>5</v>
      </c>
      <c r="N602" s="5">
        <v>48</v>
      </c>
      <c r="O602" s="3">
        <v>45794</v>
      </c>
      <c r="P602" s="2" t="s">
        <v>57</v>
      </c>
      <c r="Q602" s="2" t="s">
        <v>65</v>
      </c>
      <c r="R602" s="2" t="s">
        <v>58</v>
      </c>
      <c r="S602" s="2" t="s">
        <v>59</v>
      </c>
      <c r="T602" s="2" t="s">
        <v>32</v>
      </c>
    </row>
    <row r="603" spans="1:20" ht="12.5" x14ac:dyDescent="0.25">
      <c r="A603" s="2" t="s">
        <v>2227</v>
      </c>
      <c r="B603" s="2" t="s">
        <v>1236</v>
      </c>
      <c r="C603" s="2" t="s">
        <v>2228</v>
      </c>
      <c r="D603" s="2" t="s">
        <v>2229</v>
      </c>
      <c r="E603" s="2" t="s">
        <v>37</v>
      </c>
      <c r="F603" s="2" t="s">
        <v>38</v>
      </c>
      <c r="G603" s="5">
        <v>4849</v>
      </c>
      <c r="H603" s="5">
        <v>15</v>
      </c>
      <c r="I603" s="5">
        <v>4122</v>
      </c>
      <c r="J603" s="5">
        <v>1</v>
      </c>
      <c r="K603" s="2" t="s">
        <v>163</v>
      </c>
      <c r="L603" s="2" t="s">
        <v>88</v>
      </c>
      <c r="M603" s="4">
        <v>3.9</v>
      </c>
      <c r="N603" s="5">
        <v>261</v>
      </c>
      <c r="O603" s="3">
        <v>45770</v>
      </c>
      <c r="P603" s="2" t="s">
        <v>40</v>
      </c>
      <c r="Q603" s="2" t="s">
        <v>78</v>
      </c>
      <c r="R603" s="2" t="s">
        <v>149</v>
      </c>
      <c r="S603" s="2" t="s">
        <v>150</v>
      </c>
      <c r="T603" s="2" t="s">
        <v>203</v>
      </c>
    </row>
    <row r="604" spans="1:20" ht="12.5" x14ac:dyDescent="0.25">
      <c r="A604" s="2" t="s">
        <v>2230</v>
      </c>
      <c r="B604" s="2" t="s">
        <v>2131</v>
      </c>
      <c r="C604" s="2" t="s">
        <v>2231</v>
      </c>
      <c r="D604" s="2" t="s">
        <v>2232</v>
      </c>
      <c r="E604" s="2" t="s">
        <v>116</v>
      </c>
      <c r="F604" s="2" t="s">
        <v>117</v>
      </c>
      <c r="G604" s="5">
        <v>3543</v>
      </c>
      <c r="H604" s="5">
        <v>20</v>
      </c>
      <c r="I604" s="5">
        <v>2835</v>
      </c>
      <c r="J604" s="5">
        <v>1</v>
      </c>
      <c r="K604" s="2" t="s">
        <v>26</v>
      </c>
      <c r="L604" s="2" t="s">
        <v>168</v>
      </c>
      <c r="M604" s="4">
        <v>4.4000000000000004</v>
      </c>
      <c r="N604" s="5">
        <v>213</v>
      </c>
      <c r="O604" s="3">
        <v>45831</v>
      </c>
      <c r="P604" s="2" t="s">
        <v>28</v>
      </c>
      <c r="Q604" s="2" t="s">
        <v>65</v>
      </c>
      <c r="R604" s="2" t="s">
        <v>89</v>
      </c>
      <c r="S604" s="2" t="s">
        <v>90</v>
      </c>
      <c r="T604" s="2" t="s">
        <v>32</v>
      </c>
    </row>
    <row r="605" spans="1:20" ht="12.5" x14ac:dyDescent="0.25">
      <c r="A605" s="2" t="s">
        <v>2233</v>
      </c>
      <c r="B605" s="2" t="s">
        <v>709</v>
      </c>
      <c r="C605" s="2" t="s">
        <v>2234</v>
      </c>
      <c r="D605" s="2" t="s">
        <v>2235</v>
      </c>
      <c r="E605" s="2" t="s">
        <v>48</v>
      </c>
      <c r="F605" s="2" t="s">
        <v>25</v>
      </c>
      <c r="G605" s="5">
        <v>2546</v>
      </c>
      <c r="H605" s="5">
        <v>40</v>
      </c>
      <c r="I605" s="5">
        <v>1528</v>
      </c>
      <c r="J605" s="5">
        <v>2</v>
      </c>
      <c r="K605" s="2" t="s">
        <v>26</v>
      </c>
      <c r="L605" s="2" t="s">
        <v>168</v>
      </c>
      <c r="M605" s="4">
        <v>3.7</v>
      </c>
      <c r="N605" s="5">
        <v>210</v>
      </c>
      <c r="O605" s="3">
        <v>45850</v>
      </c>
      <c r="P605" s="2" t="s">
        <v>28</v>
      </c>
      <c r="Q605" s="2" t="s">
        <v>65</v>
      </c>
      <c r="R605" s="2" t="s">
        <v>41</v>
      </c>
      <c r="S605" s="2" t="s">
        <v>42</v>
      </c>
      <c r="T605" s="2" t="s">
        <v>32</v>
      </c>
    </row>
    <row r="606" spans="1:20" ht="12.5" x14ac:dyDescent="0.25">
      <c r="A606" s="2" t="s">
        <v>2236</v>
      </c>
      <c r="B606" s="2" t="s">
        <v>479</v>
      </c>
      <c r="C606" s="2" t="s">
        <v>2237</v>
      </c>
      <c r="D606" s="2" t="s">
        <v>2238</v>
      </c>
      <c r="E606" s="2" t="s">
        <v>208</v>
      </c>
      <c r="F606" s="2" t="s">
        <v>117</v>
      </c>
      <c r="G606" s="5">
        <v>4118</v>
      </c>
      <c r="H606" s="5">
        <v>30</v>
      </c>
      <c r="I606" s="5">
        <v>2883</v>
      </c>
      <c r="J606" s="5">
        <v>2</v>
      </c>
      <c r="K606" s="2">
        <v>44</v>
      </c>
      <c r="L606" s="2" t="s">
        <v>73</v>
      </c>
      <c r="M606" s="4">
        <v>4.3</v>
      </c>
      <c r="N606" s="5">
        <v>214</v>
      </c>
      <c r="O606" s="3">
        <v>45772</v>
      </c>
      <c r="P606" s="2" t="s">
        <v>57</v>
      </c>
      <c r="Q606" s="2" t="s">
        <v>78</v>
      </c>
      <c r="R606" s="2" t="s">
        <v>83</v>
      </c>
      <c r="S606" s="2" t="s">
        <v>83</v>
      </c>
      <c r="T606" s="2" t="s">
        <v>32</v>
      </c>
    </row>
    <row r="607" spans="1:20" ht="12.5" x14ac:dyDescent="0.25">
      <c r="A607" s="2" t="s">
        <v>2239</v>
      </c>
      <c r="B607" s="2" t="s">
        <v>607</v>
      </c>
      <c r="C607" s="2" t="s">
        <v>2240</v>
      </c>
      <c r="D607" s="2" t="s">
        <v>2241</v>
      </c>
      <c r="E607" s="2" t="s">
        <v>122</v>
      </c>
      <c r="F607" s="2" t="s">
        <v>123</v>
      </c>
      <c r="G607" s="5">
        <v>2890</v>
      </c>
      <c r="H607" s="5">
        <v>10</v>
      </c>
      <c r="I607" s="5">
        <v>2601</v>
      </c>
      <c r="J607" s="5">
        <v>1</v>
      </c>
      <c r="K607" s="2" t="s">
        <v>163</v>
      </c>
      <c r="L607" s="2" t="s">
        <v>49</v>
      </c>
      <c r="M607" s="4">
        <v>4.4000000000000004</v>
      </c>
      <c r="N607" s="5">
        <v>76</v>
      </c>
      <c r="O607" s="3">
        <v>45817</v>
      </c>
      <c r="P607" s="2" t="s">
        <v>28</v>
      </c>
      <c r="Q607" s="2" t="s">
        <v>78</v>
      </c>
      <c r="R607" s="2" t="s">
        <v>83</v>
      </c>
      <c r="S607" s="2" t="s">
        <v>83</v>
      </c>
      <c r="T607" s="2" t="s">
        <v>32</v>
      </c>
    </row>
    <row r="608" spans="1:20" ht="12.5" x14ac:dyDescent="0.25">
      <c r="A608" s="2" t="s">
        <v>2242</v>
      </c>
      <c r="B608" s="2" t="s">
        <v>1506</v>
      </c>
      <c r="C608" s="2" t="s">
        <v>2243</v>
      </c>
      <c r="D608" s="2" t="s">
        <v>2244</v>
      </c>
      <c r="E608" s="2" t="s">
        <v>247</v>
      </c>
      <c r="F608" s="2" t="s">
        <v>248</v>
      </c>
      <c r="G608" s="5">
        <v>2741</v>
      </c>
      <c r="H608" s="5">
        <v>20</v>
      </c>
      <c r="I608" s="5">
        <v>2193</v>
      </c>
      <c r="J608" s="5">
        <v>2</v>
      </c>
      <c r="K608" s="2">
        <v>42</v>
      </c>
      <c r="L608" s="2" t="s">
        <v>133</v>
      </c>
      <c r="M608" s="4">
        <v>4.0999999999999996</v>
      </c>
      <c r="N608" s="5">
        <v>61</v>
      </c>
      <c r="O608" s="3">
        <v>45803</v>
      </c>
      <c r="P608" s="2" t="s">
        <v>57</v>
      </c>
      <c r="Q608" s="2" t="s">
        <v>29</v>
      </c>
      <c r="R608" s="2" t="s">
        <v>30</v>
      </c>
      <c r="S608" s="2" t="s">
        <v>31</v>
      </c>
      <c r="T608" s="2" t="s">
        <v>32</v>
      </c>
    </row>
    <row r="609" spans="1:20" ht="12.5" x14ac:dyDescent="0.25">
      <c r="A609" s="2" t="s">
        <v>2245</v>
      </c>
      <c r="B609" s="2" t="s">
        <v>420</v>
      </c>
      <c r="C609" s="2" t="s">
        <v>2246</v>
      </c>
      <c r="D609" s="2" t="s">
        <v>2247</v>
      </c>
      <c r="E609" s="2" t="s">
        <v>24</v>
      </c>
      <c r="F609" s="2" t="s">
        <v>25</v>
      </c>
      <c r="G609" s="5">
        <v>3452</v>
      </c>
      <c r="H609" s="5">
        <v>20</v>
      </c>
      <c r="I609" s="5">
        <v>2762</v>
      </c>
      <c r="J609" s="5">
        <v>1</v>
      </c>
      <c r="K609" s="2">
        <v>44</v>
      </c>
      <c r="L609" s="2" t="s">
        <v>88</v>
      </c>
      <c r="M609" s="4">
        <v>4.0999999999999996</v>
      </c>
      <c r="N609" s="5">
        <v>239</v>
      </c>
      <c r="O609" s="3">
        <v>45814</v>
      </c>
      <c r="P609" s="2" t="s">
        <v>57</v>
      </c>
      <c r="Q609" s="2" t="s">
        <v>65</v>
      </c>
      <c r="R609" s="2" t="s">
        <v>104</v>
      </c>
      <c r="S609" s="2" t="s">
        <v>105</v>
      </c>
      <c r="T609" s="2" t="s">
        <v>32</v>
      </c>
    </row>
    <row r="610" spans="1:20" ht="12.5" x14ac:dyDescent="0.25">
      <c r="A610" s="2" t="s">
        <v>2248</v>
      </c>
      <c r="B610" s="2" t="s">
        <v>529</v>
      </c>
      <c r="C610" s="2" t="s">
        <v>2249</v>
      </c>
      <c r="D610" s="2" t="s">
        <v>2250</v>
      </c>
      <c r="E610" s="2" t="s">
        <v>48</v>
      </c>
      <c r="F610" s="2" t="s">
        <v>25</v>
      </c>
      <c r="G610" s="5">
        <v>4987</v>
      </c>
      <c r="H610" s="5">
        <v>35</v>
      </c>
      <c r="I610" s="5">
        <v>3242</v>
      </c>
      <c r="J610" s="5">
        <v>2</v>
      </c>
      <c r="K610" s="2" t="s">
        <v>163</v>
      </c>
      <c r="L610" s="2" t="s">
        <v>88</v>
      </c>
      <c r="M610" s="4">
        <v>3.8</v>
      </c>
      <c r="N610" s="5">
        <v>70</v>
      </c>
      <c r="O610" s="3">
        <v>45820</v>
      </c>
      <c r="P610" s="2" t="s">
        <v>40</v>
      </c>
      <c r="Q610" s="2" t="s">
        <v>65</v>
      </c>
      <c r="R610" s="2" t="s">
        <v>89</v>
      </c>
      <c r="S610" s="2" t="s">
        <v>90</v>
      </c>
      <c r="T610" s="2" t="s">
        <v>43</v>
      </c>
    </row>
    <row r="611" spans="1:20" ht="12.5" x14ac:dyDescent="0.25">
      <c r="A611" s="2" t="s">
        <v>2251</v>
      </c>
      <c r="B611" s="2" t="s">
        <v>966</v>
      </c>
      <c r="C611" s="2" t="s">
        <v>2252</v>
      </c>
      <c r="D611" s="2" t="s">
        <v>2253</v>
      </c>
      <c r="E611" s="2" t="s">
        <v>24</v>
      </c>
      <c r="F611" s="2" t="s">
        <v>25</v>
      </c>
      <c r="G611" s="5">
        <v>2068</v>
      </c>
      <c r="H611" s="5">
        <v>15</v>
      </c>
      <c r="I611" s="5">
        <v>1758</v>
      </c>
      <c r="J611" s="5">
        <v>2</v>
      </c>
      <c r="K611" s="2" t="s">
        <v>163</v>
      </c>
      <c r="L611" s="2" t="s">
        <v>39</v>
      </c>
      <c r="M611" s="4">
        <v>4.7</v>
      </c>
      <c r="N611" s="5">
        <v>76</v>
      </c>
      <c r="O611" s="3">
        <v>45835</v>
      </c>
      <c r="P611" s="2" t="s">
        <v>40</v>
      </c>
      <c r="Q611" s="2" t="s">
        <v>65</v>
      </c>
      <c r="R611" s="2" t="s">
        <v>104</v>
      </c>
      <c r="S611" s="2" t="s">
        <v>105</v>
      </c>
      <c r="T611" s="2" t="s">
        <v>134</v>
      </c>
    </row>
    <row r="612" spans="1:20" ht="12.5" x14ac:dyDescent="0.25">
      <c r="A612" s="2" t="s">
        <v>2254</v>
      </c>
      <c r="B612" s="2" t="s">
        <v>2255</v>
      </c>
      <c r="C612" s="2" t="s">
        <v>2256</v>
      </c>
      <c r="D612" s="2" t="s">
        <v>2257</v>
      </c>
      <c r="E612" s="2" t="s">
        <v>24</v>
      </c>
      <c r="F612" s="2" t="s">
        <v>25</v>
      </c>
      <c r="G612" s="5">
        <v>1870</v>
      </c>
      <c r="H612" s="5">
        <v>20</v>
      </c>
      <c r="I612" s="5">
        <v>1496</v>
      </c>
      <c r="J612" s="5">
        <v>1</v>
      </c>
      <c r="K612" s="2" t="s">
        <v>56</v>
      </c>
      <c r="L612" s="2" t="s">
        <v>27</v>
      </c>
      <c r="M612" s="4">
        <v>3.9</v>
      </c>
      <c r="N612" s="5">
        <v>104</v>
      </c>
      <c r="O612" s="3">
        <v>45812</v>
      </c>
      <c r="P612" s="2" t="s">
        <v>28</v>
      </c>
      <c r="Q612" s="2" t="s">
        <v>29</v>
      </c>
      <c r="R612" s="2" t="s">
        <v>89</v>
      </c>
      <c r="S612" s="2" t="s">
        <v>90</v>
      </c>
      <c r="T612" s="2" t="s">
        <v>32</v>
      </c>
    </row>
    <row r="613" spans="1:20" ht="12.5" x14ac:dyDescent="0.25">
      <c r="A613" s="2" t="s">
        <v>2258</v>
      </c>
      <c r="B613" s="2" t="s">
        <v>2259</v>
      </c>
      <c r="C613" s="2" t="s">
        <v>2260</v>
      </c>
      <c r="D613" s="2" t="s">
        <v>2261</v>
      </c>
      <c r="E613" s="2" t="s">
        <v>55</v>
      </c>
      <c r="F613" s="2" t="s">
        <v>38</v>
      </c>
      <c r="G613" s="5">
        <v>611</v>
      </c>
      <c r="H613" s="5">
        <v>30</v>
      </c>
      <c r="I613" s="5">
        <v>428</v>
      </c>
      <c r="J613" s="5">
        <v>1</v>
      </c>
      <c r="K613" s="2" t="s">
        <v>226</v>
      </c>
      <c r="L613" s="2" t="s">
        <v>209</v>
      </c>
      <c r="M613" s="4">
        <v>4.4000000000000004</v>
      </c>
      <c r="N613" s="5">
        <v>274</v>
      </c>
      <c r="O613" s="3">
        <v>45807</v>
      </c>
      <c r="P613" s="2" t="s">
        <v>28</v>
      </c>
      <c r="Q613" s="2" t="s">
        <v>29</v>
      </c>
      <c r="R613" s="2" t="s">
        <v>185</v>
      </c>
      <c r="S613" s="2" t="s">
        <v>186</v>
      </c>
      <c r="T613" s="2" t="s">
        <v>32</v>
      </c>
    </row>
    <row r="614" spans="1:20" ht="12.5" x14ac:dyDescent="0.25">
      <c r="A614" s="2" t="s">
        <v>2262</v>
      </c>
      <c r="B614" s="2" t="s">
        <v>1854</v>
      </c>
      <c r="C614" s="2" t="s">
        <v>2263</v>
      </c>
      <c r="D614" s="2" t="s">
        <v>2264</v>
      </c>
      <c r="E614" s="2" t="s">
        <v>147</v>
      </c>
      <c r="F614" s="2" t="s">
        <v>148</v>
      </c>
      <c r="G614" s="5">
        <v>4811</v>
      </c>
      <c r="H614" s="5">
        <v>30</v>
      </c>
      <c r="I614" s="5">
        <v>3368</v>
      </c>
      <c r="J614" s="5">
        <v>3</v>
      </c>
      <c r="K614" s="2" t="s">
        <v>226</v>
      </c>
      <c r="L614" s="2" t="s">
        <v>168</v>
      </c>
      <c r="M614" s="4">
        <v>3.9</v>
      </c>
      <c r="N614" s="5">
        <v>229</v>
      </c>
      <c r="O614" s="3">
        <v>45793</v>
      </c>
      <c r="P614" s="2" t="s">
        <v>57</v>
      </c>
      <c r="Q614" s="2" t="s">
        <v>29</v>
      </c>
      <c r="R614" s="2" t="s">
        <v>185</v>
      </c>
      <c r="S614" s="2" t="s">
        <v>186</v>
      </c>
      <c r="T614" s="2" t="s">
        <v>32</v>
      </c>
    </row>
    <row r="615" spans="1:20" ht="12.5" x14ac:dyDescent="0.25">
      <c r="A615" s="2" t="s">
        <v>2265</v>
      </c>
      <c r="B615" s="2" t="s">
        <v>396</v>
      </c>
      <c r="C615" s="2" t="s">
        <v>2266</v>
      </c>
      <c r="D615" s="2" t="s">
        <v>2267</v>
      </c>
      <c r="E615" s="2" t="s">
        <v>122</v>
      </c>
      <c r="F615" s="2" t="s">
        <v>123</v>
      </c>
      <c r="G615" s="5">
        <v>3316</v>
      </c>
      <c r="H615" s="5">
        <v>20</v>
      </c>
      <c r="I615" s="5">
        <v>2653</v>
      </c>
      <c r="J615" s="5">
        <v>3</v>
      </c>
      <c r="K615" s="2" t="s">
        <v>261</v>
      </c>
      <c r="L615" s="2" t="s">
        <v>103</v>
      </c>
      <c r="M615" s="4">
        <v>4.5999999999999996</v>
      </c>
      <c r="N615" s="5">
        <v>142</v>
      </c>
      <c r="O615" s="3">
        <v>45769</v>
      </c>
      <c r="P615" s="2" t="s">
        <v>28</v>
      </c>
      <c r="Q615" s="2" t="s">
        <v>65</v>
      </c>
      <c r="R615" s="2" t="s">
        <v>110</v>
      </c>
      <c r="S615" s="2" t="s">
        <v>111</v>
      </c>
      <c r="T615" s="2" t="s">
        <v>32</v>
      </c>
    </row>
    <row r="616" spans="1:20" ht="12.5" x14ac:dyDescent="0.25">
      <c r="A616" s="2" t="s">
        <v>2268</v>
      </c>
      <c r="B616" s="2" t="s">
        <v>468</v>
      </c>
      <c r="C616" s="2" t="s">
        <v>2269</v>
      </c>
      <c r="D616" s="2" t="s">
        <v>2270</v>
      </c>
      <c r="E616" s="2" t="s">
        <v>147</v>
      </c>
      <c r="F616" s="2" t="s">
        <v>148</v>
      </c>
      <c r="G616" s="5">
        <v>3428</v>
      </c>
      <c r="H616" s="5">
        <v>35</v>
      </c>
      <c r="I616" s="5">
        <v>2229</v>
      </c>
      <c r="J616" s="5">
        <v>1</v>
      </c>
      <c r="K616" s="2" t="s">
        <v>163</v>
      </c>
      <c r="L616" s="2" t="s">
        <v>168</v>
      </c>
      <c r="M616" s="4">
        <v>4.8</v>
      </c>
      <c r="N616" s="5">
        <v>232</v>
      </c>
      <c r="O616" s="3">
        <v>45858</v>
      </c>
      <c r="P616" s="2" t="s">
        <v>28</v>
      </c>
      <c r="Q616" s="2" t="s">
        <v>78</v>
      </c>
      <c r="R616" s="2" t="s">
        <v>149</v>
      </c>
      <c r="S616" s="2" t="s">
        <v>150</v>
      </c>
      <c r="T616" s="2" t="s">
        <v>32</v>
      </c>
    </row>
    <row r="617" spans="1:20" ht="12.5" x14ac:dyDescent="0.25">
      <c r="A617" s="2" t="s">
        <v>2271</v>
      </c>
      <c r="B617" s="2" t="s">
        <v>909</v>
      </c>
      <c r="C617" s="2" t="s">
        <v>2272</v>
      </c>
      <c r="D617" s="2" t="s">
        <v>2273</v>
      </c>
      <c r="E617" s="2" t="s">
        <v>208</v>
      </c>
      <c r="F617" s="2" t="s">
        <v>117</v>
      </c>
      <c r="G617" s="5">
        <v>3111</v>
      </c>
      <c r="H617" s="5">
        <v>20</v>
      </c>
      <c r="I617" s="5">
        <v>2489</v>
      </c>
      <c r="J617" s="5">
        <v>2</v>
      </c>
      <c r="K617" s="2">
        <v>42</v>
      </c>
      <c r="L617" s="2" t="s">
        <v>64</v>
      </c>
      <c r="M617" s="4">
        <v>4.3</v>
      </c>
      <c r="N617" s="5">
        <v>198</v>
      </c>
      <c r="O617" s="3">
        <v>45847</v>
      </c>
      <c r="P617" s="2" t="s">
        <v>28</v>
      </c>
      <c r="Q617" s="2" t="s">
        <v>65</v>
      </c>
      <c r="R617" s="2" t="s">
        <v>41</v>
      </c>
      <c r="S617" s="2" t="s">
        <v>42</v>
      </c>
      <c r="T617" s="2" t="s">
        <v>32</v>
      </c>
    </row>
    <row r="618" spans="1:20" ht="12.5" x14ac:dyDescent="0.25">
      <c r="A618" s="2" t="s">
        <v>2274</v>
      </c>
      <c r="B618" s="2" t="s">
        <v>2175</v>
      </c>
      <c r="C618" s="2" t="s">
        <v>2275</v>
      </c>
      <c r="D618" s="2" t="s">
        <v>2276</v>
      </c>
      <c r="E618" s="2" t="s">
        <v>247</v>
      </c>
      <c r="F618" s="2" t="s">
        <v>248</v>
      </c>
      <c r="G618" s="5">
        <v>3794</v>
      </c>
      <c r="H618" s="5">
        <v>15</v>
      </c>
      <c r="I618" s="5">
        <v>3225</v>
      </c>
      <c r="J618" s="5">
        <v>3</v>
      </c>
      <c r="K618" s="2">
        <v>42</v>
      </c>
      <c r="L618" s="2" t="s">
        <v>39</v>
      </c>
      <c r="M618" s="4">
        <v>4.8</v>
      </c>
      <c r="N618" s="5">
        <v>235</v>
      </c>
      <c r="O618" s="3">
        <v>45853</v>
      </c>
      <c r="P618" s="2" t="s">
        <v>40</v>
      </c>
      <c r="Q618" s="2" t="s">
        <v>78</v>
      </c>
      <c r="R618" s="2" t="s">
        <v>83</v>
      </c>
      <c r="S618" s="2" t="s">
        <v>83</v>
      </c>
      <c r="T618" s="2" t="s">
        <v>43</v>
      </c>
    </row>
    <row r="619" spans="1:20" ht="12.5" x14ac:dyDescent="0.25">
      <c r="A619" s="2" t="s">
        <v>2277</v>
      </c>
      <c r="B619" s="2" t="s">
        <v>2278</v>
      </c>
      <c r="C619" s="2" t="s">
        <v>2279</v>
      </c>
      <c r="D619" s="2" t="s">
        <v>2280</v>
      </c>
      <c r="E619" s="2" t="s">
        <v>24</v>
      </c>
      <c r="F619" s="2" t="s">
        <v>25</v>
      </c>
      <c r="G619" s="5">
        <v>4217</v>
      </c>
      <c r="H619" s="5">
        <v>25</v>
      </c>
      <c r="I619" s="5">
        <v>3163</v>
      </c>
      <c r="J619" s="5">
        <v>1</v>
      </c>
      <c r="K619" s="2" t="s">
        <v>226</v>
      </c>
      <c r="L619" s="2" t="s">
        <v>168</v>
      </c>
      <c r="M619" s="4">
        <v>4.7</v>
      </c>
      <c r="N619" s="5">
        <v>118</v>
      </c>
      <c r="O619" s="3">
        <v>45773</v>
      </c>
      <c r="P619" s="2" t="s">
        <v>57</v>
      </c>
      <c r="Q619" s="2" t="s">
        <v>29</v>
      </c>
      <c r="R619" s="2" t="s">
        <v>104</v>
      </c>
      <c r="S619" s="2" t="s">
        <v>105</v>
      </c>
      <c r="T619" s="2" t="s">
        <v>32</v>
      </c>
    </row>
    <row r="620" spans="1:20" ht="12.5" x14ac:dyDescent="0.25">
      <c r="A620" s="2" t="s">
        <v>2281</v>
      </c>
      <c r="B620" s="2" t="s">
        <v>2282</v>
      </c>
      <c r="C620" s="2" t="s">
        <v>93</v>
      </c>
      <c r="D620" s="2" t="s">
        <v>2283</v>
      </c>
      <c r="E620" s="2" t="s">
        <v>24</v>
      </c>
      <c r="F620" s="2" t="s">
        <v>25</v>
      </c>
      <c r="G620" s="5">
        <v>3001</v>
      </c>
      <c r="H620" s="5">
        <v>20</v>
      </c>
      <c r="I620" s="5">
        <v>2401</v>
      </c>
      <c r="J620" s="5">
        <v>1</v>
      </c>
      <c r="K620" s="2" t="s">
        <v>163</v>
      </c>
      <c r="L620" s="2" t="s">
        <v>49</v>
      </c>
      <c r="M620" s="4">
        <v>4.5999999999999996</v>
      </c>
      <c r="N620" s="5">
        <v>138</v>
      </c>
      <c r="O620" s="3">
        <v>45835</v>
      </c>
      <c r="P620" s="2" t="s">
        <v>28</v>
      </c>
      <c r="Q620" s="2" t="s">
        <v>78</v>
      </c>
      <c r="R620" s="2" t="s">
        <v>110</v>
      </c>
      <c r="S620" s="2" t="s">
        <v>111</v>
      </c>
      <c r="T620" s="2" t="s">
        <v>32</v>
      </c>
    </row>
    <row r="621" spans="1:20" ht="12.5" x14ac:dyDescent="0.25">
      <c r="A621" s="2" t="s">
        <v>2284</v>
      </c>
      <c r="B621" s="2" t="s">
        <v>2285</v>
      </c>
      <c r="C621" s="2" t="s">
        <v>2286</v>
      </c>
      <c r="D621" s="2" t="s">
        <v>2287</v>
      </c>
      <c r="E621" s="2" t="s">
        <v>55</v>
      </c>
      <c r="F621" s="2" t="s">
        <v>38</v>
      </c>
      <c r="G621" s="5">
        <v>4231</v>
      </c>
      <c r="H621" s="5">
        <v>20</v>
      </c>
      <c r="I621" s="5">
        <v>3385</v>
      </c>
      <c r="J621" s="5">
        <v>2</v>
      </c>
      <c r="K621" s="2">
        <v>40</v>
      </c>
      <c r="L621" s="2" t="s">
        <v>49</v>
      </c>
      <c r="M621" s="4">
        <v>4.5</v>
      </c>
      <c r="N621" s="5">
        <v>72</v>
      </c>
      <c r="O621" s="3">
        <v>45838</v>
      </c>
      <c r="P621" s="2" t="s">
        <v>57</v>
      </c>
      <c r="Q621" s="2" t="s">
        <v>29</v>
      </c>
      <c r="R621" s="2" t="s">
        <v>104</v>
      </c>
      <c r="S621" s="2" t="s">
        <v>105</v>
      </c>
      <c r="T621" s="2" t="s">
        <v>32</v>
      </c>
    </row>
    <row r="622" spans="1:20" ht="12.5" x14ac:dyDescent="0.25">
      <c r="A622" s="2" t="s">
        <v>2288</v>
      </c>
      <c r="B622" s="2" t="s">
        <v>1502</v>
      </c>
      <c r="C622" s="2" t="s">
        <v>2289</v>
      </c>
      <c r="D622" s="2" t="s">
        <v>2290</v>
      </c>
      <c r="E622" s="2" t="s">
        <v>122</v>
      </c>
      <c r="F622" s="2" t="s">
        <v>123</v>
      </c>
      <c r="G622" s="5">
        <v>860</v>
      </c>
      <c r="H622" s="5">
        <v>20</v>
      </c>
      <c r="I622" s="5">
        <v>688</v>
      </c>
      <c r="J622" s="5">
        <v>2</v>
      </c>
      <c r="K622" s="2" t="s">
        <v>226</v>
      </c>
      <c r="L622" s="2" t="s">
        <v>73</v>
      </c>
      <c r="M622" s="4">
        <v>4.5999999999999996</v>
      </c>
      <c r="N622" s="5">
        <v>148</v>
      </c>
      <c r="O622" s="3">
        <v>45833</v>
      </c>
      <c r="P622" s="2" t="s">
        <v>28</v>
      </c>
      <c r="Q622" s="2" t="s">
        <v>78</v>
      </c>
      <c r="R622" s="2" t="s">
        <v>66</v>
      </c>
      <c r="S622" s="2" t="s">
        <v>67</v>
      </c>
      <c r="T622" s="2" t="s">
        <v>32</v>
      </c>
    </row>
    <row r="623" spans="1:20" ht="12.5" x14ac:dyDescent="0.25">
      <c r="A623" s="2" t="s">
        <v>2291</v>
      </c>
      <c r="B623" s="2" t="s">
        <v>634</v>
      </c>
      <c r="C623" s="2" t="s">
        <v>2292</v>
      </c>
      <c r="D623" s="2" t="s">
        <v>2293</v>
      </c>
      <c r="E623" s="2" t="s">
        <v>208</v>
      </c>
      <c r="F623" s="2" t="s">
        <v>117</v>
      </c>
      <c r="G623" s="5">
        <v>4740</v>
      </c>
      <c r="H623" s="5">
        <v>35</v>
      </c>
      <c r="I623" s="5">
        <v>3081</v>
      </c>
      <c r="J623" s="5">
        <v>2</v>
      </c>
      <c r="K623" s="2" t="s">
        <v>261</v>
      </c>
      <c r="L623" s="2" t="s">
        <v>73</v>
      </c>
      <c r="M623" s="4">
        <v>3.9</v>
      </c>
      <c r="N623" s="5">
        <v>103</v>
      </c>
      <c r="O623" s="3">
        <v>45835</v>
      </c>
      <c r="P623" s="2" t="s">
        <v>28</v>
      </c>
      <c r="Q623" s="2" t="s">
        <v>29</v>
      </c>
      <c r="R623" s="2" t="s">
        <v>89</v>
      </c>
      <c r="S623" s="2" t="s">
        <v>90</v>
      </c>
      <c r="T623" s="2" t="s">
        <v>32</v>
      </c>
    </row>
    <row r="624" spans="1:20" ht="12.5" x14ac:dyDescent="0.25">
      <c r="A624" s="2" t="s">
        <v>2294</v>
      </c>
      <c r="B624" s="2" t="s">
        <v>562</v>
      </c>
      <c r="C624" s="2" t="s">
        <v>2295</v>
      </c>
      <c r="D624" s="2" t="s">
        <v>2296</v>
      </c>
      <c r="E624" s="2" t="s">
        <v>55</v>
      </c>
      <c r="F624" s="2" t="s">
        <v>38</v>
      </c>
      <c r="G624" s="5">
        <v>4963</v>
      </c>
      <c r="H624" s="5">
        <v>30</v>
      </c>
      <c r="I624" s="5">
        <v>3475</v>
      </c>
      <c r="J624" s="5">
        <v>3</v>
      </c>
      <c r="K624" s="2" t="s">
        <v>26</v>
      </c>
      <c r="L624" s="2" t="s">
        <v>88</v>
      </c>
      <c r="M624" s="4">
        <v>3.9</v>
      </c>
      <c r="N624" s="5">
        <v>276</v>
      </c>
      <c r="O624" s="3">
        <v>45836</v>
      </c>
      <c r="P624" s="2" t="s">
        <v>57</v>
      </c>
      <c r="Q624" s="2" t="s">
        <v>65</v>
      </c>
      <c r="R624" s="2" t="s">
        <v>66</v>
      </c>
      <c r="S624" s="2" t="s">
        <v>67</v>
      </c>
      <c r="T624" s="2" t="s">
        <v>32</v>
      </c>
    </row>
    <row r="625" spans="1:20" ht="12.5" x14ac:dyDescent="0.25">
      <c r="A625" s="2" t="s">
        <v>2297</v>
      </c>
      <c r="B625" s="2" t="s">
        <v>2298</v>
      </c>
      <c r="C625" s="2" t="s">
        <v>2299</v>
      </c>
      <c r="D625" s="2" t="s">
        <v>2300</v>
      </c>
      <c r="E625" s="2" t="s">
        <v>48</v>
      </c>
      <c r="F625" s="2" t="s">
        <v>25</v>
      </c>
      <c r="G625" s="5">
        <v>2653</v>
      </c>
      <c r="H625" s="5">
        <v>35</v>
      </c>
      <c r="I625" s="5">
        <v>1725</v>
      </c>
      <c r="J625" s="5">
        <v>2</v>
      </c>
      <c r="K625" s="2">
        <v>42</v>
      </c>
      <c r="L625" s="2" t="s">
        <v>103</v>
      </c>
      <c r="M625" s="4">
        <v>3.9</v>
      </c>
      <c r="N625" s="5">
        <v>199</v>
      </c>
      <c r="O625" s="3">
        <v>45793</v>
      </c>
      <c r="P625" s="2" t="s">
        <v>28</v>
      </c>
      <c r="Q625" s="2" t="s">
        <v>78</v>
      </c>
      <c r="R625" s="2" t="s">
        <v>89</v>
      </c>
      <c r="S625" s="2" t="s">
        <v>90</v>
      </c>
      <c r="T625" s="2" t="s">
        <v>32</v>
      </c>
    </row>
    <row r="626" spans="1:20" ht="12.5" x14ac:dyDescent="0.25">
      <c r="A626" s="2" t="s">
        <v>2301</v>
      </c>
      <c r="B626" s="2" t="s">
        <v>787</v>
      </c>
      <c r="C626" s="2" t="s">
        <v>2302</v>
      </c>
      <c r="D626" s="2" t="s">
        <v>2303</v>
      </c>
      <c r="E626" s="2" t="s">
        <v>55</v>
      </c>
      <c r="F626" s="2" t="s">
        <v>38</v>
      </c>
      <c r="G626" s="5">
        <v>1822</v>
      </c>
      <c r="H626" s="5">
        <v>35</v>
      </c>
      <c r="I626" s="5">
        <v>1185</v>
      </c>
      <c r="J626" s="5">
        <v>2</v>
      </c>
      <c r="K626" s="2">
        <v>42</v>
      </c>
      <c r="L626" s="2" t="s">
        <v>49</v>
      </c>
      <c r="M626" s="4">
        <v>3.8</v>
      </c>
      <c r="N626" s="5">
        <v>55</v>
      </c>
      <c r="O626" s="3">
        <v>45774</v>
      </c>
      <c r="P626" s="2" t="s">
        <v>40</v>
      </c>
      <c r="Q626" s="2" t="s">
        <v>29</v>
      </c>
      <c r="R626" s="2" t="s">
        <v>30</v>
      </c>
      <c r="S626" s="2" t="s">
        <v>31</v>
      </c>
      <c r="T626" s="2" t="s">
        <v>32</v>
      </c>
    </row>
    <row r="627" spans="1:20" ht="12.5" x14ac:dyDescent="0.25">
      <c r="A627" s="2" t="s">
        <v>2304</v>
      </c>
      <c r="B627" s="2" t="s">
        <v>1868</v>
      </c>
      <c r="C627" s="2" t="s">
        <v>2305</v>
      </c>
      <c r="D627" s="2" t="s">
        <v>2306</v>
      </c>
      <c r="E627" s="2" t="s">
        <v>247</v>
      </c>
      <c r="F627" s="2" t="s">
        <v>248</v>
      </c>
      <c r="G627" s="5">
        <v>3949</v>
      </c>
      <c r="H627" s="5">
        <v>35</v>
      </c>
      <c r="I627" s="5">
        <v>2567</v>
      </c>
      <c r="J627" s="5">
        <v>1</v>
      </c>
      <c r="K627" s="2" t="s">
        <v>56</v>
      </c>
      <c r="L627" s="2" t="s">
        <v>73</v>
      </c>
      <c r="M627" s="4">
        <v>3.7</v>
      </c>
      <c r="N627" s="5">
        <v>124</v>
      </c>
      <c r="O627" s="3">
        <v>45809</v>
      </c>
      <c r="P627" s="2" t="s">
        <v>40</v>
      </c>
      <c r="Q627" s="2" t="s">
        <v>29</v>
      </c>
      <c r="R627" s="2" t="s">
        <v>41</v>
      </c>
      <c r="S627" s="2" t="s">
        <v>42</v>
      </c>
      <c r="T627" s="2" t="s">
        <v>134</v>
      </c>
    </row>
    <row r="628" spans="1:20" ht="12.5" x14ac:dyDescent="0.25">
      <c r="A628" s="2" t="s">
        <v>2307</v>
      </c>
      <c r="B628" s="2" t="s">
        <v>2308</v>
      </c>
      <c r="C628" s="2" t="s">
        <v>2309</v>
      </c>
      <c r="D628" s="2" t="s">
        <v>2310</v>
      </c>
      <c r="E628" s="2" t="s">
        <v>24</v>
      </c>
      <c r="F628" s="2" t="s">
        <v>25</v>
      </c>
      <c r="G628" s="5">
        <v>4914</v>
      </c>
      <c r="H628" s="5">
        <v>20</v>
      </c>
      <c r="I628" s="5">
        <v>3932</v>
      </c>
      <c r="J628" s="5">
        <v>3</v>
      </c>
      <c r="K628" s="2" t="s">
        <v>72</v>
      </c>
      <c r="L628" s="2" t="s">
        <v>39</v>
      </c>
      <c r="M628" s="4">
        <v>4.5</v>
      </c>
      <c r="N628" s="5">
        <v>143</v>
      </c>
      <c r="O628" s="3">
        <v>45846</v>
      </c>
      <c r="P628" s="2" t="s">
        <v>57</v>
      </c>
      <c r="Q628" s="2" t="s">
        <v>65</v>
      </c>
      <c r="R628" s="2" t="s">
        <v>83</v>
      </c>
      <c r="S628" s="2" t="s">
        <v>83</v>
      </c>
      <c r="T628" s="2" t="s">
        <v>32</v>
      </c>
    </row>
    <row r="629" spans="1:20" ht="12.5" x14ac:dyDescent="0.25">
      <c r="A629" s="2" t="s">
        <v>2311</v>
      </c>
      <c r="B629" s="2" t="s">
        <v>670</v>
      </c>
      <c r="C629" s="2" t="s">
        <v>2312</v>
      </c>
      <c r="D629" s="2" t="s">
        <v>2313</v>
      </c>
      <c r="E629" s="2" t="s">
        <v>122</v>
      </c>
      <c r="F629" s="2" t="s">
        <v>123</v>
      </c>
      <c r="G629" s="5">
        <v>4395</v>
      </c>
      <c r="H629" s="5">
        <v>40</v>
      </c>
      <c r="I629" s="5">
        <v>2637</v>
      </c>
      <c r="J629" s="5">
        <v>3</v>
      </c>
      <c r="K629" s="2" t="s">
        <v>56</v>
      </c>
      <c r="L629" s="2" t="s">
        <v>64</v>
      </c>
      <c r="M629" s="4">
        <v>3.8</v>
      </c>
      <c r="N629" s="5">
        <v>248</v>
      </c>
      <c r="O629" s="3">
        <v>45804</v>
      </c>
      <c r="P629" s="2" t="s">
        <v>57</v>
      </c>
      <c r="Q629" s="2" t="s">
        <v>65</v>
      </c>
      <c r="R629" s="2" t="s">
        <v>58</v>
      </c>
      <c r="S629" s="2" t="s">
        <v>59</v>
      </c>
      <c r="T629" s="2" t="s">
        <v>32</v>
      </c>
    </row>
    <row r="630" spans="1:20" ht="12.5" x14ac:dyDescent="0.25">
      <c r="A630" s="2" t="s">
        <v>2314</v>
      </c>
      <c r="B630" s="2" t="s">
        <v>2315</v>
      </c>
      <c r="C630" s="2" t="s">
        <v>504</v>
      </c>
      <c r="D630" s="2" t="s">
        <v>2316</v>
      </c>
      <c r="E630" s="2" t="s">
        <v>122</v>
      </c>
      <c r="F630" s="2" t="s">
        <v>123</v>
      </c>
      <c r="G630" s="5">
        <v>1955</v>
      </c>
      <c r="H630" s="5">
        <v>40</v>
      </c>
      <c r="I630" s="5">
        <v>1173</v>
      </c>
      <c r="J630" s="5">
        <v>2</v>
      </c>
      <c r="K630" s="2" t="s">
        <v>226</v>
      </c>
      <c r="L630" s="2" t="s">
        <v>73</v>
      </c>
      <c r="M630" s="4">
        <v>4.8</v>
      </c>
      <c r="N630" s="5">
        <v>76</v>
      </c>
      <c r="O630" s="3">
        <v>45847</v>
      </c>
      <c r="P630" s="2" t="s">
        <v>40</v>
      </c>
      <c r="Q630" s="2" t="s">
        <v>78</v>
      </c>
      <c r="R630" s="2" t="s">
        <v>58</v>
      </c>
      <c r="S630" s="2" t="s">
        <v>59</v>
      </c>
      <c r="T630" s="2" t="s">
        <v>32</v>
      </c>
    </row>
    <row r="631" spans="1:20" ht="12.5" x14ac:dyDescent="0.25">
      <c r="A631" s="2" t="s">
        <v>2317</v>
      </c>
      <c r="B631" s="2" t="s">
        <v>2318</v>
      </c>
      <c r="C631" s="2" t="s">
        <v>2319</v>
      </c>
      <c r="D631" s="2" t="s">
        <v>2320</v>
      </c>
      <c r="E631" s="2" t="s">
        <v>132</v>
      </c>
      <c r="F631" s="2" t="s">
        <v>38</v>
      </c>
      <c r="G631" s="5">
        <v>3063</v>
      </c>
      <c r="H631" s="5">
        <v>40</v>
      </c>
      <c r="I631" s="5">
        <v>1838</v>
      </c>
      <c r="J631" s="5">
        <v>1</v>
      </c>
      <c r="K631" s="2" t="s">
        <v>72</v>
      </c>
      <c r="L631" s="2" t="s">
        <v>39</v>
      </c>
      <c r="M631" s="4">
        <v>3.6</v>
      </c>
      <c r="N631" s="5">
        <v>181</v>
      </c>
      <c r="O631" s="3">
        <v>45802</v>
      </c>
      <c r="P631" s="2" t="s">
        <v>40</v>
      </c>
      <c r="Q631" s="2" t="s">
        <v>78</v>
      </c>
      <c r="R631" s="2" t="s">
        <v>185</v>
      </c>
      <c r="S631" s="2" t="s">
        <v>186</v>
      </c>
      <c r="T631" s="2" t="s">
        <v>50</v>
      </c>
    </row>
    <row r="632" spans="1:20" ht="12.5" x14ac:dyDescent="0.25">
      <c r="A632" s="2" t="s">
        <v>2321</v>
      </c>
      <c r="B632" s="2" t="s">
        <v>2322</v>
      </c>
      <c r="C632" s="2" t="s">
        <v>2323</v>
      </c>
      <c r="D632" s="2" t="s">
        <v>2324</v>
      </c>
      <c r="E632" s="2" t="s">
        <v>132</v>
      </c>
      <c r="F632" s="2" t="s">
        <v>38</v>
      </c>
      <c r="G632" s="5">
        <v>2762</v>
      </c>
      <c r="H632" s="5">
        <v>15</v>
      </c>
      <c r="I632" s="5">
        <v>2348</v>
      </c>
      <c r="J632" s="5">
        <v>1</v>
      </c>
      <c r="K632" s="2">
        <v>40</v>
      </c>
      <c r="L632" s="2" t="s">
        <v>27</v>
      </c>
      <c r="M632" s="4">
        <v>5</v>
      </c>
      <c r="N632" s="5">
        <v>160</v>
      </c>
      <c r="O632" s="3">
        <v>45790</v>
      </c>
      <c r="P632" s="2" t="s">
        <v>40</v>
      </c>
      <c r="Q632" s="2" t="s">
        <v>29</v>
      </c>
      <c r="R632" s="2" t="s">
        <v>83</v>
      </c>
      <c r="S632" s="2" t="s">
        <v>83</v>
      </c>
      <c r="T632" s="2" t="s">
        <v>50</v>
      </c>
    </row>
    <row r="633" spans="1:20" ht="12.5" x14ac:dyDescent="0.25">
      <c r="A633" s="2" t="s">
        <v>2325</v>
      </c>
      <c r="B633" s="2" t="s">
        <v>2326</v>
      </c>
      <c r="C633" s="2" t="s">
        <v>2327</v>
      </c>
      <c r="D633" s="2" t="s">
        <v>2328</v>
      </c>
      <c r="E633" s="2" t="s">
        <v>37</v>
      </c>
      <c r="F633" s="2" t="s">
        <v>38</v>
      </c>
      <c r="G633" s="5">
        <v>4675</v>
      </c>
      <c r="H633" s="5">
        <v>40</v>
      </c>
      <c r="I633" s="5">
        <v>2805</v>
      </c>
      <c r="J633" s="5">
        <v>1</v>
      </c>
      <c r="K633" s="2" t="s">
        <v>226</v>
      </c>
      <c r="L633" s="2" t="s">
        <v>49</v>
      </c>
      <c r="M633" s="4">
        <v>4.0999999999999996</v>
      </c>
      <c r="N633" s="5">
        <v>46</v>
      </c>
      <c r="O633" s="3">
        <v>45828</v>
      </c>
      <c r="P633" s="2" t="s">
        <v>40</v>
      </c>
      <c r="Q633" s="2" t="s">
        <v>78</v>
      </c>
      <c r="R633" s="2" t="s">
        <v>83</v>
      </c>
      <c r="S633" s="2" t="s">
        <v>83</v>
      </c>
      <c r="T633" s="2" t="s">
        <v>43</v>
      </c>
    </row>
    <row r="634" spans="1:20" ht="12.5" x14ac:dyDescent="0.25">
      <c r="A634" s="2" t="s">
        <v>2329</v>
      </c>
      <c r="B634" s="2" t="s">
        <v>2330</v>
      </c>
      <c r="C634" s="2" t="s">
        <v>2331</v>
      </c>
      <c r="D634" s="2" t="s">
        <v>2332</v>
      </c>
      <c r="E634" s="2" t="s">
        <v>24</v>
      </c>
      <c r="F634" s="2" t="s">
        <v>25</v>
      </c>
      <c r="G634" s="5">
        <v>2286</v>
      </c>
      <c r="H634" s="5">
        <v>30</v>
      </c>
      <c r="I634" s="5">
        <v>1601</v>
      </c>
      <c r="J634" s="5">
        <v>3</v>
      </c>
      <c r="K634" s="2" t="s">
        <v>163</v>
      </c>
      <c r="L634" s="2" t="s">
        <v>133</v>
      </c>
      <c r="M634" s="4">
        <v>4.7</v>
      </c>
      <c r="N634" s="5">
        <v>88</v>
      </c>
      <c r="O634" s="3">
        <v>45807</v>
      </c>
      <c r="P634" s="2" t="s">
        <v>28</v>
      </c>
      <c r="Q634" s="2" t="s">
        <v>78</v>
      </c>
      <c r="R634" s="2" t="s">
        <v>41</v>
      </c>
      <c r="S634" s="2" t="s">
        <v>42</v>
      </c>
      <c r="T634" s="2" t="s">
        <v>32</v>
      </c>
    </row>
    <row r="635" spans="1:20" ht="12.5" x14ac:dyDescent="0.25">
      <c r="A635" s="2" t="s">
        <v>2333</v>
      </c>
      <c r="B635" s="2" t="s">
        <v>593</v>
      </c>
      <c r="C635" s="2" t="s">
        <v>2334</v>
      </c>
      <c r="D635" s="2" t="s">
        <v>2335</v>
      </c>
      <c r="E635" s="2" t="s">
        <v>147</v>
      </c>
      <c r="F635" s="2" t="s">
        <v>148</v>
      </c>
      <c r="G635" s="5">
        <v>1822</v>
      </c>
      <c r="H635" s="5">
        <v>40</v>
      </c>
      <c r="I635" s="5">
        <v>1094</v>
      </c>
      <c r="J635" s="5">
        <v>3</v>
      </c>
      <c r="K635" s="2" t="s">
        <v>26</v>
      </c>
      <c r="L635" s="2" t="s">
        <v>27</v>
      </c>
      <c r="M635" s="4">
        <v>4.7</v>
      </c>
      <c r="N635" s="5">
        <v>227</v>
      </c>
      <c r="O635" s="3">
        <v>45817</v>
      </c>
      <c r="P635" s="2" t="s">
        <v>40</v>
      </c>
      <c r="Q635" s="2" t="s">
        <v>65</v>
      </c>
      <c r="R635" s="2" t="s">
        <v>41</v>
      </c>
      <c r="S635" s="2" t="s">
        <v>42</v>
      </c>
      <c r="T635" s="2" t="s">
        <v>43</v>
      </c>
    </row>
    <row r="636" spans="1:20" ht="12.5" x14ac:dyDescent="0.25">
      <c r="A636" s="2" t="s">
        <v>2336</v>
      </c>
      <c r="B636" s="2" t="s">
        <v>464</v>
      </c>
      <c r="C636" s="2" t="s">
        <v>2337</v>
      </c>
      <c r="D636" s="2" t="s">
        <v>2338</v>
      </c>
      <c r="E636" s="2" t="s">
        <v>147</v>
      </c>
      <c r="F636" s="2" t="s">
        <v>148</v>
      </c>
      <c r="G636" s="5">
        <v>1554</v>
      </c>
      <c r="H636" s="5">
        <v>40</v>
      </c>
      <c r="I636" s="5">
        <v>933</v>
      </c>
      <c r="J636" s="5">
        <v>3</v>
      </c>
      <c r="K636" s="2" t="s">
        <v>72</v>
      </c>
      <c r="L636" s="2" t="s">
        <v>103</v>
      </c>
      <c r="M636" s="4">
        <v>4.8</v>
      </c>
      <c r="N636" s="5">
        <v>240</v>
      </c>
      <c r="O636" s="3">
        <v>45802</v>
      </c>
      <c r="P636" s="2" t="s">
        <v>40</v>
      </c>
      <c r="Q636" s="2" t="s">
        <v>29</v>
      </c>
      <c r="R636" s="2" t="s">
        <v>149</v>
      </c>
      <c r="S636" s="2" t="s">
        <v>150</v>
      </c>
      <c r="T636" s="2" t="s">
        <v>134</v>
      </c>
    </row>
    <row r="637" spans="1:20" ht="12.5" x14ac:dyDescent="0.25">
      <c r="A637" s="2" t="s">
        <v>2339</v>
      </c>
      <c r="B637" s="2" t="s">
        <v>1034</v>
      </c>
      <c r="C637" s="2" t="s">
        <v>2340</v>
      </c>
      <c r="D637" s="2" t="s">
        <v>2341</v>
      </c>
      <c r="E637" s="2" t="s">
        <v>48</v>
      </c>
      <c r="F637" s="2" t="s">
        <v>25</v>
      </c>
      <c r="G637" s="5">
        <v>1750</v>
      </c>
      <c r="H637" s="5">
        <v>15</v>
      </c>
      <c r="I637" s="5">
        <v>1488</v>
      </c>
      <c r="J637" s="5">
        <v>1</v>
      </c>
      <c r="K637" s="2">
        <v>44</v>
      </c>
      <c r="L637" s="2" t="s">
        <v>209</v>
      </c>
      <c r="M637" s="4">
        <v>3.7</v>
      </c>
      <c r="N637" s="5">
        <v>247</v>
      </c>
      <c r="O637" s="3">
        <v>45820</v>
      </c>
      <c r="P637" s="2" t="s">
        <v>28</v>
      </c>
      <c r="Q637" s="2" t="s">
        <v>29</v>
      </c>
      <c r="R637" s="2" t="s">
        <v>58</v>
      </c>
      <c r="S637" s="2" t="s">
        <v>59</v>
      </c>
      <c r="T637" s="2" t="s">
        <v>32</v>
      </c>
    </row>
    <row r="638" spans="1:20" ht="12.5" x14ac:dyDescent="0.25">
      <c r="A638" s="2" t="s">
        <v>2342</v>
      </c>
      <c r="B638" s="2" t="s">
        <v>2343</v>
      </c>
      <c r="C638" s="2" t="s">
        <v>2344</v>
      </c>
      <c r="D638" s="2" t="s">
        <v>2345</v>
      </c>
      <c r="E638" s="2" t="s">
        <v>55</v>
      </c>
      <c r="F638" s="2" t="s">
        <v>38</v>
      </c>
      <c r="G638" s="5">
        <v>913</v>
      </c>
      <c r="H638" s="5">
        <v>30</v>
      </c>
      <c r="I638" s="5">
        <v>640</v>
      </c>
      <c r="J638" s="5">
        <v>1</v>
      </c>
      <c r="K638" s="2" t="s">
        <v>32</v>
      </c>
      <c r="L638" s="2" t="s">
        <v>103</v>
      </c>
      <c r="M638" s="4">
        <v>4.5999999999999996</v>
      </c>
      <c r="N638" s="5">
        <v>133</v>
      </c>
      <c r="O638" s="3">
        <v>45829</v>
      </c>
      <c r="P638" s="2" t="s">
        <v>40</v>
      </c>
      <c r="Q638" s="2" t="s">
        <v>78</v>
      </c>
      <c r="R638" s="2" t="s">
        <v>58</v>
      </c>
      <c r="S638" s="2" t="s">
        <v>59</v>
      </c>
      <c r="T638" s="2" t="s">
        <v>203</v>
      </c>
    </row>
    <row r="639" spans="1:20" ht="12.5" x14ac:dyDescent="0.25">
      <c r="A639" s="2" t="s">
        <v>2346</v>
      </c>
      <c r="B639" s="2" t="s">
        <v>1905</v>
      </c>
      <c r="C639" s="2" t="s">
        <v>2347</v>
      </c>
      <c r="D639" s="2" t="s">
        <v>2348</v>
      </c>
      <c r="E639" s="2" t="s">
        <v>247</v>
      </c>
      <c r="F639" s="2" t="s">
        <v>248</v>
      </c>
      <c r="G639" s="5">
        <v>3692</v>
      </c>
      <c r="H639" s="5">
        <v>15</v>
      </c>
      <c r="I639" s="5">
        <v>3139</v>
      </c>
      <c r="J639" s="5">
        <v>1</v>
      </c>
      <c r="K639" s="2" t="s">
        <v>26</v>
      </c>
      <c r="L639" s="2" t="s">
        <v>133</v>
      </c>
      <c r="M639" s="4">
        <v>4.2</v>
      </c>
      <c r="N639" s="5">
        <v>123</v>
      </c>
      <c r="O639" s="3">
        <v>45858</v>
      </c>
      <c r="P639" s="2" t="s">
        <v>57</v>
      </c>
      <c r="Q639" s="2" t="s">
        <v>78</v>
      </c>
      <c r="R639" s="2" t="s">
        <v>149</v>
      </c>
      <c r="S639" s="2" t="s">
        <v>150</v>
      </c>
      <c r="T639" s="2" t="s">
        <v>32</v>
      </c>
    </row>
    <row r="640" spans="1:20" ht="12.5" x14ac:dyDescent="0.25">
      <c r="A640" s="2" t="s">
        <v>2349</v>
      </c>
      <c r="B640" s="2" t="s">
        <v>1269</v>
      </c>
      <c r="C640" s="2" t="s">
        <v>2350</v>
      </c>
      <c r="D640" s="2" t="s">
        <v>2351</v>
      </c>
      <c r="E640" s="2" t="s">
        <v>116</v>
      </c>
      <c r="F640" s="2" t="s">
        <v>117</v>
      </c>
      <c r="G640" s="5">
        <v>4465</v>
      </c>
      <c r="H640" s="5">
        <v>30</v>
      </c>
      <c r="I640" s="5">
        <v>3126</v>
      </c>
      <c r="J640" s="5">
        <v>1</v>
      </c>
      <c r="K640" s="2" t="s">
        <v>32</v>
      </c>
      <c r="L640" s="2" t="s">
        <v>49</v>
      </c>
      <c r="M640" s="4">
        <v>4.9000000000000004</v>
      </c>
      <c r="N640" s="5">
        <v>44</v>
      </c>
      <c r="O640" s="3">
        <v>45819</v>
      </c>
      <c r="P640" s="2" t="s">
        <v>40</v>
      </c>
      <c r="Q640" s="2" t="s">
        <v>29</v>
      </c>
      <c r="R640" s="2" t="s">
        <v>104</v>
      </c>
      <c r="S640" s="2" t="s">
        <v>105</v>
      </c>
      <c r="T640" s="2" t="s">
        <v>203</v>
      </c>
    </row>
    <row r="641" spans="1:20" ht="12.5" x14ac:dyDescent="0.25">
      <c r="A641" s="2" t="s">
        <v>2352</v>
      </c>
      <c r="B641" s="2" t="s">
        <v>2353</v>
      </c>
      <c r="C641" s="2" t="s">
        <v>2354</v>
      </c>
      <c r="D641" s="2" t="s">
        <v>2355</v>
      </c>
      <c r="E641" s="2" t="s">
        <v>37</v>
      </c>
      <c r="F641" s="2" t="s">
        <v>38</v>
      </c>
      <c r="G641" s="5">
        <v>4886</v>
      </c>
      <c r="H641" s="5">
        <v>25</v>
      </c>
      <c r="I641" s="5">
        <v>3665</v>
      </c>
      <c r="J641" s="5">
        <v>2</v>
      </c>
      <c r="K641" s="2" t="s">
        <v>163</v>
      </c>
      <c r="L641" s="2" t="s">
        <v>49</v>
      </c>
      <c r="M641" s="4">
        <v>4.2</v>
      </c>
      <c r="N641" s="5">
        <v>187</v>
      </c>
      <c r="O641" s="3">
        <v>45782</v>
      </c>
      <c r="P641" s="2" t="s">
        <v>28</v>
      </c>
      <c r="Q641" s="2" t="s">
        <v>65</v>
      </c>
      <c r="R641" s="2" t="s">
        <v>83</v>
      </c>
      <c r="S641" s="2" t="s">
        <v>83</v>
      </c>
      <c r="T641" s="2" t="s">
        <v>32</v>
      </c>
    </row>
    <row r="642" spans="1:20" ht="12.5" x14ac:dyDescent="0.25">
      <c r="A642" s="2" t="s">
        <v>2356</v>
      </c>
      <c r="B642" s="2" t="s">
        <v>2357</v>
      </c>
      <c r="C642" s="2" t="s">
        <v>2358</v>
      </c>
      <c r="D642" s="2" t="s">
        <v>2359</v>
      </c>
      <c r="E642" s="2" t="s">
        <v>24</v>
      </c>
      <c r="F642" s="2" t="s">
        <v>25</v>
      </c>
      <c r="G642" s="5">
        <v>3249</v>
      </c>
      <c r="H642" s="5">
        <v>40</v>
      </c>
      <c r="I642" s="5">
        <v>1950</v>
      </c>
      <c r="J642" s="5">
        <v>2</v>
      </c>
      <c r="K642" s="2">
        <v>40</v>
      </c>
      <c r="L642" s="2" t="s">
        <v>133</v>
      </c>
      <c r="M642" s="4">
        <v>3.5</v>
      </c>
      <c r="N642" s="5">
        <v>245</v>
      </c>
      <c r="O642" s="3">
        <v>45825</v>
      </c>
      <c r="P642" s="2" t="s">
        <v>57</v>
      </c>
      <c r="Q642" s="2" t="s">
        <v>65</v>
      </c>
      <c r="R642" s="2" t="s">
        <v>149</v>
      </c>
      <c r="S642" s="2" t="s">
        <v>150</v>
      </c>
      <c r="T642" s="2" t="s">
        <v>32</v>
      </c>
    </row>
    <row r="643" spans="1:20" ht="12.5" x14ac:dyDescent="0.25">
      <c r="A643" s="2" t="s">
        <v>2360</v>
      </c>
      <c r="B643" s="2" t="s">
        <v>448</v>
      </c>
      <c r="C643" s="2" t="s">
        <v>2361</v>
      </c>
      <c r="D643" s="2" t="s">
        <v>2362</v>
      </c>
      <c r="E643" s="2" t="s">
        <v>132</v>
      </c>
      <c r="F643" s="2" t="s">
        <v>38</v>
      </c>
      <c r="G643" s="5">
        <v>2112</v>
      </c>
      <c r="H643" s="5">
        <v>20</v>
      </c>
      <c r="I643" s="5">
        <v>1690</v>
      </c>
      <c r="J643" s="5">
        <v>1</v>
      </c>
      <c r="K643" s="2" t="s">
        <v>72</v>
      </c>
      <c r="L643" s="2" t="s">
        <v>73</v>
      </c>
      <c r="M643" s="4">
        <v>4.3</v>
      </c>
      <c r="N643" s="5">
        <v>295</v>
      </c>
      <c r="O643" s="3">
        <v>45827</v>
      </c>
      <c r="P643" s="2" t="s">
        <v>40</v>
      </c>
      <c r="Q643" s="2" t="s">
        <v>65</v>
      </c>
      <c r="R643" s="2" t="s">
        <v>58</v>
      </c>
      <c r="S643" s="2" t="s">
        <v>59</v>
      </c>
      <c r="T643" s="2" t="s">
        <v>32</v>
      </c>
    </row>
    <row r="644" spans="1:20" ht="12.5" x14ac:dyDescent="0.25">
      <c r="A644" s="2" t="s">
        <v>2363</v>
      </c>
      <c r="B644" s="2" t="s">
        <v>828</v>
      </c>
      <c r="C644" s="2" t="s">
        <v>2364</v>
      </c>
      <c r="D644" s="2" t="s">
        <v>2365</v>
      </c>
      <c r="E644" s="2" t="s">
        <v>48</v>
      </c>
      <c r="F644" s="2" t="s">
        <v>25</v>
      </c>
      <c r="G644" s="5">
        <v>4882</v>
      </c>
      <c r="H644" s="5">
        <v>15</v>
      </c>
      <c r="I644" s="5">
        <v>4150</v>
      </c>
      <c r="J644" s="5">
        <v>1</v>
      </c>
      <c r="K644" s="2" t="s">
        <v>261</v>
      </c>
      <c r="L644" s="2" t="s">
        <v>49</v>
      </c>
      <c r="M644" s="4">
        <v>4.0999999999999996</v>
      </c>
      <c r="N644" s="5">
        <v>10</v>
      </c>
      <c r="O644" s="3">
        <v>45841</v>
      </c>
      <c r="P644" s="2" t="s">
        <v>28</v>
      </c>
      <c r="Q644" s="2" t="s">
        <v>78</v>
      </c>
      <c r="R644" s="2" t="s">
        <v>104</v>
      </c>
      <c r="S644" s="2" t="s">
        <v>105</v>
      </c>
      <c r="T644" s="2" t="s">
        <v>32</v>
      </c>
    </row>
    <row r="645" spans="1:20" ht="12.5" x14ac:dyDescent="0.25">
      <c r="A645" s="2" t="s">
        <v>2366</v>
      </c>
      <c r="B645" s="2" t="s">
        <v>2353</v>
      </c>
      <c r="C645" s="2" t="s">
        <v>2367</v>
      </c>
      <c r="D645" s="2" t="s">
        <v>2368</v>
      </c>
      <c r="E645" s="2" t="s">
        <v>122</v>
      </c>
      <c r="F645" s="2" t="s">
        <v>123</v>
      </c>
      <c r="G645" s="5">
        <v>4153</v>
      </c>
      <c r="H645" s="5">
        <v>35</v>
      </c>
      <c r="I645" s="5">
        <v>2700</v>
      </c>
      <c r="J645" s="5">
        <v>3</v>
      </c>
      <c r="K645" s="2">
        <v>42</v>
      </c>
      <c r="L645" s="2" t="s">
        <v>103</v>
      </c>
      <c r="M645" s="4">
        <v>4.9000000000000004</v>
      </c>
      <c r="N645" s="5">
        <v>196</v>
      </c>
      <c r="O645" s="3">
        <v>45806</v>
      </c>
      <c r="P645" s="2" t="s">
        <v>40</v>
      </c>
      <c r="Q645" s="2" t="s">
        <v>65</v>
      </c>
      <c r="R645" s="2" t="s">
        <v>185</v>
      </c>
      <c r="S645" s="2" t="s">
        <v>186</v>
      </c>
      <c r="T645" s="2" t="s">
        <v>134</v>
      </c>
    </row>
    <row r="646" spans="1:20" ht="12.5" x14ac:dyDescent="0.25">
      <c r="A646" s="2" t="s">
        <v>2369</v>
      </c>
      <c r="B646" s="2" t="s">
        <v>2083</v>
      </c>
      <c r="C646" s="2" t="s">
        <v>2370</v>
      </c>
      <c r="D646" s="2" t="s">
        <v>2371</v>
      </c>
      <c r="E646" s="2" t="s">
        <v>55</v>
      </c>
      <c r="F646" s="2" t="s">
        <v>38</v>
      </c>
      <c r="G646" s="5">
        <v>2656</v>
      </c>
      <c r="H646" s="5">
        <v>35</v>
      </c>
      <c r="I646" s="5">
        <v>1727</v>
      </c>
      <c r="J646" s="5">
        <v>1</v>
      </c>
      <c r="K646" s="2">
        <v>42</v>
      </c>
      <c r="L646" s="2" t="s">
        <v>27</v>
      </c>
      <c r="M646" s="4">
        <v>3.8</v>
      </c>
      <c r="N646" s="5">
        <v>278</v>
      </c>
      <c r="O646" s="3">
        <v>45784</v>
      </c>
      <c r="P646" s="2" t="s">
        <v>40</v>
      </c>
      <c r="Q646" s="2" t="s">
        <v>65</v>
      </c>
      <c r="R646" s="2" t="s">
        <v>66</v>
      </c>
      <c r="S646" s="2" t="s">
        <v>67</v>
      </c>
      <c r="T646" s="2" t="s">
        <v>43</v>
      </c>
    </row>
    <row r="647" spans="1:20" ht="12.5" x14ac:dyDescent="0.25">
      <c r="A647" s="2" t="s">
        <v>2372</v>
      </c>
      <c r="B647" s="2" t="s">
        <v>2373</v>
      </c>
      <c r="C647" s="2" t="s">
        <v>2374</v>
      </c>
      <c r="D647" s="2" t="s">
        <v>2375</v>
      </c>
      <c r="E647" s="2" t="s">
        <v>48</v>
      </c>
      <c r="F647" s="2" t="s">
        <v>25</v>
      </c>
      <c r="G647" s="5">
        <v>2398</v>
      </c>
      <c r="H647" s="5">
        <v>35</v>
      </c>
      <c r="I647" s="5">
        <v>1559</v>
      </c>
      <c r="J647" s="5">
        <v>2</v>
      </c>
      <c r="K647" s="2">
        <v>44</v>
      </c>
      <c r="L647" s="2" t="s">
        <v>103</v>
      </c>
      <c r="M647" s="4">
        <v>3.9</v>
      </c>
      <c r="N647" s="5">
        <v>215</v>
      </c>
      <c r="O647" s="3">
        <v>45844</v>
      </c>
      <c r="P647" s="2" t="s">
        <v>40</v>
      </c>
      <c r="Q647" s="2" t="s">
        <v>65</v>
      </c>
      <c r="R647" s="2" t="s">
        <v>30</v>
      </c>
      <c r="S647" s="2" t="s">
        <v>31</v>
      </c>
      <c r="T647" s="2" t="s">
        <v>50</v>
      </c>
    </row>
    <row r="648" spans="1:20" ht="12.5" x14ac:dyDescent="0.25">
      <c r="A648" s="2" t="s">
        <v>2376</v>
      </c>
      <c r="B648" s="2" t="s">
        <v>2377</v>
      </c>
      <c r="C648" s="2" t="s">
        <v>2378</v>
      </c>
      <c r="D648" s="2" t="s">
        <v>2379</v>
      </c>
      <c r="E648" s="2" t="s">
        <v>208</v>
      </c>
      <c r="F648" s="2" t="s">
        <v>117</v>
      </c>
      <c r="G648" s="5">
        <v>2430</v>
      </c>
      <c r="H648" s="5">
        <v>20</v>
      </c>
      <c r="I648" s="5">
        <v>1944</v>
      </c>
      <c r="J648" s="5">
        <v>1</v>
      </c>
      <c r="K648" s="2">
        <v>44</v>
      </c>
      <c r="L648" s="2" t="s">
        <v>49</v>
      </c>
      <c r="M648" s="4">
        <v>3.8</v>
      </c>
      <c r="N648" s="5">
        <v>147</v>
      </c>
      <c r="O648" s="3">
        <v>45816</v>
      </c>
      <c r="P648" s="2" t="s">
        <v>28</v>
      </c>
      <c r="Q648" s="2" t="s">
        <v>29</v>
      </c>
      <c r="R648" s="2" t="s">
        <v>58</v>
      </c>
      <c r="S648" s="2" t="s">
        <v>59</v>
      </c>
      <c r="T648" s="2" t="s">
        <v>32</v>
      </c>
    </row>
    <row r="649" spans="1:20" ht="12.5" x14ac:dyDescent="0.25">
      <c r="A649" s="2" t="s">
        <v>2380</v>
      </c>
      <c r="B649" s="2" t="s">
        <v>1050</v>
      </c>
      <c r="C649" s="2" t="s">
        <v>2381</v>
      </c>
      <c r="D649" s="2" t="s">
        <v>2382</v>
      </c>
      <c r="E649" s="2" t="s">
        <v>208</v>
      </c>
      <c r="F649" s="2" t="s">
        <v>117</v>
      </c>
      <c r="G649" s="5">
        <v>4272</v>
      </c>
      <c r="H649" s="5">
        <v>40</v>
      </c>
      <c r="I649" s="5">
        <v>2564</v>
      </c>
      <c r="J649" s="5">
        <v>2</v>
      </c>
      <c r="K649" s="2" t="s">
        <v>163</v>
      </c>
      <c r="L649" s="2" t="s">
        <v>49</v>
      </c>
      <c r="M649" s="4">
        <v>4</v>
      </c>
      <c r="N649" s="5">
        <v>86</v>
      </c>
      <c r="O649" s="3">
        <v>45840</v>
      </c>
      <c r="P649" s="2" t="s">
        <v>57</v>
      </c>
      <c r="Q649" s="2" t="s">
        <v>65</v>
      </c>
      <c r="R649" s="2" t="s">
        <v>41</v>
      </c>
      <c r="S649" s="2" t="s">
        <v>42</v>
      </c>
      <c r="T649" s="2" t="s">
        <v>32</v>
      </c>
    </row>
    <row r="650" spans="1:20" ht="12.5" x14ac:dyDescent="0.25">
      <c r="A650" s="2" t="s">
        <v>2383</v>
      </c>
      <c r="B650" s="2" t="s">
        <v>2259</v>
      </c>
      <c r="C650" s="2" t="s">
        <v>2384</v>
      </c>
      <c r="D650" s="2" t="s">
        <v>2385</v>
      </c>
      <c r="E650" s="2" t="s">
        <v>147</v>
      </c>
      <c r="F650" s="2" t="s">
        <v>148</v>
      </c>
      <c r="G650" s="5">
        <v>1668</v>
      </c>
      <c r="H650" s="5">
        <v>25</v>
      </c>
      <c r="I650" s="5">
        <v>1251</v>
      </c>
      <c r="J650" s="5">
        <v>1</v>
      </c>
      <c r="K650" s="2">
        <v>40</v>
      </c>
      <c r="L650" s="2" t="s">
        <v>133</v>
      </c>
      <c r="M650" s="4">
        <v>3.9</v>
      </c>
      <c r="N650" s="5">
        <v>246</v>
      </c>
      <c r="O650" s="3">
        <v>45819</v>
      </c>
      <c r="P650" s="2" t="s">
        <v>28</v>
      </c>
      <c r="Q650" s="2" t="s">
        <v>65</v>
      </c>
      <c r="R650" s="2" t="s">
        <v>110</v>
      </c>
      <c r="S650" s="2" t="s">
        <v>111</v>
      </c>
      <c r="T650" s="2" t="s">
        <v>32</v>
      </c>
    </row>
    <row r="651" spans="1:20" ht="12.5" x14ac:dyDescent="0.25">
      <c r="A651" s="2" t="s">
        <v>2386</v>
      </c>
      <c r="B651" s="2" t="s">
        <v>2387</v>
      </c>
      <c r="C651" s="2" t="s">
        <v>2388</v>
      </c>
      <c r="D651" s="2" t="s">
        <v>2389</v>
      </c>
      <c r="E651" s="2" t="s">
        <v>24</v>
      </c>
      <c r="F651" s="2" t="s">
        <v>25</v>
      </c>
      <c r="G651" s="5">
        <v>4632</v>
      </c>
      <c r="H651" s="5">
        <v>25</v>
      </c>
      <c r="I651" s="5">
        <v>3474</v>
      </c>
      <c r="J651" s="5">
        <v>1</v>
      </c>
      <c r="K651" s="2" t="s">
        <v>26</v>
      </c>
      <c r="L651" s="2" t="s">
        <v>73</v>
      </c>
      <c r="M651" s="4">
        <v>3.9</v>
      </c>
      <c r="N651" s="5">
        <v>268</v>
      </c>
      <c r="O651" s="3">
        <v>45803</v>
      </c>
      <c r="P651" s="2" t="s">
        <v>57</v>
      </c>
      <c r="Q651" s="2" t="s">
        <v>65</v>
      </c>
      <c r="R651" s="2" t="s">
        <v>185</v>
      </c>
      <c r="S651" s="2" t="s">
        <v>186</v>
      </c>
      <c r="T651" s="2" t="s">
        <v>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613A5-079A-42BC-BE1F-1E483A23DF4D}">
  <sheetPr codeName="Sheet2">
    <outlinePr summaryBelow="0" summaryRight="0"/>
  </sheetPr>
  <dimension ref="A1:Z651"/>
  <sheetViews>
    <sheetView topLeftCell="E1" workbookViewId="0">
      <selection activeCell="U3" sqref="U3"/>
    </sheetView>
  </sheetViews>
  <sheetFormatPr defaultColWidth="12.6328125" defaultRowHeight="15.75" customHeight="1" x14ac:dyDescent="0.25"/>
  <cols>
    <col min="4" max="4" width="34.54296875" bestFit="1" customWidth="1"/>
    <col min="5" max="5" width="15.81640625" bestFit="1" customWidth="1"/>
    <col min="6" max="6" width="13.54296875" bestFit="1" customWidth="1"/>
    <col min="17" max="17" width="15.81640625" bestFit="1" customWidth="1"/>
    <col min="19" max="19" width="14.453125" bestFit="1" customWidth="1"/>
    <col min="20" max="20" width="14.1796875" bestFit="1" customWidth="1"/>
  </cols>
  <sheetData>
    <row r="1" spans="1:2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/>
      <c r="V1" s="1"/>
      <c r="W1" s="1"/>
      <c r="X1" s="1"/>
      <c r="Y1" s="1"/>
      <c r="Z1" s="1"/>
    </row>
    <row r="2" spans="1:26" ht="15.75" customHeight="1" x14ac:dyDescent="0.25">
      <c r="A2" s="2" t="s">
        <v>20</v>
      </c>
      <c r="B2" s="2" t="s">
        <v>21</v>
      </c>
      <c r="C2" s="2" t="s">
        <v>22</v>
      </c>
      <c r="D2" s="2" t="s">
        <v>23</v>
      </c>
      <c r="E2" s="2" t="s">
        <v>24</v>
      </c>
      <c r="F2" s="2" t="s">
        <v>25</v>
      </c>
      <c r="G2" s="5">
        <v>1154</v>
      </c>
      <c r="H2" s="5">
        <v>40</v>
      </c>
      <c r="I2" s="5">
        <v>693</v>
      </c>
      <c r="J2" s="5">
        <v>2</v>
      </c>
      <c r="K2" s="2" t="s">
        <v>26</v>
      </c>
      <c r="L2" s="2" t="s">
        <v>27</v>
      </c>
      <c r="M2" s="4">
        <v>5</v>
      </c>
      <c r="N2" s="5">
        <v>91</v>
      </c>
      <c r="O2" s="3">
        <v>45788</v>
      </c>
      <c r="P2" s="2" t="s">
        <v>2390</v>
      </c>
      <c r="Q2" s="2" t="s">
        <v>29</v>
      </c>
      <c r="R2" s="2" t="s">
        <v>30</v>
      </c>
      <c r="S2" s="2" t="s">
        <v>31</v>
      </c>
      <c r="T2" s="2"/>
    </row>
    <row r="3" spans="1:26" ht="15.75" customHeight="1" x14ac:dyDescent="0.25">
      <c r="A3" s="2" t="s">
        <v>33</v>
      </c>
      <c r="B3" s="2" t="s">
        <v>34</v>
      </c>
      <c r="C3" s="2" t="s">
        <v>35</v>
      </c>
      <c r="D3" s="2" t="s">
        <v>36</v>
      </c>
      <c r="E3" s="2" t="s">
        <v>37</v>
      </c>
      <c r="F3" s="2" t="s">
        <v>38</v>
      </c>
      <c r="G3" s="5">
        <v>629</v>
      </c>
      <c r="H3" s="5">
        <v>40</v>
      </c>
      <c r="I3" s="5">
        <v>378</v>
      </c>
      <c r="J3" s="5">
        <v>1</v>
      </c>
      <c r="K3" s="2">
        <v>42</v>
      </c>
      <c r="L3" s="2" t="s">
        <v>39</v>
      </c>
      <c r="M3" s="4">
        <v>5</v>
      </c>
      <c r="N3" s="5">
        <v>166</v>
      </c>
      <c r="O3" s="3">
        <v>45789</v>
      </c>
      <c r="P3" s="2" t="s">
        <v>2391</v>
      </c>
      <c r="Q3" s="2" t="s">
        <v>29</v>
      </c>
      <c r="R3" s="2" t="s">
        <v>41</v>
      </c>
      <c r="S3" s="2" t="s">
        <v>42</v>
      </c>
      <c r="T3" s="2" t="s">
        <v>43</v>
      </c>
    </row>
    <row r="4" spans="1:26" ht="15.75" customHeight="1" x14ac:dyDescent="0.25">
      <c r="A4" s="2" t="s">
        <v>44</v>
      </c>
      <c r="B4" s="2" t="s">
        <v>45</v>
      </c>
      <c r="C4" s="2" t="s">
        <v>46</v>
      </c>
      <c r="D4" s="2" t="s">
        <v>47</v>
      </c>
      <c r="E4" s="2" t="s">
        <v>48</v>
      </c>
      <c r="F4" s="2" t="s">
        <v>25</v>
      </c>
      <c r="G4" s="5">
        <v>4659</v>
      </c>
      <c r="H4" s="5">
        <v>20</v>
      </c>
      <c r="I4" s="5">
        <v>3728</v>
      </c>
      <c r="J4" s="5">
        <v>3</v>
      </c>
      <c r="K4" s="2" t="s">
        <v>26</v>
      </c>
      <c r="L4" s="2" t="s">
        <v>49</v>
      </c>
      <c r="M4" s="4">
        <v>4.2</v>
      </c>
      <c r="N4" s="5">
        <v>76</v>
      </c>
      <c r="O4" s="3">
        <v>45821</v>
      </c>
      <c r="P4" s="2" t="s">
        <v>2391</v>
      </c>
      <c r="Q4" s="2" t="s">
        <v>29</v>
      </c>
      <c r="R4" s="2" t="s">
        <v>30</v>
      </c>
      <c r="S4" s="2" t="s">
        <v>31</v>
      </c>
      <c r="T4" s="2" t="s">
        <v>50</v>
      </c>
    </row>
    <row r="5" spans="1:26" ht="15.75" customHeight="1" x14ac:dyDescent="0.25">
      <c r="A5" s="2" t="s">
        <v>51</v>
      </c>
      <c r="B5" s="2" t="s">
        <v>52</v>
      </c>
      <c r="C5" s="2" t="s">
        <v>53</v>
      </c>
      <c r="D5" s="2" t="s">
        <v>54</v>
      </c>
      <c r="E5" s="2" t="s">
        <v>55</v>
      </c>
      <c r="F5" s="2" t="s">
        <v>38</v>
      </c>
      <c r="G5" s="5">
        <v>957</v>
      </c>
      <c r="H5" s="5">
        <v>20</v>
      </c>
      <c r="I5" s="5">
        <v>766</v>
      </c>
      <c r="J5" s="5">
        <v>3</v>
      </c>
      <c r="K5" s="2" t="s">
        <v>56</v>
      </c>
      <c r="L5" s="2" t="s">
        <v>27</v>
      </c>
      <c r="M5" s="4">
        <v>4.9000000000000004</v>
      </c>
      <c r="N5" s="5">
        <v>118</v>
      </c>
      <c r="O5" s="3">
        <v>45788</v>
      </c>
      <c r="P5" s="2" t="s">
        <v>2392</v>
      </c>
      <c r="Q5" s="2" t="s">
        <v>29</v>
      </c>
      <c r="R5" s="2" t="s">
        <v>58</v>
      </c>
      <c r="S5" s="2" t="s">
        <v>59</v>
      </c>
      <c r="T5" s="2"/>
    </row>
    <row r="6" spans="1:26" ht="15.75" customHeight="1" x14ac:dyDescent="0.25">
      <c r="A6" s="2" t="s">
        <v>60</v>
      </c>
      <c r="B6" s="2" t="s">
        <v>61</v>
      </c>
      <c r="C6" s="2" t="s">
        <v>62</v>
      </c>
      <c r="D6" s="2" t="s">
        <v>63</v>
      </c>
      <c r="E6" s="2" t="s">
        <v>24</v>
      </c>
      <c r="F6" s="2" t="s">
        <v>25</v>
      </c>
      <c r="G6" s="5">
        <v>2453</v>
      </c>
      <c r="H6" s="5">
        <v>10</v>
      </c>
      <c r="I6" s="5">
        <v>2208</v>
      </c>
      <c r="J6" s="5">
        <v>1</v>
      </c>
      <c r="K6" s="2">
        <v>40</v>
      </c>
      <c r="L6" s="2" t="s">
        <v>64</v>
      </c>
      <c r="M6" s="4">
        <v>3.7</v>
      </c>
      <c r="N6" s="5">
        <v>144</v>
      </c>
      <c r="O6" s="3">
        <v>45772</v>
      </c>
      <c r="P6" s="2" t="s">
        <v>2390</v>
      </c>
      <c r="Q6" s="2" t="s">
        <v>65</v>
      </c>
      <c r="R6" s="2" t="s">
        <v>66</v>
      </c>
      <c r="S6" s="2" t="s">
        <v>67</v>
      </c>
      <c r="T6" s="2"/>
    </row>
    <row r="7" spans="1:26" ht="15.75" customHeight="1" x14ac:dyDescent="0.25">
      <c r="A7" s="2" t="s">
        <v>68</v>
      </c>
      <c r="B7" s="2" t="s">
        <v>69</v>
      </c>
      <c r="C7" s="2" t="s">
        <v>70</v>
      </c>
      <c r="D7" s="2" t="s">
        <v>71</v>
      </c>
      <c r="E7" s="2" t="s">
        <v>55</v>
      </c>
      <c r="F7" s="2" t="s">
        <v>38</v>
      </c>
      <c r="G7" s="5">
        <v>4020</v>
      </c>
      <c r="H7" s="5">
        <v>35</v>
      </c>
      <c r="I7" s="5">
        <v>2613</v>
      </c>
      <c r="J7" s="5">
        <v>2</v>
      </c>
      <c r="K7" s="2" t="s">
        <v>72</v>
      </c>
      <c r="L7" s="2" t="s">
        <v>73</v>
      </c>
      <c r="M7" s="4">
        <v>4.8</v>
      </c>
      <c r="N7" s="5">
        <v>175</v>
      </c>
      <c r="O7" s="3">
        <v>45825</v>
      </c>
      <c r="P7" s="2" t="s">
        <v>2392</v>
      </c>
      <c r="Q7" s="2" t="s">
        <v>29</v>
      </c>
      <c r="R7" s="2" t="s">
        <v>66</v>
      </c>
      <c r="S7" s="2" t="s">
        <v>67</v>
      </c>
      <c r="T7" s="2"/>
    </row>
    <row r="8" spans="1:26" ht="15.75" customHeight="1" x14ac:dyDescent="0.25">
      <c r="A8" s="2" t="s">
        <v>74</v>
      </c>
      <c r="B8" s="2" t="s">
        <v>75</v>
      </c>
      <c r="C8" s="2" t="s">
        <v>76</v>
      </c>
      <c r="D8" s="2" t="s">
        <v>77</v>
      </c>
      <c r="E8" s="2" t="s">
        <v>48</v>
      </c>
      <c r="F8" s="2" t="s">
        <v>25</v>
      </c>
      <c r="G8" s="5">
        <v>3415</v>
      </c>
      <c r="H8" s="5">
        <v>20</v>
      </c>
      <c r="I8" s="5">
        <v>2732</v>
      </c>
      <c r="J8" s="5">
        <v>2</v>
      </c>
      <c r="K8" s="2" t="s">
        <v>56</v>
      </c>
      <c r="L8" s="2" t="s">
        <v>64</v>
      </c>
      <c r="M8" s="4">
        <v>4.2</v>
      </c>
      <c r="N8" s="5">
        <v>113</v>
      </c>
      <c r="O8" s="3">
        <v>45772</v>
      </c>
      <c r="P8" s="2" t="s">
        <v>2392</v>
      </c>
      <c r="Q8" s="2" t="s">
        <v>78</v>
      </c>
      <c r="R8" s="2" t="s">
        <v>41</v>
      </c>
      <c r="S8" s="2" t="s">
        <v>42</v>
      </c>
      <c r="T8" s="2"/>
    </row>
    <row r="9" spans="1:26" ht="15.75" customHeight="1" x14ac:dyDescent="0.25">
      <c r="A9" s="2" t="s">
        <v>79</v>
      </c>
      <c r="B9" s="2" t="s">
        <v>80</v>
      </c>
      <c r="C9" s="2" t="s">
        <v>81</v>
      </c>
      <c r="D9" s="2" t="s">
        <v>82</v>
      </c>
      <c r="E9" s="2" t="s">
        <v>37</v>
      </c>
      <c r="F9" s="2" t="s">
        <v>38</v>
      </c>
      <c r="G9" s="5">
        <v>1089</v>
      </c>
      <c r="H9" s="5">
        <v>15</v>
      </c>
      <c r="I9" s="5">
        <v>926</v>
      </c>
      <c r="J9" s="5">
        <v>3</v>
      </c>
      <c r="K9" s="2">
        <v>44</v>
      </c>
      <c r="L9" s="2" t="s">
        <v>39</v>
      </c>
      <c r="M9" s="4">
        <v>4.8</v>
      </c>
      <c r="N9" s="5">
        <v>48</v>
      </c>
      <c r="O9" s="3">
        <v>45845</v>
      </c>
      <c r="P9" s="2" t="s">
        <v>2390</v>
      </c>
      <c r="Q9" s="2" t="s">
        <v>65</v>
      </c>
      <c r="R9" s="2" t="s">
        <v>83</v>
      </c>
      <c r="S9" s="2" t="s">
        <v>83</v>
      </c>
      <c r="T9" s="2"/>
    </row>
    <row r="10" spans="1:26" ht="15.75" customHeight="1" x14ac:dyDescent="0.25">
      <c r="A10" s="2" t="s">
        <v>84</v>
      </c>
      <c r="B10" s="2" t="s">
        <v>85</v>
      </c>
      <c r="C10" s="2" t="s">
        <v>86</v>
      </c>
      <c r="D10" s="2" t="s">
        <v>87</v>
      </c>
      <c r="E10" s="2" t="s">
        <v>55</v>
      </c>
      <c r="F10" s="2" t="s">
        <v>38</v>
      </c>
      <c r="G10" s="5">
        <v>1150</v>
      </c>
      <c r="H10" s="5">
        <v>25</v>
      </c>
      <c r="I10" s="5">
        <v>863</v>
      </c>
      <c r="J10" s="5">
        <v>2</v>
      </c>
      <c r="K10" s="2" t="s">
        <v>72</v>
      </c>
      <c r="L10" s="2" t="s">
        <v>88</v>
      </c>
      <c r="M10" s="4">
        <v>4.3</v>
      </c>
      <c r="N10" s="5">
        <v>229</v>
      </c>
      <c r="O10" s="3">
        <v>45814</v>
      </c>
      <c r="P10" s="2" t="s">
        <v>2391</v>
      </c>
      <c r="Q10" s="2" t="s">
        <v>29</v>
      </c>
      <c r="R10" s="2" t="s">
        <v>89</v>
      </c>
      <c r="S10" s="2" t="s">
        <v>90</v>
      </c>
      <c r="T10" s="2" t="s">
        <v>43</v>
      </c>
    </row>
    <row r="11" spans="1:26" ht="15.75" customHeight="1" x14ac:dyDescent="0.25">
      <c r="A11" s="2" t="s">
        <v>91</v>
      </c>
      <c r="B11" s="2" t="s">
        <v>92</v>
      </c>
      <c r="C11" s="2" t="s">
        <v>93</v>
      </c>
      <c r="D11" s="2" t="s">
        <v>94</v>
      </c>
      <c r="E11" s="2" t="s">
        <v>48</v>
      </c>
      <c r="F11" s="2" t="s">
        <v>25</v>
      </c>
      <c r="G11" s="5">
        <v>3458</v>
      </c>
      <c r="H11" s="5">
        <v>35</v>
      </c>
      <c r="I11" s="5">
        <v>2248</v>
      </c>
      <c r="J11" s="5">
        <v>3</v>
      </c>
      <c r="K11" s="2">
        <v>40</v>
      </c>
      <c r="L11" s="2" t="s">
        <v>88</v>
      </c>
      <c r="M11" s="4">
        <v>4.9000000000000004</v>
      </c>
      <c r="N11" s="5">
        <v>297</v>
      </c>
      <c r="O11" s="3">
        <v>45781</v>
      </c>
      <c r="P11" s="2" t="s">
        <v>2392</v>
      </c>
      <c r="Q11" s="2" t="s">
        <v>78</v>
      </c>
      <c r="R11" s="2" t="s">
        <v>30</v>
      </c>
      <c r="S11" s="2" t="s">
        <v>31</v>
      </c>
      <c r="T11" s="2"/>
    </row>
    <row r="12" spans="1:26" ht="15.75" customHeight="1" x14ac:dyDescent="0.25">
      <c r="A12" s="2" t="s">
        <v>95</v>
      </c>
      <c r="B12" s="2" t="s">
        <v>96</v>
      </c>
      <c r="C12" s="2" t="s">
        <v>97</v>
      </c>
      <c r="D12" s="2" t="s">
        <v>98</v>
      </c>
      <c r="E12" s="2" t="s">
        <v>55</v>
      </c>
      <c r="F12" s="2" t="s">
        <v>38</v>
      </c>
      <c r="G12" s="5">
        <v>3389</v>
      </c>
      <c r="H12" s="5">
        <v>35</v>
      </c>
      <c r="I12" s="5">
        <v>2203</v>
      </c>
      <c r="J12" s="5">
        <v>2</v>
      </c>
      <c r="K12" s="2" t="s">
        <v>72</v>
      </c>
      <c r="L12" s="2" t="s">
        <v>27</v>
      </c>
      <c r="M12" s="4">
        <v>3.8</v>
      </c>
      <c r="N12" s="5">
        <v>83</v>
      </c>
      <c r="O12" s="3">
        <v>45796</v>
      </c>
      <c r="P12" s="2" t="s">
        <v>2391</v>
      </c>
      <c r="Q12" s="2" t="s">
        <v>29</v>
      </c>
      <c r="R12" s="2" t="s">
        <v>58</v>
      </c>
      <c r="S12" s="2" t="s">
        <v>59</v>
      </c>
      <c r="T12" s="2" t="s">
        <v>43</v>
      </c>
    </row>
    <row r="13" spans="1:26" ht="15.75" customHeight="1" x14ac:dyDescent="0.25">
      <c r="A13" s="2" t="s">
        <v>99</v>
      </c>
      <c r="B13" s="2" t="s">
        <v>100</v>
      </c>
      <c r="C13" s="2" t="s">
        <v>101</v>
      </c>
      <c r="D13" s="2" t="s">
        <v>102</v>
      </c>
      <c r="E13" s="2" t="s">
        <v>24</v>
      </c>
      <c r="F13" s="2" t="s">
        <v>25</v>
      </c>
      <c r="G13" s="5">
        <v>4446</v>
      </c>
      <c r="H13" s="5">
        <v>10</v>
      </c>
      <c r="I13" s="5">
        <v>4002</v>
      </c>
      <c r="J13" s="5">
        <v>1</v>
      </c>
      <c r="K13" s="2" t="s">
        <v>26</v>
      </c>
      <c r="L13" s="2" t="s">
        <v>103</v>
      </c>
      <c r="M13" s="4">
        <v>4</v>
      </c>
      <c r="N13" s="5">
        <v>178</v>
      </c>
      <c r="O13" s="3">
        <v>45815</v>
      </c>
      <c r="P13" s="2" t="s">
        <v>2392</v>
      </c>
      <c r="Q13" s="2" t="s">
        <v>29</v>
      </c>
      <c r="R13" s="2" t="s">
        <v>104</v>
      </c>
      <c r="S13" s="2" t="s">
        <v>105</v>
      </c>
      <c r="T13" s="2"/>
    </row>
    <row r="14" spans="1:26" ht="15.75" customHeight="1" x14ac:dyDescent="0.25">
      <c r="A14" s="2" t="s">
        <v>106</v>
      </c>
      <c r="B14" s="2" t="s">
        <v>107</v>
      </c>
      <c r="C14" s="2" t="s">
        <v>108</v>
      </c>
      <c r="D14" s="2" t="s">
        <v>109</v>
      </c>
      <c r="E14" s="2" t="s">
        <v>55</v>
      </c>
      <c r="F14" s="2" t="s">
        <v>38</v>
      </c>
      <c r="G14" s="5">
        <v>4024</v>
      </c>
      <c r="H14" s="5">
        <v>25</v>
      </c>
      <c r="I14" s="5">
        <v>3018</v>
      </c>
      <c r="J14" s="5">
        <v>3</v>
      </c>
      <c r="K14" s="2" t="s">
        <v>72</v>
      </c>
      <c r="L14" s="2" t="s">
        <v>49</v>
      </c>
      <c r="M14" s="4">
        <v>4.8</v>
      </c>
      <c r="N14" s="5">
        <v>111</v>
      </c>
      <c r="O14" s="3">
        <v>45823</v>
      </c>
      <c r="P14" s="2" t="s">
        <v>2390</v>
      </c>
      <c r="Q14" s="2" t="s">
        <v>65</v>
      </c>
      <c r="R14" s="2" t="s">
        <v>110</v>
      </c>
      <c r="S14" s="2" t="s">
        <v>111</v>
      </c>
      <c r="T14" s="2"/>
    </row>
    <row r="15" spans="1:26" ht="15.75" customHeight="1" x14ac:dyDescent="0.25">
      <c r="A15" s="2" t="s">
        <v>112</v>
      </c>
      <c r="B15" s="2" t="s">
        <v>113</v>
      </c>
      <c r="C15" s="2" t="s">
        <v>114</v>
      </c>
      <c r="D15" s="2" t="s">
        <v>115</v>
      </c>
      <c r="E15" s="2" t="s">
        <v>116</v>
      </c>
      <c r="F15" s="2" t="s">
        <v>117</v>
      </c>
      <c r="G15" s="5">
        <v>4129</v>
      </c>
      <c r="H15" s="5">
        <v>40</v>
      </c>
      <c r="I15" s="5">
        <v>2478</v>
      </c>
      <c r="J15" s="5">
        <v>1</v>
      </c>
      <c r="K15" s="2" t="s">
        <v>26</v>
      </c>
      <c r="L15" s="2" t="s">
        <v>88</v>
      </c>
      <c r="M15" s="4">
        <v>4.0999999999999996</v>
      </c>
      <c r="N15" s="5">
        <v>34</v>
      </c>
      <c r="O15" s="3">
        <v>45810</v>
      </c>
      <c r="P15" s="2" t="s">
        <v>2390</v>
      </c>
      <c r="Q15" s="2" t="s">
        <v>65</v>
      </c>
      <c r="R15" s="2" t="s">
        <v>41</v>
      </c>
      <c r="S15" s="2" t="s">
        <v>42</v>
      </c>
      <c r="T15" s="2"/>
    </row>
    <row r="16" spans="1:26" ht="15.75" customHeight="1" x14ac:dyDescent="0.25">
      <c r="A16" s="2" t="s">
        <v>118</v>
      </c>
      <c r="B16" s="2" t="s">
        <v>119</v>
      </c>
      <c r="C16" s="2" t="s">
        <v>120</v>
      </c>
      <c r="D16" s="2" t="s">
        <v>121</v>
      </c>
      <c r="E16" s="2" t="s">
        <v>122</v>
      </c>
      <c r="F16" s="2" t="s">
        <v>123</v>
      </c>
      <c r="G16" s="5">
        <v>4507</v>
      </c>
      <c r="H16" s="5">
        <v>15</v>
      </c>
      <c r="I16" s="5">
        <v>3831</v>
      </c>
      <c r="J16" s="5">
        <v>3</v>
      </c>
      <c r="K16" s="2" t="s">
        <v>26</v>
      </c>
      <c r="L16" s="2" t="s">
        <v>49</v>
      </c>
      <c r="M16" s="4">
        <v>3.5</v>
      </c>
      <c r="N16" s="5">
        <v>283</v>
      </c>
      <c r="O16" s="3">
        <v>45855</v>
      </c>
      <c r="P16" s="2" t="s">
        <v>2392</v>
      </c>
      <c r="Q16" s="2" t="s">
        <v>65</v>
      </c>
      <c r="R16" s="2" t="s">
        <v>66</v>
      </c>
      <c r="S16" s="2" t="s">
        <v>67</v>
      </c>
      <c r="T16" s="2"/>
    </row>
    <row r="17" spans="1:20" ht="15.75" customHeight="1" x14ac:dyDescent="0.25">
      <c r="A17" s="2" t="s">
        <v>124</v>
      </c>
      <c r="B17" s="2" t="s">
        <v>125</v>
      </c>
      <c r="C17" s="2" t="s">
        <v>126</v>
      </c>
      <c r="D17" s="2" t="s">
        <v>127</v>
      </c>
      <c r="E17" s="2" t="s">
        <v>37</v>
      </c>
      <c r="F17" s="2" t="s">
        <v>38</v>
      </c>
      <c r="G17" s="5">
        <v>1783</v>
      </c>
      <c r="H17" s="5">
        <v>35</v>
      </c>
      <c r="I17" s="5">
        <v>1159</v>
      </c>
      <c r="J17" s="5">
        <v>3</v>
      </c>
      <c r="K17" s="2" t="s">
        <v>26</v>
      </c>
      <c r="L17" s="2" t="s">
        <v>88</v>
      </c>
      <c r="M17" s="4">
        <v>3.9</v>
      </c>
      <c r="N17" s="5">
        <v>276</v>
      </c>
      <c r="O17" s="3">
        <v>45786</v>
      </c>
      <c r="P17" s="2" t="s">
        <v>2392</v>
      </c>
      <c r="Q17" s="2" t="s">
        <v>29</v>
      </c>
      <c r="R17" s="2" t="s">
        <v>104</v>
      </c>
      <c r="S17" s="2" t="s">
        <v>105</v>
      </c>
      <c r="T17" s="2"/>
    </row>
    <row r="18" spans="1:20" ht="15.75" customHeight="1" x14ac:dyDescent="0.25">
      <c r="A18" s="2" t="s">
        <v>128</v>
      </c>
      <c r="B18" s="2" t="s">
        <v>129</v>
      </c>
      <c r="C18" s="2" t="s">
        <v>130</v>
      </c>
      <c r="D18" s="2" t="s">
        <v>131</v>
      </c>
      <c r="E18" s="2" t="s">
        <v>132</v>
      </c>
      <c r="F18" s="2" t="s">
        <v>38</v>
      </c>
      <c r="G18" s="5">
        <v>2133</v>
      </c>
      <c r="H18" s="5">
        <v>10</v>
      </c>
      <c r="I18" s="5">
        <v>1920</v>
      </c>
      <c r="J18" s="5">
        <v>1</v>
      </c>
      <c r="K18" s="2" t="s">
        <v>72</v>
      </c>
      <c r="L18" s="2" t="s">
        <v>133</v>
      </c>
      <c r="M18" s="4">
        <v>3.7</v>
      </c>
      <c r="N18" s="5">
        <v>230</v>
      </c>
      <c r="O18" s="3">
        <v>45829</v>
      </c>
      <c r="P18" s="2" t="s">
        <v>2391</v>
      </c>
      <c r="Q18" s="2" t="s">
        <v>29</v>
      </c>
      <c r="R18" s="2" t="s">
        <v>66</v>
      </c>
      <c r="S18" s="2" t="s">
        <v>67</v>
      </c>
      <c r="T18" s="2" t="s">
        <v>134</v>
      </c>
    </row>
    <row r="19" spans="1:20" ht="12.5" x14ac:dyDescent="0.25">
      <c r="A19" s="2" t="s">
        <v>135</v>
      </c>
      <c r="B19" s="2" t="s">
        <v>136</v>
      </c>
      <c r="C19" s="2" t="s">
        <v>137</v>
      </c>
      <c r="D19" s="2" t="s">
        <v>138</v>
      </c>
      <c r="E19" s="2" t="s">
        <v>37</v>
      </c>
      <c r="F19" s="2" t="s">
        <v>38</v>
      </c>
      <c r="G19" s="5">
        <v>1859</v>
      </c>
      <c r="H19" s="5">
        <v>10</v>
      </c>
      <c r="I19" s="5">
        <v>1674</v>
      </c>
      <c r="J19" s="5">
        <v>1</v>
      </c>
      <c r="K19" s="2" t="s">
        <v>26</v>
      </c>
      <c r="L19" s="2" t="s">
        <v>27</v>
      </c>
      <c r="M19" s="4">
        <v>4.8</v>
      </c>
      <c r="N19" s="5">
        <v>288</v>
      </c>
      <c r="O19" s="3">
        <v>45821</v>
      </c>
      <c r="P19" s="2" t="s">
        <v>2391</v>
      </c>
      <c r="Q19" s="2" t="s">
        <v>65</v>
      </c>
      <c r="R19" s="2" t="s">
        <v>83</v>
      </c>
      <c r="S19" s="2" t="s">
        <v>83</v>
      </c>
      <c r="T19" s="2" t="s">
        <v>50</v>
      </c>
    </row>
    <row r="20" spans="1:20" ht="12.5" x14ac:dyDescent="0.25">
      <c r="A20" s="2" t="s">
        <v>139</v>
      </c>
      <c r="B20" s="2" t="s">
        <v>140</v>
      </c>
      <c r="C20" s="2" t="s">
        <v>141</v>
      </c>
      <c r="D20" s="2" t="s">
        <v>142</v>
      </c>
      <c r="E20" s="2" t="s">
        <v>37</v>
      </c>
      <c r="F20" s="2" t="s">
        <v>38</v>
      </c>
      <c r="G20" s="5">
        <v>3778</v>
      </c>
      <c r="H20" s="5">
        <v>20</v>
      </c>
      <c r="I20" s="5">
        <v>3023</v>
      </c>
      <c r="J20" s="5">
        <v>1</v>
      </c>
      <c r="K20" s="2" t="s">
        <v>32</v>
      </c>
      <c r="L20" s="2" t="s">
        <v>27</v>
      </c>
      <c r="M20" s="4">
        <v>4.5</v>
      </c>
      <c r="N20" s="5">
        <v>73</v>
      </c>
      <c r="O20" s="3">
        <v>45823</v>
      </c>
      <c r="P20" s="2" t="s">
        <v>2390</v>
      </c>
      <c r="Q20" s="2" t="s">
        <v>29</v>
      </c>
      <c r="R20" s="2" t="s">
        <v>41</v>
      </c>
      <c r="S20" s="2" t="s">
        <v>42</v>
      </c>
      <c r="T20" s="2"/>
    </row>
    <row r="21" spans="1:20" ht="12.5" x14ac:dyDescent="0.25">
      <c r="A21" s="2" t="s">
        <v>143</v>
      </c>
      <c r="B21" s="2" t="s">
        <v>144</v>
      </c>
      <c r="C21" s="2" t="s">
        <v>145</v>
      </c>
      <c r="D21" s="2" t="s">
        <v>146</v>
      </c>
      <c r="E21" s="2" t="s">
        <v>147</v>
      </c>
      <c r="F21" s="2" t="s">
        <v>148</v>
      </c>
      <c r="G21" s="5">
        <v>4606</v>
      </c>
      <c r="H21" s="5">
        <v>15</v>
      </c>
      <c r="I21" s="5">
        <v>3916</v>
      </c>
      <c r="J21" s="5">
        <v>1</v>
      </c>
      <c r="K21" s="2">
        <v>42</v>
      </c>
      <c r="L21" s="2" t="s">
        <v>73</v>
      </c>
      <c r="M21" s="4">
        <v>4</v>
      </c>
      <c r="N21" s="5">
        <v>107</v>
      </c>
      <c r="O21" s="3">
        <v>45784</v>
      </c>
      <c r="P21" s="2" t="s">
        <v>2392</v>
      </c>
      <c r="Q21" s="2" t="s">
        <v>65</v>
      </c>
      <c r="R21" s="2" t="s">
        <v>149</v>
      </c>
      <c r="S21" s="2" t="s">
        <v>150</v>
      </c>
      <c r="T21" s="2"/>
    </row>
    <row r="22" spans="1:20" ht="12.5" x14ac:dyDescent="0.25">
      <c r="A22" s="2" t="s">
        <v>151</v>
      </c>
      <c r="B22" s="2" t="s">
        <v>152</v>
      </c>
      <c r="C22" s="2" t="s">
        <v>153</v>
      </c>
      <c r="D22" s="2" t="s">
        <v>154</v>
      </c>
      <c r="E22" s="2" t="s">
        <v>122</v>
      </c>
      <c r="F22" s="2" t="s">
        <v>123</v>
      </c>
      <c r="G22" s="5">
        <v>2002</v>
      </c>
      <c r="H22" s="5">
        <v>15</v>
      </c>
      <c r="I22" s="5">
        <v>1702</v>
      </c>
      <c r="J22" s="5">
        <v>3</v>
      </c>
      <c r="K22" s="2">
        <v>42</v>
      </c>
      <c r="L22" s="2" t="s">
        <v>73</v>
      </c>
      <c r="M22" s="4">
        <v>4.5</v>
      </c>
      <c r="N22" s="5">
        <v>126</v>
      </c>
      <c r="O22" s="3">
        <v>45819</v>
      </c>
      <c r="P22" s="2" t="s">
        <v>2392</v>
      </c>
      <c r="Q22" s="2" t="s">
        <v>78</v>
      </c>
      <c r="R22" s="2" t="s">
        <v>110</v>
      </c>
      <c r="S22" s="2" t="s">
        <v>111</v>
      </c>
      <c r="T22" s="2"/>
    </row>
    <row r="23" spans="1:20" ht="12.5" x14ac:dyDescent="0.25">
      <c r="A23" s="2" t="s">
        <v>155</v>
      </c>
      <c r="B23" s="2" t="s">
        <v>156</v>
      </c>
      <c r="C23" s="2" t="s">
        <v>157</v>
      </c>
      <c r="D23" s="2" t="s">
        <v>158</v>
      </c>
      <c r="E23" s="2" t="s">
        <v>55</v>
      </c>
      <c r="F23" s="2" t="s">
        <v>38</v>
      </c>
      <c r="G23" s="5">
        <v>788</v>
      </c>
      <c r="H23" s="5">
        <v>25</v>
      </c>
      <c r="I23" s="5">
        <v>591</v>
      </c>
      <c r="J23" s="5">
        <v>3</v>
      </c>
      <c r="K23" s="2" t="s">
        <v>56</v>
      </c>
      <c r="L23" s="2" t="s">
        <v>27</v>
      </c>
      <c r="M23" s="4">
        <v>3.5</v>
      </c>
      <c r="N23" s="5">
        <v>289</v>
      </c>
      <c r="O23" s="3">
        <v>45841</v>
      </c>
      <c r="P23" s="2" t="s">
        <v>2392</v>
      </c>
      <c r="Q23" s="2" t="s">
        <v>78</v>
      </c>
      <c r="R23" s="2" t="s">
        <v>66</v>
      </c>
      <c r="S23" s="2" t="s">
        <v>67</v>
      </c>
      <c r="T23" s="2"/>
    </row>
    <row r="24" spans="1:20" ht="12.5" x14ac:dyDescent="0.25">
      <c r="A24" s="2" t="s">
        <v>159</v>
      </c>
      <c r="B24" s="2" t="s">
        <v>160</v>
      </c>
      <c r="C24" s="2" t="s">
        <v>161</v>
      </c>
      <c r="D24" s="2" t="s">
        <v>162</v>
      </c>
      <c r="E24" s="2" t="s">
        <v>55</v>
      </c>
      <c r="F24" s="2" t="s">
        <v>38</v>
      </c>
      <c r="G24" s="5">
        <v>1075</v>
      </c>
      <c r="H24" s="5">
        <v>35</v>
      </c>
      <c r="I24" s="5">
        <v>699</v>
      </c>
      <c r="J24" s="5">
        <v>3</v>
      </c>
      <c r="K24" s="2" t="s">
        <v>163</v>
      </c>
      <c r="L24" s="2" t="s">
        <v>88</v>
      </c>
      <c r="M24" s="4">
        <v>4.3</v>
      </c>
      <c r="N24" s="5">
        <v>187</v>
      </c>
      <c r="O24" s="3">
        <v>45812</v>
      </c>
      <c r="P24" s="2" t="s">
        <v>2392</v>
      </c>
      <c r="Q24" s="2" t="s">
        <v>78</v>
      </c>
      <c r="R24" s="2" t="s">
        <v>104</v>
      </c>
      <c r="S24" s="2" t="s">
        <v>105</v>
      </c>
      <c r="T24" s="2"/>
    </row>
    <row r="25" spans="1:20" ht="12.5" x14ac:dyDescent="0.25">
      <c r="A25" s="2" t="s">
        <v>164</v>
      </c>
      <c r="B25" s="2" t="s">
        <v>165</v>
      </c>
      <c r="C25" s="2" t="s">
        <v>166</v>
      </c>
      <c r="D25" s="2" t="s">
        <v>167</v>
      </c>
      <c r="E25" s="2" t="s">
        <v>132</v>
      </c>
      <c r="F25" s="2" t="s">
        <v>38</v>
      </c>
      <c r="G25" s="5">
        <v>2429</v>
      </c>
      <c r="H25" s="5">
        <v>30</v>
      </c>
      <c r="I25" s="5">
        <v>1701</v>
      </c>
      <c r="J25" s="5">
        <v>3</v>
      </c>
      <c r="K25" s="2">
        <v>40</v>
      </c>
      <c r="L25" s="2" t="s">
        <v>168</v>
      </c>
      <c r="M25" s="4">
        <v>3.7</v>
      </c>
      <c r="N25" s="5">
        <v>112</v>
      </c>
      <c r="O25" s="3">
        <v>45798</v>
      </c>
      <c r="P25" s="2" t="s">
        <v>2392</v>
      </c>
      <c r="Q25" s="2" t="s">
        <v>65</v>
      </c>
      <c r="R25" s="2" t="s">
        <v>41</v>
      </c>
      <c r="S25" s="2" t="s">
        <v>42</v>
      </c>
      <c r="T25" s="2"/>
    </row>
    <row r="26" spans="1:20" ht="12.5" x14ac:dyDescent="0.25">
      <c r="A26" s="2" t="s">
        <v>169</v>
      </c>
      <c r="B26" s="2" t="s">
        <v>170</v>
      </c>
      <c r="C26" s="2" t="s">
        <v>171</v>
      </c>
      <c r="D26" s="2" t="s">
        <v>172</v>
      </c>
      <c r="E26" s="2" t="s">
        <v>116</v>
      </c>
      <c r="F26" s="2" t="s">
        <v>117</v>
      </c>
      <c r="G26" s="5">
        <v>3693</v>
      </c>
      <c r="H26" s="5">
        <v>40</v>
      </c>
      <c r="I26" s="5">
        <v>2216</v>
      </c>
      <c r="J26" s="5">
        <v>1</v>
      </c>
      <c r="K26" s="2" t="s">
        <v>163</v>
      </c>
      <c r="L26" s="2" t="s">
        <v>88</v>
      </c>
      <c r="M26" s="4">
        <v>3.7</v>
      </c>
      <c r="N26" s="5">
        <v>60</v>
      </c>
      <c r="O26" s="3">
        <v>45801</v>
      </c>
      <c r="P26" s="2" t="s">
        <v>2391</v>
      </c>
      <c r="Q26" s="2" t="s">
        <v>65</v>
      </c>
      <c r="R26" s="2" t="s">
        <v>58</v>
      </c>
      <c r="S26" s="2" t="s">
        <v>59</v>
      </c>
      <c r="T26" s="2" t="s">
        <v>50</v>
      </c>
    </row>
    <row r="27" spans="1:20" ht="12.5" x14ac:dyDescent="0.25">
      <c r="A27" s="2" t="s">
        <v>173</v>
      </c>
      <c r="B27" s="2" t="s">
        <v>174</v>
      </c>
      <c r="C27" s="2" t="s">
        <v>175</v>
      </c>
      <c r="D27" s="2" t="s">
        <v>176</v>
      </c>
      <c r="E27" s="2" t="s">
        <v>24</v>
      </c>
      <c r="F27" s="2" t="s">
        <v>25</v>
      </c>
      <c r="G27" s="5">
        <v>785</v>
      </c>
      <c r="H27" s="5">
        <v>30</v>
      </c>
      <c r="I27" s="5">
        <v>550</v>
      </c>
      <c r="J27" s="5">
        <v>1</v>
      </c>
      <c r="K27" s="2" t="s">
        <v>72</v>
      </c>
      <c r="L27" s="2" t="s">
        <v>133</v>
      </c>
      <c r="M27" s="4">
        <v>4.9000000000000004</v>
      </c>
      <c r="N27" s="5">
        <v>169</v>
      </c>
      <c r="O27" s="3">
        <v>45856</v>
      </c>
      <c r="P27" s="2" t="s">
        <v>2392</v>
      </c>
      <c r="Q27" s="2" t="s">
        <v>78</v>
      </c>
      <c r="R27" s="2" t="s">
        <v>110</v>
      </c>
      <c r="S27" s="2" t="s">
        <v>111</v>
      </c>
      <c r="T27" s="2"/>
    </row>
    <row r="28" spans="1:20" ht="12.5" x14ac:dyDescent="0.25">
      <c r="A28" s="2" t="s">
        <v>177</v>
      </c>
      <c r="B28" s="2" t="s">
        <v>178</v>
      </c>
      <c r="C28" s="2" t="s">
        <v>179</v>
      </c>
      <c r="D28" s="2" t="s">
        <v>180</v>
      </c>
      <c r="E28" s="2" t="s">
        <v>24</v>
      </c>
      <c r="F28" s="2" t="s">
        <v>25</v>
      </c>
      <c r="G28" s="5">
        <v>1009</v>
      </c>
      <c r="H28" s="5">
        <v>25</v>
      </c>
      <c r="I28" s="5">
        <v>757</v>
      </c>
      <c r="J28" s="5">
        <v>1</v>
      </c>
      <c r="K28" s="2" t="s">
        <v>72</v>
      </c>
      <c r="L28" s="2" t="s">
        <v>88</v>
      </c>
      <c r="M28" s="4">
        <v>4.5</v>
      </c>
      <c r="N28" s="5">
        <v>20</v>
      </c>
      <c r="O28" s="3">
        <v>45844</v>
      </c>
      <c r="P28" s="2" t="s">
        <v>2391</v>
      </c>
      <c r="Q28" s="2" t="s">
        <v>78</v>
      </c>
      <c r="R28" s="2" t="s">
        <v>149</v>
      </c>
      <c r="S28" s="2" t="s">
        <v>150</v>
      </c>
      <c r="T28" s="2" t="s">
        <v>134</v>
      </c>
    </row>
    <row r="29" spans="1:20" ht="12.5" x14ac:dyDescent="0.25">
      <c r="A29" s="2" t="s">
        <v>181</v>
      </c>
      <c r="B29" s="2" t="s">
        <v>182</v>
      </c>
      <c r="C29" s="2" t="s">
        <v>183</v>
      </c>
      <c r="D29" s="2" t="s">
        <v>184</v>
      </c>
      <c r="E29" s="2" t="s">
        <v>55</v>
      </c>
      <c r="F29" s="2" t="s">
        <v>38</v>
      </c>
      <c r="G29" s="5">
        <v>3962</v>
      </c>
      <c r="H29" s="5">
        <v>35</v>
      </c>
      <c r="I29" s="5">
        <v>2576</v>
      </c>
      <c r="J29" s="5">
        <v>2</v>
      </c>
      <c r="K29" s="2" t="s">
        <v>32</v>
      </c>
      <c r="L29" s="2" t="s">
        <v>73</v>
      </c>
      <c r="M29" s="4">
        <v>4.7</v>
      </c>
      <c r="N29" s="5">
        <v>165</v>
      </c>
      <c r="O29" s="3">
        <v>45778</v>
      </c>
      <c r="P29" s="2" t="s">
        <v>2392</v>
      </c>
      <c r="Q29" s="2" t="s">
        <v>65</v>
      </c>
      <c r="R29" s="2" t="s">
        <v>185</v>
      </c>
      <c r="S29" s="2" t="s">
        <v>186</v>
      </c>
      <c r="T29" s="2"/>
    </row>
    <row r="30" spans="1:20" ht="12.5" x14ac:dyDescent="0.25">
      <c r="A30" s="2" t="s">
        <v>187</v>
      </c>
      <c r="B30" s="2" t="s">
        <v>188</v>
      </c>
      <c r="C30" s="2" t="s">
        <v>189</v>
      </c>
      <c r="D30" s="2" t="s">
        <v>190</v>
      </c>
      <c r="E30" s="2" t="s">
        <v>48</v>
      </c>
      <c r="F30" s="2" t="s">
        <v>25</v>
      </c>
      <c r="G30" s="5">
        <v>4353</v>
      </c>
      <c r="H30" s="5">
        <v>35</v>
      </c>
      <c r="I30" s="5">
        <v>2830</v>
      </c>
      <c r="J30" s="5">
        <v>3</v>
      </c>
      <c r="K30" s="2" t="s">
        <v>32</v>
      </c>
      <c r="L30" s="2" t="s">
        <v>73</v>
      </c>
      <c r="M30" s="4">
        <v>4.5</v>
      </c>
      <c r="N30" s="5">
        <v>83</v>
      </c>
      <c r="O30" s="3">
        <v>45798</v>
      </c>
      <c r="P30" s="2" t="s">
        <v>2392</v>
      </c>
      <c r="Q30" s="2" t="s">
        <v>65</v>
      </c>
      <c r="R30" s="2" t="s">
        <v>89</v>
      </c>
      <c r="S30" s="2" t="s">
        <v>90</v>
      </c>
      <c r="T30" s="2"/>
    </row>
    <row r="31" spans="1:20" ht="12.5" x14ac:dyDescent="0.25">
      <c r="A31" s="2" t="s">
        <v>191</v>
      </c>
      <c r="B31" s="2" t="s">
        <v>192</v>
      </c>
      <c r="C31" s="2" t="s">
        <v>193</v>
      </c>
      <c r="D31" s="2" t="s">
        <v>194</v>
      </c>
      <c r="E31" s="2" t="s">
        <v>55</v>
      </c>
      <c r="F31" s="2" t="s">
        <v>38</v>
      </c>
      <c r="G31" s="5">
        <v>2953</v>
      </c>
      <c r="H31" s="5">
        <v>25</v>
      </c>
      <c r="I31" s="5">
        <v>2215</v>
      </c>
      <c r="J31" s="5">
        <v>3</v>
      </c>
      <c r="K31" s="2" t="s">
        <v>72</v>
      </c>
      <c r="L31" s="2" t="s">
        <v>88</v>
      </c>
      <c r="M31" s="4">
        <v>3.9</v>
      </c>
      <c r="N31" s="5">
        <v>199</v>
      </c>
      <c r="O31" s="3">
        <v>45843</v>
      </c>
      <c r="P31" s="2" t="s">
        <v>2392</v>
      </c>
      <c r="Q31" s="2" t="s">
        <v>65</v>
      </c>
      <c r="R31" s="2" t="s">
        <v>104</v>
      </c>
      <c r="S31" s="2" t="s">
        <v>105</v>
      </c>
      <c r="T31" s="2"/>
    </row>
    <row r="32" spans="1:20" ht="12.5" x14ac:dyDescent="0.25">
      <c r="A32" s="2" t="s">
        <v>195</v>
      </c>
      <c r="B32" s="2" t="s">
        <v>196</v>
      </c>
      <c r="C32" s="2" t="s">
        <v>197</v>
      </c>
      <c r="D32" s="2" t="s">
        <v>198</v>
      </c>
      <c r="E32" s="2" t="s">
        <v>48</v>
      </c>
      <c r="F32" s="2" t="s">
        <v>25</v>
      </c>
      <c r="G32" s="5">
        <v>2438</v>
      </c>
      <c r="H32" s="5">
        <v>30</v>
      </c>
      <c r="I32" s="5">
        <v>1707</v>
      </c>
      <c r="J32" s="5">
        <v>2</v>
      </c>
      <c r="K32" s="2" t="s">
        <v>163</v>
      </c>
      <c r="L32" s="2" t="s">
        <v>27</v>
      </c>
      <c r="M32" s="4">
        <v>3.8</v>
      </c>
      <c r="N32" s="5">
        <v>56</v>
      </c>
      <c r="O32" s="3">
        <v>45826</v>
      </c>
      <c r="P32" s="2" t="s">
        <v>2390</v>
      </c>
      <c r="Q32" s="2" t="s">
        <v>29</v>
      </c>
      <c r="R32" s="2" t="s">
        <v>110</v>
      </c>
      <c r="S32" s="2" t="s">
        <v>111</v>
      </c>
      <c r="T32" s="2"/>
    </row>
    <row r="33" spans="1:20" ht="12.5" x14ac:dyDescent="0.25">
      <c r="A33" s="2" t="s">
        <v>199</v>
      </c>
      <c r="B33" s="2" t="s">
        <v>200</v>
      </c>
      <c r="C33" s="2" t="s">
        <v>201</v>
      </c>
      <c r="D33" s="2" t="s">
        <v>202</v>
      </c>
      <c r="E33" s="2" t="s">
        <v>24</v>
      </c>
      <c r="F33" s="2" t="s">
        <v>25</v>
      </c>
      <c r="G33" s="5">
        <v>3535</v>
      </c>
      <c r="H33" s="5">
        <v>35</v>
      </c>
      <c r="I33" s="5">
        <v>2298</v>
      </c>
      <c r="J33" s="5">
        <v>1</v>
      </c>
      <c r="K33" s="2">
        <v>42</v>
      </c>
      <c r="L33" s="2" t="s">
        <v>168</v>
      </c>
      <c r="M33" s="4">
        <v>3.8</v>
      </c>
      <c r="N33" s="5">
        <v>298</v>
      </c>
      <c r="O33" s="3">
        <v>45841</v>
      </c>
      <c r="P33" s="2" t="s">
        <v>2391</v>
      </c>
      <c r="Q33" s="2" t="s">
        <v>29</v>
      </c>
      <c r="R33" s="2" t="s">
        <v>89</v>
      </c>
      <c r="S33" s="2" t="s">
        <v>90</v>
      </c>
      <c r="T33" s="2" t="s">
        <v>203</v>
      </c>
    </row>
    <row r="34" spans="1:20" ht="12.5" x14ac:dyDescent="0.25">
      <c r="A34" s="2" t="s">
        <v>204</v>
      </c>
      <c r="B34" s="2" t="s">
        <v>205</v>
      </c>
      <c r="C34" s="2" t="s">
        <v>206</v>
      </c>
      <c r="D34" s="2" t="s">
        <v>207</v>
      </c>
      <c r="E34" s="2" t="s">
        <v>208</v>
      </c>
      <c r="F34" s="2" t="s">
        <v>117</v>
      </c>
      <c r="G34" s="5">
        <v>632</v>
      </c>
      <c r="H34" s="5">
        <v>30</v>
      </c>
      <c r="I34" s="5">
        <v>443</v>
      </c>
      <c r="J34" s="5">
        <v>1</v>
      </c>
      <c r="K34" s="2">
        <v>40</v>
      </c>
      <c r="L34" s="2" t="s">
        <v>209</v>
      </c>
      <c r="M34" s="4">
        <v>4.0999999999999996</v>
      </c>
      <c r="N34" s="5">
        <v>70</v>
      </c>
      <c r="O34" s="3">
        <v>45834</v>
      </c>
      <c r="P34" s="2" t="s">
        <v>2390</v>
      </c>
      <c r="Q34" s="2" t="s">
        <v>78</v>
      </c>
      <c r="R34" s="2" t="s">
        <v>110</v>
      </c>
      <c r="S34" s="2" t="s">
        <v>111</v>
      </c>
      <c r="T34" s="2"/>
    </row>
    <row r="35" spans="1:20" ht="12.5" x14ac:dyDescent="0.25">
      <c r="A35" s="2" t="s">
        <v>210</v>
      </c>
      <c r="B35" s="2" t="s">
        <v>211</v>
      </c>
      <c r="C35" s="2" t="s">
        <v>212</v>
      </c>
      <c r="D35" s="2" t="s">
        <v>213</v>
      </c>
      <c r="E35" s="2" t="s">
        <v>48</v>
      </c>
      <c r="F35" s="2" t="s">
        <v>25</v>
      </c>
      <c r="G35" s="5">
        <v>3134</v>
      </c>
      <c r="H35" s="5">
        <v>15</v>
      </c>
      <c r="I35" s="5">
        <v>2664</v>
      </c>
      <c r="J35" s="5">
        <v>2</v>
      </c>
      <c r="K35" s="2" t="s">
        <v>72</v>
      </c>
      <c r="L35" s="2" t="s">
        <v>27</v>
      </c>
      <c r="M35" s="4">
        <v>4.0999999999999996</v>
      </c>
      <c r="N35" s="5">
        <v>173</v>
      </c>
      <c r="O35" s="3">
        <v>45770</v>
      </c>
      <c r="P35" s="2" t="s">
        <v>2391</v>
      </c>
      <c r="Q35" s="2" t="s">
        <v>78</v>
      </c>
      <c r="R35" s="2" t="s">
        <v>110</v>
      </c>
      <c r="S35" s="2" t="s">
        <v>111</v>
      </c>
      <c r="T35" s="2" t="s">
        <v>203</v>
      </c>
    </row>
    <row r="36" spans="1:20" ht="12.5" x14ac:dyDescent="0.25">
      <c r="A36" s="2" t="s">
        <v>214</v>
      </c>
      <c r="B36" s="2" t="s">
        <v>215</v>
      </c>
      <c r="C36" s="2" t="s">
        <v>216</v>
      </c>
      <c r="D36" s="2" t="s">
        <v>217</v>
      </c>
      <c r="E36" s="2" t="s">
        <v>147</v>
      </c>
      <c r="F36" s="2" t="s">
        <v>148</v>
      </c>
      <c r="G36" s="5">
        <v>874</v>
      </c>
      <c r="H36" s="5">
        <v>30</v>
      </c>
      <c r="I36" s="5">
        <v>612</v>
      </c>
      <c r="J36" s="5">
        <v>3</v>
      </c>
      <c r="K36" s="2" t="s">
        <v>26</v>
      </c>
      <c r="L36" s="2" t="s">
        <v>103</v>
      </c>
      <c r="M36" s="4">
        <v>4</v>
      </c>
      <c r="N36" s="5">
        <v>269</v>
      </c>
      <c r="O36" s="3">
        <v>45822</v>
      </c>
      <c r="P36" s="2" t="s">
        <v>2391</v>
      </c>
      <c r="Q36" s="2" t="s">
        <v>29</v>
      </c>
      <c r="R36" s="2" t="s">
        <v>185</v>
      </c>
      <c r="S36" s="2" t="s">
        <v>186</v>
      </c>
      <c r="T36" s="2" t="s">
        <v>134</v>
      </c>
    </row>
    <row r="37" spans="1:20" ht="12.5" x14ac:dyDescent="0.25">
      <c r="A37" s="2" t="s">
        <v>218</v>
      </c>
      <c r="B37" s="2" t="s">
        <v>219</v>
      </c>
      <c r="C37" s="2" t="s">
        <v>220</v>
      </c>
      <c r="D37" s="2" t="s">
        <v>221</v>
      </c>
      <c r="E37" s="2" t="s">
        <v>37</v>
      </c>
      <c r="F37" s="2" t="s">
        <v>38</v>
      </c>
      <c r="G37" s="5">
        <v>4940</v>
      </c>
      <c r="H37" s="5">
        <v>25</v>
      </c>
      <c r="I37" s="5">
        <v>3705</v>
      </c>
      <c r="J37" s="5">
        <v>1</v>
      </c>
      <c r="K37" s="2" t="s">
        <v>72</v>
      </c>
      <c r="L37" s="2" t="s">
        <v>49</v>
      </c>
      <c r="M37" s="4">
        <v>3.6</v>
      </c>
      <c r="N37" s="5">
        <v>215</v>
      </c>
      <c r="O37" s="3">
        <v>45852</v>
      </c>
      <c r="P37" s="2" t="s">
        <v>2390</v>
      </c>
      <c r="Q37" s="2" t="s">
        <v>78</v>
      </c>
      <c r="R37" s="2" t="s">
        <v>83</v>
      </c>
      <c r="S37" s="2" t="s">
        <v>83</v>
      </c>
      <c r="T37" s="2"/>
    </row>
    <row r="38" spans="1:20" ht="12.5" x14ac:dyDescent="0.25">
      <c r="A38" s="2" t="s">
        <v>222</v>
      </c>
      <c r="B38" s="2" t="s">
        <v>223</v>
      </c>
      <c r="C38" s="2" t="s">
        <v>224</v>
      </c>
      <c r="D38" s="2" t="s">
        <v>225</v>
      </c>
      <c r="E38" s="2" t="s">
        <v>37</v>
      </c>
      <c r="F38" s="2" t="s">
        <v>38</v>
      </c>
      <c r="G38" s="5">
        <v>708</v>
      </c>
      <c r="H38" s="5">
        <v>35</v>
      </c>
      <c r="I38" s="5">
        <v>461</v>
      </c>
      <c r="J38" s="5">
        <v>2</v>
      </c>
      <c r="K38" s="2" t="s">
        <v>226</v>
      </c>
      <c r="L38" s="2" t="s">
        <v>133</v>
      </c>
      <c r="M38" s="4">
        <v>5</v>
      </c>
      <c r="N38" s="5">
        <v>11</v>
      </c>
      <c r="O38" s="3">
        <v>45842</v>
      </c>
      <c r="P38" s="2" t="s">
        <v>2391</v>
      </c>
      <c r="Q38" s="2" t="s">
        <v>78</v>
      </c>
      <c r="R38" s="2" t="s">
        <v>41</v>
      </c>
      <c r="S38" s="2" t="s">
        <v>42</v>
      </c>
      <c r="T38" s="2" t="s">
        <v>50</v>
      </c>
    </row>
    <row r="39" spans="1:20" ht="12.5" x14ac:dyDescent="0.25">
      <c r="A39" s="2" t="s">
        <v>227</v>
      </c>
      <c r="B39" s="2" t="s">
        <v>228</v>
      </c>
      <c r="C39" s="2" t="s">
        <v>229</v>
      </c>
      <c r="D39" s="2" t="s">
        <v>230</v>
      </c>
      <c r="E39" s="2" t="s">
        <v>116</v>
      </c>
      <c r="F39" s="2" t="s">
        <v>117</v>
      </c>
      <c r="G39" s="5">
        <v>1162</v>
      </c>
      <c r="H39" s="5">
        <v>10</v>
      </c>
      <c r="I39" s="5">
        <v>1046</v>
      </c>
      <c r="J39" s="5">
        <v>2</v>
      </c>
      <c r="K39" s="2" t="s">
        <v>56</v>
      </c>
      <c r="L39" s="2" t="s">
        <v>64</v>
      </c>
      <c r="M39" s="4">
        <v>4.5</v>
      </c>
      <c r="N39" s="5">
        <v>180</v>
      </c>
      <c r="O39" s="3">
        <v>45835</v>
      </c>
      <c r="P39" s="2" t="s">
        <v>2392</v>
      </c>
      <c r="Q39" s="2" t="s">
        <v>65</v>
      </c>
      <c r="R39" s="2" t="s">
        <v>185</v>
      </c>
      <c r="S39" s="2" t="s">
        <v>186</v>
      </c>
      <c r="T39" s="2"/>
    </row>
    <row r="40" spans="1:20" ht="12.5" x14ac:dyDescent="0.25">
      <c r="A40" s="2" t="s">
        <v>231</v>
      </c>
      <c r="B40" s="2" t="s">
        <v>232</v>
      </c>
      <c r="C40" s="2" t="s">
        <v>233</v>
      </c>
      <c r="D40" s="2" t="s">
        <v>234</v>
      </c>
      <c r="E40" s="2" t="s">
        <v>48</v>
      </c>
      <c r="F40" s="2" t="s">
        <v>25</v>
      </c>
      <c r="G40" s="5">
        <v>2342</v>
      </c>
      <c r="H40" s="5">
        <v>25</v>
      </c>
      <c r="I40" s="5">
        <v>1757</v>
      </c>
      <c r="J40" s="5">
        <v>3</v>
      </c>
      <c r="K40" s="2" t="s">
        <v>32</v>
      </c>
      <c r="L40" s="2" t="s">
        <v>209</v>
      </c>
      <c r="M40" s="4">
        <v>3.8</v>
      </c>
      <c r="N40" s="5">
        <v>265</v>
      </c>
      <c r="O40" s="3">
        <v>45783</v>
      </c>
      <c r="P40" s="2" t="s">
        <v>2392</v>
      </c>
      <c r="Q40" s="2" t="s">
        <v>29</v>
      </c>
      <c r="R40" s="2" t="s">
        <v>149</v>
      </c>
      <c r="S40" s="2" t="s">
        <v>150</v>
      </c>
      <c r="T40" s="2"/>
    </row>
    <row r="41" spans="1:20" ht="12.5" x14ac:dyDescent="0.25">
      <c r="A41" s="2" t="s">
        <v>235</v>
      </c>
      <c r="B41" s="2" t="s">
        <v>236</v>
      </c>
      <c r="C41" s="2" t="s">
        <v>237</v>
      </c>
      <c r="D41" s="2" t="s">
        <v>238</v>
      </c>
      <c r="E41" s="2" t="s">
        <v>24</v>
      </c>
      <c r="F41" s="2" t="s">
        <v>25</v>
      </c>
      <c r="G41" s="5">
        <v>2830</v>
      </c>
      <c r="H41" s="5">
        <v>20</v>
      </c>
      <c r="I41" s="5">
        <v>2264</v>
      </c>
      <c r="J41" s="5">
        <v>1</v>
      </c>
      <c r="K41" s="2">
        <v>42</v>
      </c>
      <c r="L41" s="2" t="s">
        <v>103</v>
      </c>
      <c r="M41" s="4">
        <v>4</v>
      </c>
      <c r="N41" s="5">
        <v>254</v>
      </c>
      <c r="O41" s="3">
        <v>45858</v>
      </c>
      <c r="P41" s="2" t="s">
        <v>2390</v>
      </c>
      <c r="Q41" s="2" t="s">
        <v>78</v>
      </c>
      <c r="R41" s="2" t="s">
        <v>149</v>
      </c>
      <c r="S41" s="2" t="s">
        <v>150</v>
      </c>
      <c r="T41" s="2"/>
    </row>
    <row r="42" spans="1:20" ht="12.5" x14ac:dyDescent="0.25">
      <c r="A42" s="2" t="s">
        <v>239</v>
      </c>
      <c r="B42" s="2" t="s">
        <v>240</v>
      </c>
      <c r="C42" s="2" t="s">
        <v>241</v>
      </c>
      <c r="D42" s="2" t="s">
        <v>242</v>
      </c>
      <c r="E42" s="2" t="s">
        <v>208</v>
      </c>
      <c r="F42" s="2" t="s">
        <v>117</v>
      </c>
      <c r="G42" s="5">
        <v>4422</v>
      </c>
      <c r="H42" s="5">
        <v>30</v>
      </c>
      <c r="I42" s="5">
        <v>3096</v>
      </c>
      <c r="J42" s="5">
        <v>2</v>
      </c>
      <c r="K42" s="2" t="s">
        <v>26</v>
      </c>
      <c r="L42" s="2" t="s">
        <v>88</v>
      </c>
      <c r="M42" s="4">
        <v>4.8</v>
      </c>
      <c r="N42" s="5">
        <v>39</v>
      </c>
      <c r="O42" s="3">
        <v>45853</v>
      </c>
      <c r="P42" s="2" t="s">
        <v>2391</v>
      </c>
      <c r="Q42" s="2" t="s">
        <v>65</v>
      </c>
      <c r="R42" s="2" t="s">
        <v>41</v>
      </c>
      <c r="S42" s="2" t="s">
        <v>42</v>
      </c>
      <c r="T42" s="2" t="s">
        <v>203</v>
      </c>
    </row>
    <row r="43" spans="1:20" ht="12.5" x14ac:dyDescent="0.25">
      <c r="A43" s="2" t="s">
        <v>243</v>
      </c>
      <c r="B43" s="2" t="s">
        <v>244</v>
      </c>
      <c r="C43" s="2" t="s">
        <v>245</v>
      </c>
      <c r="D43" s="2" t="s">
        <v>246</v>
      </c>
      <c r="E43" s="2" t="s">
        <v>247</v>
      </c>
      <c r="F43" s="2" t="s">
        <v>248</v>
      </c>
      <c r="G43" s="5">
        <v>1508</v>
      </c>
      <c r="H43" s="5">
        <v>40</v>
      </c>
      <c r="I43" s="5">
        <v>905</v>
      </c>
      <c r="J43" s="5">
        <v>1</v>
      </c>
      <c r="K43" s="2" t="s">
        <v>56</v>
      </c>
      <c r="L43" s="2" t="s">
        <v>27</v>
      </c>
      <c r="M43" s="4">
        <v>4.9000000000000004</v>
      </c>
      <c r="N43" s="5">
        <v>192</v>
      </c>
      <c r="O43" s="3">
        <v>45847</v>
      </c>
      <c r="P43" s="2" t="s">
        <v>2392</v>
      </c>
      <c r="Q43" s="2" t="s">
        <v>78</v>
      </c>
      <c r="R43" s="2" t="s">
        <v>104</v>
      </c>
      <c r="S43" s="2" t="s">
        <v>105</v>
      </c>
      <c r="T43" s="2"/>
    </row>
    <row r="44" spans="1:20" ht="12.5" x14ac:dyDescent="0.25">
      <c r="A44" s="2" t="s">
        <v>249</v>
      </c>
      <c r="B44" s="2" t="s">
        <v>250</v>
      </c>
      <c r="C44" s="2" t="s">
        <v>251</v>
      </c>
      <c r="D44" s="2" t="s">
        <v>252</v>
      </c>
      <c r="E44" s="2" t="s">
        <v>132</v>
      </c>
      <c r="F44" s="2" t="s">
        <v>38</v>
      </c>
      <c r="G44" s="5">
        <v>3065</v>
      </c>
      <c r="H44" s="5">
        <v>30</v>
      </c>
      <c r="I44" s="5">
        <v>2146</v>
      </c>
      <c r="J44" s="5">
        <v>3</v>
      </c>
      <c r="K44" s="2">
        <v>44</v>
      </c>
      <c r="L44" s="2" t="s">
        <v>49</v>
      </c>
      <c r="M44" s="4">
        <v>4.4000000000000004</v>
      </c>
      <c r="N44" s="5">
        <v>196</v>
      </c>
      <c r="O44" s="3">
        <v>45843</v>
      </c>
      <c r="P44" s="2" t="s">
        <v>2390</v>
      </c>
      <c r="Q44" s="2" t="s">
        <v>65</v>
      </c>
      <c r="R44" s="2" t="s">
        <v>185</v>
      </c>
      <c r="S44" s="2" t="s">
        <v>186</v>
      </c>
      <c r="T44" s="2"/>
    </row>
    <row r="45" spans="1:20" ht="12.5" x14ac:dyDescent="0.25">
      <c r="A45" s="2" t="s">
        <v>253</v>
      </c>
      <c r="B45" s="2" t="s">
        <v>254</v>
      </c>
      <c r="C45" s="2" t="s">
        <v>255</v>
      </c>
      <c r="D45" s="2" t="s">
        <v>256</v>
      </c>
      <c r="E45" s="2" t="s">
        <v>55</v>
      </c>
      <c r="F45" s="2" t="s">
        <v>38</v>
      </c>
      <c r="G45" s="5">
        <v>3272</v>
      </c>
      <c r="H45" s="5">
        <v>30</v>
      </c>
      <c r="I45" s="5">
        <v>2291</v>
      </c>
      <c r="J45" s="5">
        <v>2</v>
      </c>
      <c r="K45" s="2" t="s">
        <v>26</v>
      </c>
      <c r="L45" s="2" t="s">
        <v>39</v>
      </c>
      <c r="M45" s="4">
        <v>4.4000000000000004</v>
      </c>
      <c r="N45" s="5">
        <v>72</v>
      </c>
      <c r="O45" s="3">
        <v>45772</v>
      </c>
      <c r="P45" s="2" t="s">
        <v>2390</v>
      </c>
      <c r="Q45" s="2" t="s">
        <v>78</v>
      </c>
      <c r="R45" s="2" t="s">
        <v>89</v>
      </c>
      <c r="S45" s="2" t="s">
        <v>90</v>
      </c>
      <c r="T45" s="2"/>
    </row>
    <row r="46" spans="1:20" ht="12.5" x14ac:dyDescent="0.25">
      <c r="A46" s="2" t="s">
        <v>257</v>
      </c>
      <c r="B46" s="2" t="s">
        <v>258</v>
      </c>
      <c r="C46" s="2" t="s">
        <v>259</v>
      </c>
      <c r="D46" s="2" t="s">
        <v>260</v>
      </c>
      <c r="E46" s="2" t="s">
        <v>24</v>
      </c>
      <c r="F46" s="2" t="s">
        <v>25</v>
      </c>
      <c r="G46" s="5">
        <v>1580</v>
      </c>
      <c r="H46" s="5">
        <v>35</v>
      </c>
      <c r="I46" s="5">
        <v>1027</v>
      </c>
      <c r="J46" s="5">
        <v>2</v>
      </c>
      <c r="K46" s="2" t="s">
        <v>261</v>
      </c>
      <c r="L46" s="2" t="s">
        <v>88</v>
      </c>
      <c r="M46" s="4">
        <v>3.9</v>
      </c>
      <c r="N46" s="5">
        <v>36</v>
      </c>
      <c r="O46" s="3">
        <v>45779</v>
      </c>
      <c r="P46" s="2" t="s">
        <v>2391</v>
      </c>
      <c r="Q46" s="2" t="s">
        <v>29</v>
      </c>
      <c r="R46" s="2" t="s">
        <v>83</v>
      </c>
      <c r="S46" s="2" t="s">
        <v>83</v>
      </c>
      <c r="T46" s="2"/>
    </row>
    <row r="47" spans="1:20" ht="12.5" x14ac:dyDescent="0.25">
      <c r="A47" s="2" t="s">
        <v>262</v>
      </c>
      <c r="B47" s="2" t="s">
        <v>263</v>
      </c>
      <c r="C47" s="2" t="s">
        <v>264</v>
      </c>
      <c r="D47" s="2" t="s">
        <v>265</v>
      </c>
      <c r="E47" s="2" t="s">
        <v>132</v>
      </c>
      <c r="F47" s="2" t="s">
        <v>38</v>
      </c>
      <c r="G47" s="5">
        <v>1257</v>
      </c>
      <c r="H47" s="5">
        <v>25</v>
      </c>
      <c r="I47" s="5">
        <v>943</v>
      </c>
      <c r="J47" s="5">
        <v>3</v>
      </c>
      <c r="K47" s="2" t="s">
        <v>163</v>
      </c>
      <c r="L47" s="2" t="s">
        <v>209</v>
      </c>
      <c r="M47" s="4">
        <v>3.9</v>
      </c>
      <c r="N47" s="5">
        <v>165</v>
      </c>
      <c r="O47" s="3">
        <v>45842</v>
      </c>
      <c r="P47" s="2" t="s">
        <v>2390</v>
      </c>
      <c r="Q47" s="2" t="s">
        <v>65</v>
      </c>
      <c r="R47" s="2" t="s">
        <v>89</v>
      </c>
      <c r="S47" s="2" t="s">
        <v>90</v>
      </c>
      <c r="T47" s="2"/>
    </row>
    <row r="48" spans="1:20" ht="12.5" x14ac:dyDescent="0.25">
      <c r="A48" s="2" t="s">
        <v>266</v>
      </c>
      <c r="B48" s="2" t="s">
        <v>267</v>
      </c>
      <c r="C48" s="2" t="s">
        <v>268</v>
      </c>
      <c r="D48" s="2" t="s">
        <v>269</v>
      </c>
      <c r="E48" s="2" t="s">
        <v>247</v>
      </c>
      <c r="F48" s="2" t="s">
        <v>248</v>
      </c>
      <c r="G48" s="5">
        <v>2005</v>
      </c>
      <c r="H48" s="5">
        <v>10</v>
      </c>
      <c r="I48" s="5">
        <v>1805</v>
      </c>
      <c r="J48" s="5">
        <v>1</v>
      </c>
      <c r="K48" s="2" t="s">
        <v>163</v>
      </c>
      <c r="L48" s="2" t="s">
        <v>103</v>
      </c>
      <c r="M48" s="4">
        <v>4.9000000000000004</v>
      </c>
      <c r="N48" s="5">
        <v>22</v>
      </c>
      <c r="O48" s="3">
        <v>45770</v>
      </c>
      <c r="P48" s="2" t="s">
        <v>2392</v>
      </c>
      <c r="Q48" s="2" t="s">
        <v>78</v>
      </c>
      <c r="R48" s="2" t="s">
        <v>104</v>
      </c>
      <c r="S48" s="2" t="s">
        <v>105</v>
      </c>
      <c r="T48" s="2"/>
    </row>
    <row r="49" spans="1:20" ht="12.5" x14ac:dyDescent="0.25">
      <c r="A49" s="2" t="s">
        <v>270</v>
      </c>
      <c r="B49" s="2" t="s">
        <v>271</v>
      </c>
      <c r="C49" s="2" t="s">
        <v>272</v>
      </c>
      <c r="D49" s="2" t="s">
        <v>273</v>
      </c>
      <c r="E49" s="2" t="s">
        <v>48</v>
      </c>
      <c r="F49" s="2" t="s">
        <v>25</v>
      </c>
      <c r="G49" s="5">
        <v>3202</v>
      </c>
      <c r="H49" s="5">
        <v>25</v>
      </c>
      <c r="I49" s="5">
        <v>2402</v>
      </c>
      <c r="J49" s="5">
        <v>3</v>
      </c>
      <c r="K49" s="2">
        <v>44</v>
      </c>
      <c r="L49" s="2" t="s">
        <v>88</v>
      </c>
      <c r="M49" s="4">
        <v>4.3</v>
      </c>
      <c r="N49" s="5">
        <v>104</v>
      </c>
      <c r="O49" s="3">
        <v>45807</v>
      </c>
      <c r="P49" s="2" t="s">
        <v>2391</v>
      </c>
      <c r="Q49" s="2" t="s">
        <v>78</v>
      </c>
      <c r="R49" s="2" t="s">
        <v>83</v>
      </c>
      <c r="S49" s="2" t="s">
        <v>83</v>
      </c>
      <c r="T49" s="2"/>
    </row>
    <row r="50" spans="1:20" ht="12.5" x14ac:dyDescent="0.25">
      <c r="A50" s="2" t="s">
        <v>274</v>
      </c>
      <c r="B50" s="2" t="s">
        <v>275</v>
      </c>
      <c r="C50" s="2" t="s">
        <v>276</v>
      </c>
      <c r="D50" s="2" t="s">
        <v>277</v>
      </c>
      <c r="E50" s="2" t="s">
        <v>24</v>
      </c>
      <c r="F50" s="2" t="s">
        <v>25</v>
      </c>
      <c r="G50" s="5">
        <v>3086</v>
      </c>
      <c r="H50" s="5">
        <v>40</v>
      </c>
      <c r="I50" s="5">
        <v>1852</v>
      </c>
      <c r="J50" s="5">
        <v>3</v>
      </c>
      <c r="K50" s="2">
        <v>44</v>
      </c>
      <c r="L50" s="2" t="s">
        <v>27</v>
      </c>
      <c r="M50" s="4">
        <v>3.6</v>
      </c>
      <c r="N50" s="5">
        <v>162</v>
      </c>
      <c r="O50" s="3">
        <v>45849</v>
      </c>
      <c r="P50" s="2" t="s">
        <v>2390</v>
      </c>
      <c r="Q50" s="2" t="s">
        <v>65</v>
      </c>
      <c r="R50" s="2" t="s">
        <v>185</v>
      </c>
      <c r="S50" s="2" t="s">
        <v>186</v>
      </c>
      <c r="T50" s="2"/>
    </row>
    <row r="51" spans="1:20" ht="12.5" x14ac:dyDescent="0.25">
      <c r="A51" s="2" t="s">
        <v>278</v>
      </c>
      <c r="B51" s="2" t="s">
        <v>279</v>
      </c>
      <c r="C51" s="2" t="s">
        <v>280</v>
      </c>
      <c r="D51" s="2" t="s">
        <v>281</v>
      </c>
      <c r="E51" s="2" t="s">
        <v>247</v>
      </c>
      <c r="F51" s="2" t="s">
        <v>248</v>
      </c>
      <c r="G51" s="5">
        <v>827</v>
      </c>
      <c r="H51" s="5">
        <v>10</v>
      </c>
      <c r="I51" s="5">
        <v>745</v>
      </c>
      <c r="J51" s="5">
        <v>1</v>
      </c>
      <c r="K51" s="2" t="s">
        <v>163</v>
      </c>
      <c r="L51" s="2" t="s">
        <v>209</v>
      </c>
      <c r="M51" s="4">
        <v>4.9000000000000004</v>
      </c>
      <c r="N51" s="5">
        <v>23</v>
      </c>
      <c r="O51" s="3">
        <v>45831</v>
      </c>
      <c r="P51" s="2" t="s">
        <v>2390</v>
      </c>
      <c r="Q51" s="2" t="s">
        <v>65</v>
      </c>
      <c r="R51" s="2" t="s">
        <v>41</v>
      </c>
      <c r="S51" s="2" t="s">
        <v>42</v>
      </c>
      <c r="T51" s="2"/>
    </row>
    <row r="52" spans="1:20" ht="12.5" x14ac:dyDescent="0.25">
      <c r="A52" s="2" t="s">
        <v>282</v>
      </c>
      <c r="B52" s="2" t="s">
        <v>283</v>
      </c>
      <c r="C52" s="2" t="s">
        <v>284</v>
      </c>
      <c r="D52" s="2" t="s">
        <v>285</v>
      </c>
      <c r="E52" s="2" t="s">
        <v>147</v>
      </c>
      <c r="F52" s="2" t="s">
        <v>148</v>
      </c>
      <c r="G52" s="5">
        <v>4317</v>
      </c>
      <c r="H52" s="5">
        <v>15</v>
      </c>
      <c r="I52" s="5">
        <v>3670</v>
      </c>
      <c r="J52" s="5">
        <v>3</v>
      </c>
      <c r="K52" s="2" t="s">
        <v>26</v>
      </c>
      <c r="L52" s="2" t="s">
        <v>103</v>
      </c>
      <c r="M52" s="4">
        <v>4.3</v>
      </c>
      <c r="N52" s="5">
        <v>220</v>
      </c>
      <c r="O52" s="3">
        <v>45802</v>
      </c>
      <c r="P52" s="2" t="s">
        <v>2391</v>
      </c>
      <c r="Q52" s="2" t="s">
        <v>65</v>
      </c>
      <c r="R52" s="2" t="s">
        <v>104</v>
      </c>
      <c r="S52" s="2" t="s">
        <v>105</v>
      </c>
      <c r="T52" s="2" t="s">
        <v>43</v>
      </c>
    </row>
    <row r="53" spans="1:20" ht="12.5" x14ac:dyDescent="0.25">
      <c r="A53" s="2" t="s">
        <v>286</v>
      </c>
      <c r="B53" s="2" t="s">
        <v>287</v>
      </c>
      <c r="C53" s="2" t="s">
        <v>288</v>
      </c>
      <c r="D53" s="2" t="s">
        <v>289</v>
      </c>
      <c r="E53" s="2" t="s">
        <v>55</v>
      </c>
      <c r="F53" s="2" t="s">
        <v>38</v>
      </c>
      <c r="G53" s="5">
        <v>2064</v>
      </c>
      <c r="H53" s="5">
        <v>40</v>
      </c>
      <c r="I53" s="5">
        <v>1239</v>
      </c>
      <c r="J53" s="5">
        <v>1</v>
      </c>
      <c r="K53" s="2">
        <v>44</v>
      </c>
      <c r="L53" s="2" t="s">
        <v>73</v>
      </c>
      <c r="M53" s="4">
        <v>4.9000000000000004</v>
      </c>
      <c r="N53" s="5">
        <v>61</v>
      </c>
      <c r="O53" s="3">
        <v>45838</v>
      </c>
      <c r="P53" s="2" t="s">
        <v>2390</v>
      </c>
      <c r="Q53" s="2" t="s">
        <v>78</v>
      </c>
      <c r="R53" s="2" t="s">
        <v>83</v>
      </c>
      <c r="S53" s="2" t="s">
        <v>83</v>
      </c>
      <c r="T53" s="2"/>
    </row>
    <row r="54" spans="1:20" ht="12.5" x14ac:dyDescent="0.25">
      <c r="A54" s="2" t="s">
        <v>290</v>
      </c>
      <c r="B54" s="2" t="s">
        <v>291</v>
      </c>
      <c r="C54" s="2" t="s">
        <v>292</v>
      </c>
      <c r="D54" s="2" t="s">
        <v>293</v>
      </c>
      <c r="E54" s="2" t="s">
        <v>247</v>
      </c>
      <c r="F54" s="2" t="s">
        <v>248</v>
      </c>
      <c r="G54" s="5">
        <v>1715</v>
      </c>
      <c r="H54" s="5">
        <v>25</v>
      </c>
      <c r="I54" s="5">
        <v>1287</v>
      </c>
      <c r="J54" s="5">
        <v>3</v>
      </c>
      <c r="K54" s="2">
        <v>42</v>
      </c>
      <c r="L54" s="2" t="s">
        <v>27</v>
      </c>
      <c r="M54" s="4">
        <v>5</v>
      </c>
      <c r="N54" s="5">
        <v>55</v>
      </c>
      <c r="O54" s="3">
        <v>45848</v>
      </c>
      <c r="P54" s="2" t="s">
        <v>2392</v>
      </c>
      <c r="Q54" s="2" t="s">
        <v>29</v>
      </c>
      <c r="R54" s="2" t="s">
        <v>185</v>
      </c>
      <c r="S54" s="2" t="s">
        <v>186</v>
      </c>
      <c r="T54" s="2"/>
    </row>
    <row r="55" spans="1:20" ht="12.5" x14ac:dyDescent="0.25">
      <c r="A55" s="2" t="s">
        <v>294</v>
      </c>
      <c r="B55" s="2" t="s">
        <v>295</v>
      </c>
      <c r="C55" s="2" t="s">
        <v>296</v>
      </c>
      <c r="D55" s="2" t="s">
        <v>297</v>
      </c>
      <c r="E55" s="2" t="s">
        <v>147</v>
      </c>
      <c r="F55" s="2" t="s">
        <v>148</v>
      </c>
      <c r="G55" s="5">
        <v>4414</v>
      </c>
      <c r="H55" s="5">
        <v>35</v>
      </c>
      <c r="I55" s="5">
        <v>2870</v>
      </c>
      <c r="J55" s="5">
        <v>2</v>
      </c>
      <c r="K55" s="2">
        <v>40</v>
      </c>
      <c r="L55" s="2" t="s">
        <v>168</v>
      </c>
      <c r="M55" s="4">
        <v>4.3</v>
      </c>
      <c r="N55" s="5">
        <v>15</v>
      </c>
      <c r="O55" s="3">
        <v>45829</v>
      </c>
      <c r="P55" s="2" t="s">
        <v>2391</v>
      </c>
      <c r="Q55" s="2" t="s">
        <v>29</v>
      </c>
      <c r="R55" s="2" t="s">
        <v>89</v>
      </c>
      <c r="S55" s="2" t="s">
        <v>90</v>
      </c>
      <c r="T55" s="2" t="s">
        <v>43</v>
      </c>
    </row>
    <row r="56" spans="1:20" ht="12.5" x14ac:dyDescent="0.25">
      <c r="A56" s="2" t="s">
        <v>298</v>
      </c>
      <c r="B56" s="2" t="s">
        <v>299</v>
      </c>
      <c r="C56" s="2" t="s">
        <v>300</v>
      </c>
      <c r="D56" s="2" t="s">
        <v>301</v>
      </c>
      <c r="E56" s="2" t="s">
        <v>48</v>
      </c>
      <c r="F56" s="2" t="s">
        <v>25</v>
      </c>
      <c r="G56" s="5">
        <v>1566</v>
      </c>
      <c r="H56" s="5">
        <v>25</v>
      </c>
      <c r="I56" s="5">
        <v>1175</v>
      </c>
      <c r="J56" s="5">
        <v>1</v>
      </c>
      <c r="K56" s="2" t="s">
        <v>56</v>
      </c>
      <c r="L56" s="2" t="s">
        <v>168</v>
      </c>
      <c r="M56" s="4">
        <v>4.9000000000000004</v>
      </c>
      <c r="N56" s="5">
        <v>220</v>
      </c>
      <c r="O56" s="3">
        <v>45801</v>
      </c>
      <c r="P56" s="2" t="s">
        <v>2392</v>
      </c>
      <c r="Q56" s="2" t="s">
        <v>29</v>
      </c>
      <c r="R56" s="2" t="s">
        <v>41</v>
      </c>
      <c r="S56" s="2" t="s">
        <v>42</v>
      </c>
      <c r="T56" s="2"/>
    </row>
    <row r="57" spans="1:20" ht="12.5" x14ac:dyDescent="0.25">
      <c r="A57" s="2" t="s">
        <v>302</v>
      </c>
      <c r="B57" s="2" t="s">
        <v>303</v>
      </c>
      <c r="C57" s="2" t="s">
        <v>304</v>
      </c>
      <c r="D57" s="2" t="s">
        <v>305</v>
      </c>
      <c r="E57" s="2" t="s">
        <v>132</v>
      </c>
      <c r="F57" s="2" t="s">
        <v>38</v>
      </c>
      <c r="G57" s="5">
        <v>3647</v>
      </c>
      <c r="H57" s="5">
        <v>30</v>
      </c>
      <c r="I57" s="5">
        <v>2553</v>
      </c>
      <c r="J57" s="5">
        <v>2</v>
      </c>
      <c r="K57" s="2" t="s">
        <v>163</v>
      </c>
      <c r="L57" s="2" t="s">
        <v>209</v>
      </c>
      <c r="M57" s="4">
        <v>5</v>
      </c>
      <c r="N57" s="5">
        <v>159</v>
      </c>
      <c r="O57" s="3">
        <v>45793</v>
      </c>
      <c r="P57" s="2" t="s">
        <v>2391</v>
      </c>
      <c r="Q57" s="2" t="s">
        <v>78</v>
      </c>
      <c r="R57" s="2" t="s">
        <v>41</v>
      </c>
      <c r="S57" s="2" t="s">
        <v>42</v>
      </c>
      <c r="T57" s="2" t="s">
        <v>203</v>
      </c>
    </row>
    <row r="58" spans="1:20" ht="12.5" x14ac:dyDescent="0.25">
      <c r="A58" s="2" t="s">
        <v>306</v>
      </c>
      <c r="B58" s="2" t="s">
        <v>307</v>
      </c>
      <c r="C58" s="2" t="s">
        <v>308</v>
      </c>
      <c r="D58" s="2" t="s">
        <v>309</v>
      </c>
      <c r="E58" s="2" t="s">
        <v>147</v>
      </c>
      <c r="F58" s="2" t="s">
        <v>148</v>
      </c>
      <c r="G58" s="5">
        <v>4903</v>
      </c>
      <c r="H58" s="5">
        <v>35</v>
      </c>
      <c r="I58" s="5">
        <v>3187</v>
      </c>
      <c r="J58" s="5">
        <v>3</v>
      </c>
      <c r="K58" s="2">
        <v>42</v>
      </c>
      <c r="L58" s="2" t="s">
        <v>39</v>
      </c>
      <c r="M58" s="4">
        <v>3.8</v>
      </c>
      <c r="N58" s="5">
        <v>98</v>
      </c>
      <c r="O58" s="3">
        <v>45771</v>
      </c>
      <c r="P58" s="2" t="s">
        <v>2392</v>
      </c>
      <c r="Q58" s="2" t="s">
        <v>78</v>
      </c>
      <c r="R58" s="2" t="s">
        <v>104</v>
      </c>
      <c r="S58" s="2" t="s">
        <v>105</v>
      </c>
      <c r="T58" s="2"/>
    </row>
    <row r="59" spans="1:20" ht="12.5" x14ac:dyDescent="0.25">
      <c r="A59" s="2" t="s">
        <v>310</v>
      </c>
      <c r="B59" s="2" t="s">
        <v>311</v>
      </c>
      <c r="C59" s="2" t="s">
        <v>241</v>
      </c>
      <c r="D59" s="2" t="s">
        <v>312</v>
      </c>
      <c r="E59" s="2" t="s">
        <v>247</v>
      </c>
      <c r="F59" s="2" t="s">
        <v>248</v>
      </c>
      <c r="G59" s="5">
        <v>4841</v>
      </c>
      <c r="H59" s="5">
        <v>20</v>
      </c>
      <c r="I59" s="5">
        <v>3873</v>
      </c>
      <c r="J59" s="5">
        <v>2</v>
      </c>
      <c r="K59" s="2">
        <v>42</v>
      </c>
      <c r="L59" s="2" t="s">
        <v>209</v>
      </c>
      <c r="M59" s="4">
        <v>3.7</v>
      </c>
      <c r="N59" s="5">
        <v>175</v>
      </c>
      <c r="O59" s="3">
        <v>45770</v>
      </c>
      <c r="P59" s="2" t="s">
        <v>2390</v>
      </c>
      <c r="Q59" s="2" t="s">
        <v>65</v>
      </c>
      <c r="R59" s="2" t="s">
        <v>66</v>
      </c>
      <c r="S59" s="2" t="s">
        <v>67</v>
      </c>
      <c r="T59" s="2"/>
    </row>
    <row r="60" spans="1:20" ht="12.5" x14ac:dyDescent="0.25">
      <c r="A60" s="2" t="s">
        <v>313</v>
      </c>
      <c r="B60" s="2" t="s">
        <v>314</v>
      </c>
      <c r="C60" s="2" t="s">
        <v>315</v>
      </c>
      <c r="D60" s="2" t="s">
        <v>316</v>
      </c>
      <c r="E60" s="2" t="s">
        <v>55</v>
      </c>
      <c r="F60" s="2" t="s">
        <v>38</v>
      </c>
      <c r="G60" s="5">
        <v>1037</v>
      </c>
      <c r="H60" s="5">
        <v>30</v>
      </c>
      <c r="I60" s="5">
        <v>726</v>
      </c>
      <c r="J60" s="5">
        <v>3</v>
      </c>
      <c r="K60" s="2" t="s">
        <v>226</v>
      </c>
      <c r="L60" s="2" t="s">
        <v>39</v>
      </c>
      <c r="M60" s="4">
        <v>3.7</v>
      </c>
      <c r="N60" s="5">
        <v>18</v>
      </c>
      <c r="O60" s="3">
        <v>45828</v>
      </c>
      <c r="P60" s="2" t="s">
        <v>2390</v>
      </c>
      <c r="Q60" s="2" t="s">
        <v>29</v>
      </c>
      <c r="R60" s="2" t="s">
        <v>30</v>
      </c>
      <c r="S60" s="2" t="s">
        <v>31</v>
      </c>
      <c r="T60" s="2"/>
    </row>
    <row r="61" spans="1:20" ht="12.5" x14ac:dyDescent="0.25">
      <c r="A61" s="2" t="s">
        <v>317</v>
      </c>
      <c r="B61" s="2" t="s">
        <v>318</v>
      </c>
      <c r="C61" s="2" t="s">
        <v>319</v>
      </c>
      <c r="D61" s="2" t="s">
        <v>320</v>
      </c>
      <c r="E61" s="2" t="s">
        <v>48</v>
      </c>
      <c r="F61" s="2" t="s">
        <v>25</v>
      </c>
      <c r="G61" s="5">
        <v>989</v>
      </c>
      <c r="H61" s="5">
        <v>30</v>
      </c>
      <c r="I61" s="5">
        <v>693</v>
      </c>
      <c r="J61" s="5">
        <v>1</v>
      </c>
      <c r="K61" s="2" t="s">
        <v>32</v>
      </c>
      <c r="L61" s="2" t="s">
        <v>27</v>
      </c>
      <c r="M61" s="4">
        <v>3.9</v>
      </c>
      <c r="N61" s="5">
        <v>37</v>
      </c>
      <c r="O61" s="3">
        <v>45792</v>
      </c>
      <c r="P61" s="2" t="s">
        <v>2390</v>
      </c>
      <c r="Q61" s="2" t="s">
        <v>65</v>
      </c>
      <c r="R61" s="2" t="s">
        <v>104</v>
      </c>
      <c r="S61" s="2" t="s">
        <v>105</v>
      </c>
      <c r="T61" s="2"/>
    </row>
    <row r="62" spans="1:20" ht="12.5" x14ac:dyDescent="0.25">
      <c r="A62" s="2" t="s">
        <v>321</v>
      </c>
      <c r="B62" s="2" t="s">
        <v>232</v>
      </c>
      <c r="C62" s="2" t="s">
        <v>322</v>
      </c>
      <c r="D62" s="2" t="s">
        <v>323</v>
      </c>
      <c r="E62" s="2" t="s">
        <v>208</v>
      </c>
      <c r="F62" s="2" t="s">
        <v>117</v>
      </c>
      <c r="G62" s="5">
        <v>2866</v>
      </c>
      <c r="H62" s="5">
        <v>15</v>
      </c>
      <c r="I62" s="5">
        <v>2437</v>
      </c>
      <c r="J62" s="5">
        <v>2</v>
      </c>
      <c r="K62" s="2">
        <v>44</v>
      </c>
      <c r="L62" s="2" t="s">
        <v>64</v>
      </c>
      <c r="M62" s="4">
        <v>4.5999999999999996</v>
      </c>
      <c r="N62" s="5">
        <v>167</v>
      </c>
      <c r="O62" s="3">
        <v>45783</v>
      </c>
      <c r="P62" s="2" t="s">
        <v>2392</v>
      </c>
      <c r="Q62" s="2" t="s">
        <v>65</v>
      </c>
      <c r="R62" s="2" t="s">
        <v>58</v>
      </c>
      <c r="S62" s="2" t="s">
        <v>59</v>
      </c>
      <c r="T62" s="2"/>
    </row>
    <row r="63" spans="1:20" ht="12.5" x14ac:dyDescent="0.25">
      <c r="A63" s="2" t="s">
        <v>324</v>
      </c>
      <c r="B63" s="2" t="s">
        <v>325</v>
      </c>
      <c r="C63" s="2" t="s">
        <v>326</v>
      </c>
      <c r="D63" s="2" t="s">
        <v>327</v>
      </c>
      <c r="E63" s="2" t="s">
        <v>208</v>
      </c>
      <c r="F63" s="2" t="s">
        <v>117</v>
      </c>
      <c r="G63" s="5">
        <v>4671</v>
      </c>
      <c r="H63" s="5">
        <v>20</v>
      </c>
      <c r="I63" s="5">
        <v>3737</v>
      </c>
      <c r="J63" s="5">
        <v>3</v>
      </c>
      <c r="K63" s="2" t="s">
        <v>163</v>
      </c>
      <c r="L63" s="2" t="s">
        <v>39</v>
      </c>
      <c r="M63" s="4">
        <v>3.9</v>
      </c>
      <c r="N63" s="5">
        <v>48</v>
      </c>
      <c r="O63" s="3">
        <v>45840</v>
      </c>
      <c r="P63" s="2" t="s">
        <v>2390</v>
      </c>
      <c r="Q63" s="2" t="s">
        <v>29</v>
      </c>
      <c r="R63" s="2" t="s">
        <v>89</v>
      </c>
      <c r="S63" s="2" t="s">
        <v>90</v>
      </c>
      <c r="T63" s="2"/>
    </row>
    <row r="64" spans="1:20" ht="12.5" x14ac:dyDescent="0.25">
      <c r="A64" s="2" t="s">
        <v>328</v>
      </c>
      <c r="B64" s="2" t="s">
        <v>329</v>
      </c>
      <c r="C64" s="2" t="s">
        <v>330</v>
      </c>
      <c r="D64" s="2" t="s">
        <v>331</v>
      </c>
      <c r="E64" s="2" t="s">
        <v>37</v>
      </c>
      <c r="F64" s="2" t="s">
        <v>38</v>
      </c>
      <c r="G64" s="5">
        <v>4620</v>
      </c>
      <c r="H64" s="5">
        <v>15</v>
      </c>
      <c r="I64" s="5">
        <v>3927</v>
      </c>
      <c r="J64" s="5">
        <v>1</v>
      </c>
      <c r="K64" s="2" t="s">
        <v>226</v>
      </c>
      <c r="L64" s="2" t="s">
        <v>73</v>
      </c>
      <c r="M64" s="4">
        <v>4.2</v>
      </c>
      <c r="N64" s="5">
        <v>57</v>
      </c>
      <c r="O64" s="3">
        <v>45857</v>
      </c>
      <c r="P64" s="2" t="s">
        <v>2392</v>
      </c>
      <c r="Q64" s="2" t="s">
        <v>65</v>
      </c>
      <c r="R64" s="2" t="s">
        <v>58</v>
      </c>
      <c r="S64" s="2" t="s">
        <v>59</v>
      </c>
      <c r="T64" s="2"/>
    </row>
    <row r="65" spans="1:20" ht="12.5" x14ac:dyDescent="0.25">
      <c r="A65" s="2" t="s">
        <v>332</v>
      </c>
      <c r="B65" s="2" t="s">
        <v>333</v>
      </c>
      <c r="C65" s="2" t="s">
        <v>334</v>
      </c>
      <c r="D65" s="2" t="s">
        <v>335</v>
      </c>
      <c r="E65" s="2" t="s">
        <v>116</v>
      </c>
      <c r="F65" s="2" t="s">
        <v>117</v>
      </c>
      <c r="G65" s="5">
        <v>3540</v>
      </c>
      <c r="H65" s="5">
        <v>10</v>
      </c>
      <c r="I65" s="5">
        <v>3186</v>
      </c>
      <c r="J65" s="5">
        <v>3</v>
      </c>
      <c r="K65" s="2">
        <v>44</v>
      </c>
      <c r="L65" s="2" t="s">
        <v>73</v>
      </c>
      <c r="M65" s="4">
        <v>4.0999999999999996</v>
      </c>
      <c r="N65" s="5">
        <v>144</v>
      </c>
      <c r="O65" s="3">
        <v>45784</v>
      </c>
      <c r="P65" s="2" t="s">
        <v>2390</v>
      </c>
      <c r="Q65" s="2" t="s">
        <v>78</v>
      </c>
      <c r="R65" s="2" t="s">
        <v>83</v>
      </c>
      <c r="S65" s="2" t="s">
        <v>83</v>
      </c>
      <c r="T65" s="2"/>
    </row>
    <row r="66" spans="1:20" ht="12.5" x14ac:dyDescent="0.25">
      <c r="A66" s="2" t="s">
        <v>336</v>
      </c>
      <c r="B66" s="2" t="s">
        <v>337</v>
      </c>
      <c r="C66" s="2" t="s">
        <v>338</v>
      </c>
      <c r="D66" s="2" t="s">
        <v>339</v>
      </c>
      <c r="E66" s="2" t="s">
        <v>132</v>
      </c>
      <c r="F66" s="2" t="s">
        <v>38</v>
      </c>
      <c r="G66" s="5">
        <v>871</v>
      </c>
      <c r="H66" s="5">
        <v>15</v>
      </c>
      <c r="I66" s="5">
        <v>741</v>
      </c>
      <c r="J66" s="5">
        <v>2</v>
      </c>
      <c r="K66" s="2" t="s">
        <v>163</v>
      </c>
      <c r="L66" s="2" t="s">
        <v>209</v>
      </c>
      <c r="M66" s="4">
        <v>4.2</v>
      </c>
      <c r="N66" s="5">
        <v>72</v>
      </c>
      <c r="O66" s="3">
        <v>45806</v>
      </c>
      <c r="P66" s="2" t="s">
        <v>2392</v>
      </c>
      <c r="Q66" s="2" t="s">
        <v>29</v>
      </c>
      <c r="R66" s="2" t="s">
        <v>89</v>
      </c>
      <c r="S66" s="2" t="s">
        <v>90</v>
      </c>
      <c r="T66" s="2"/>
    </row>
    <row r="67" spans="1:20" ht="12.5" x14ac:dyDescent="0.25">
      <c r="A67" s="2" t="s">
        <v>340</v>
      </c>
      <c r="B67" s="2" t="s">
        <v>341</v>
      </c>
      <c r="C67" s="2" t="s">
        <v>342</v>
      </c>
      <c r="D67" s="2" t="s">
        <v>343</v>
      </c>
      <c r="E67" s="2" t="s">
        <v>147</v>
      </c>
      <c r="F67" s="2" t="s">
        <v>148</v>
      </c>
      <c r="G67" s="5">
        <v>4276</v>
      </c>
      <c r="H67" s="5">
        <v>35</v>
      </c>
      <c r="I67" s="5">
        <v>2780</v>
      </c>
      <c r="J67" s="5">
        <v>2</v>
      </c>
      <c r="K67" s="2" t="s">
        <v>261</v>
      </c>
      <c r="L67" s="2" t="s">
        <v>103</v>
      </c>
      <c r="M67" s="4">
        <v>4.5999999999999996</v>
      </c>
      <c r="N67" s="5">
        <v>122</v>
      </c>
      <c r="O67" s="3">
        <v>45858</v>
      </c>
      <c r="P67" s="2" t="s">
        <v>2392</v>
      </c>
      <c r="Q67" s="2" t="s">
        <v>29</v>
      </c>
      <c r="R67" s="2" t="s">
        <v>185</v>
      </c>
      <c r="S67" s="2" t="s">
        <v>186</v>
      </c>
      <c r="T67" s="2"/>
    </row>
    <row r="68" spans="1:20" ht="12.5" x14ac:dyDescent="0.25">
      <c r="A68" s="2" t="s">
        <v>344</v>
      </c>
      <c r="B68" s="2" t="s">
        <v>345</v>
      </c>
      <c r="C68" s="2" t="s">
        <v>346</v>
      </c>
      <c r="D68" s="2" t="s">
        <v>347</v>
      </c>
      <c r="E68" s="2" t="s">
        <v>247</v>
      </c>
      <c r="F68" s="2" t="s">
        <v>248</v>
      </c>
      <c r="G68" s="5">
        <v>1949</v>
      </c>
      <c r="H68" s="5">
        <v>35</v>
      </c>
      <c r="I68" s="5">
        <v>1267</v>
      </c>
      <c r="J68" s="5">
        <v>3</v>
      </c>
      <c r="K68" s="2" t="s">
        <v>226</v>
      </c>
      <c r="L68" s="2" t="s">
        <v>49</v>
      </c>
      <c r="M68" s="4">
        <v>4.5999999999999996</v>
      </c>
      <c r="N68" s="5">
        <v>12</v>
      </c>
      <c r="O68" s="3">
        <v>45835</v>
      </c>
      <c r="P68" s="2" t="s">
        <v>2391</v>
      </c>
      <c r="Q68" s="2" t="s">
        <v>78</v>
      </c>
      <c r="R68" s="2" t="s">
        <v>83</v>
      </c>
      <c r="S68" s="2" t="s">
        <v>83</v>
      </c>
      <c r="T68" s="2" t="s">
        <v>134</v>
      </c>
    </row>
    <row r="69" spans="1:20" ht="12.5" x14ac:dyDescent="0.25">
      <c r="A69" s="2" t="s">
        <v>348</v>
      </c>
      <c r="B69" s="2" t="s">
        <v>349</v>
      </c>
      <c r="C69" s="2" t="s">
        <v>350</v>
      </c>
      <c r="D69" s="2" t="s">
        <v>351</v>
      </c>
      <c r="E69" s="2" t="s">
        <v>55</v>
      </c>
      <c r="F69" s="2" t="s">
        <v>38</v>
      </c>
      <c r="G69" s="5">
        <v>3805</v>
      </c>
      <c r="H69" s="5">
        <v>25</v>
      </c>
      <c r="I69" s="5">
        <v>2854</v>
      </c>
      <c r="J69" s="5">
        <v>2</v>
      </c>
      <c r="K69" s="2" t="s">
        <v>26</v>
      </c>
      <c r="L69" s="2" t="s">
        <v>103</v>
      </c>
      <c r="M69" s="4">
        <v>4</v>
      </c>
      <c r="N69" s="5">
        <v>153</v>
      </c>
      <c r="O69" s="3">
        <v>45809</v>
      </c>
      <c r="P69" s="2" t="s">
        <v>2391</v>
      </c>
      <c r="Q69" s="2" t="s">
        <v>29</v>
      </c>
      <c r="R69" s="2" t="s">
        <v>149</v>
      </c>
      <c r="S69" s="2" t="s">
        <v>150</v>
      </c>
      <c r="T69" s="2" t="s">
        <v>50</v>
      </c>
    </row>
    <row r="70" spans="1:20" ht="12.5" x14ac:dyDescent="0.25">
      <c r="A70" s="2" t="s">
        <v>352</v>
      </c>
      <c r="B70" s="2" t="s">
        <v>353</v>
      </c>
      <c r="C70" s="2" t="s">
        <v>354</v>
      </c>
      <c r="D70" s="2" t="s">
        <v>355</v>
      </c>
      <c r="E70" s="2" t="s">
        <v>48</v>
      </c>
      <c r="F70" s="2" t="s">
        <v>25</v>
      </c>
      <c r="G70" s="5">
        <v>4829</v>
      </c>
      <c r="H70" s="5">
        <v>40</v>
      </c>
      <c r="I70" s="5">
        <v>2898</v>
      </c>
      <c r="J70" s="5">
        <v>1</v>
      </c>
      <c r="K70" s="2" t="s">
        <v>26</v>
      </c>
      <c r="L70" s="2" t="s">
        <v>49</v>
      </c>
      <c r="M70" s="4">
        <v>3.8</v>
      </c>
      <c r="N70" s="5">
        <v>10</v>
      </c>
      <c r="O70" s="3">
        <v>45796</v>
      </c>
      <c r="P70" s="2" t="s">
        <v>2390</v>
      </c>
      <c r="Q70" s="2" t="s">
        <v>29</v>
      </c>
      <c r="R70" s="2" t="s">
        <v>104</v>
      </c>
      <c r="S70" s="2" t="s">
        <v>105</v>
      </c>
      <c r="T70" s="2"/>
    </row>
    <row r="71" spans="1:20" ht="12.5" x14ac:dyDescent="0.25">
      <c r="A71" s="2" t="s">
        <v>356</v>
      </c>
      <c r="B71" s="2" t="s">
        <v>357</v>
      </c>
      <c r="C71" s="2" t="s">
        <v>358</v>
      </c>
      <c r="D71" s="2" t="s">
        <v>359</v>
      </c>
      <c r="E71" s="2" t="s">
        <v>122</v>
      </c>
      <c r="F71" s="2" t="s">
        <v>123</v>
      </c>
      <c r="G71" s="5">
        <v>1593</v>
      </c>
      <c r="H71" s="5">
        <v>15</v>
      </c>
      <c r="I71" s="5">
        <v>1355</v>
      </c>
      <c r="J71" s="5">
        <v>3</v>
      </c>
      <c r="K71" s="2">
        <v>40</v>
      </c>
      <c r="L71" s="2" t="s">
        <v>88</v>
      </c>
      <c r="M71" s="4">
        <v>4.2</v>
      </c>
      <c r="N71" s="5">
        <v>159</v>
      </c>
      <c r="O71" s="3">
        <v>45780</v>
      </c>
      <c r="P71" s="2" t="s">
        <v>2390</v>
      </c>
      <c r="Q71" s="2" t="s">
        <v>29</v>
      </c>
      <c r="R71" s="2" t="s">
        <v>110</v>
      </c>
      <c r="S71" s="2" t="s">
        <v>111</v>
      </c>
      <c r="T71" s="2"/>
    </row>
    <row r="72" spans="1:20" ht="12.5" x14ac:dyDescent="0.25">
      <c r="A72" s="2" t="s">
        <v>360</v>
      </c>
      <c r="B72" s="2" t="s">
        <v>361</v>
      </c>
      <c r="C72" s="2" t="s">
        <v>362</v>
      </c>
      <c r="D72" s="2" t="s">
        <v>363</v>
      </c>
      <c r="E72" s="2" t="s">
        <v>37</v>
      </c>
      <c r="F72" s="2" t="s">
        <v>38</v>
      </c>
      <c r="G72" s="5">
        <v>4540</v>
      </c>
      <c r="H72" s="5">
        <v>40</v>
      </c>
      <c r="I72" s="5">
        <v>2724</v>
      </c>
      <c r="J72" s="5">
        <v>2</v>
      </c>
      <c r="K72" s="2" t="s">
        <v>32</v>
      </c>
      <c r="L72" s="2" t="s">
        <v>49</v>
      </c>
      <c r="M72" s="4">
        <v>4.9000000000000004</v>
      </c>
      <c r="N72" s="5">
        <v>112</v>
      </c>
      <c r="O72" s="3">
        <v>45795</v>
      </c>
      <c r="P72" s="2" t="s">
        <v>2392</v>
      </c>
      <c r="Q72" s="2" t="s">
        <v>29</v>
      </c>
      <c r="R72" s="2" t="s">
        <v>58</v>
      </c>
      <c r="S72" s="2" t="s">
        <v>59</v>
      </c>
      <c r="T72" s="2"/>
    </row>
    <row r="73" spans="1:20" ht="12.5" x14ac:dyDescent="0.25">
      <c r="A73" s="2" t="s">
        <v>364</v>
      </c>
      <c r="B73" s="2" t="s">
        <v>365</v>
      </c>
      <c r="C73" s="2" t="s">
        <v>366</v>
      </c>
      <c r="D73" s="2" t="s">
        <v>367</v>
      </c>
      <c r="E73" s="2" t="s">
        <v>37</v>
      </c>
      <c r="F73" s="2" t="s">
        <v>38</v>
      </c>
      <c r="G73" s="5">
        <v>2318</v>
      </c>
      <c r="H73" s="5">
        <v>15</v>
      </c>
      <c r="I73" s="5">
        <v>1971</v>
      </c>
      <c r="J73" s="5">
        <v>1</v>
      </c>
      <c r="K73" s="2" t="s">
        <v>163</v>
      </c>
      <c r="L73" s="2" t="s">
        <v>64</v>
      </c>
      <c r="M73" s="4">
        <v>4.8</v>
      </c>
      <c r="N73" s="5">
        <v>233</v>
      </c>
      <c r="O73" s="3">
        <v>45855</v>
      </c>
      <c r="P73" s="2" t="s">
        <v>2390</v>
      </c>
      <c r="Q73" s="2" t="s">
        <v>78</v>
      </c>
      <c r="R73" s="2" t="s">
        <v>30</v>
      </c>
      <c r="S73" s="2" t="s">
        <v>31</v>
      </c>
      <c r="T73" s="2"/>
    </row>
    <row r="74" spans="1:20" ht="12.5" x14ac:dyDescent="0.25">
      <c r="A74" s="2" t="s">
        <v>368</v>
      </c>
      <c r="B74" s="2" t="s">
        <v>369</v>
      </c>
      <c r="C74" s="2" t="s">
        <v>370</v>
      </c>
      <c r="D74" s="2" t="s">
        <v>371</v>
      </c>
      <c r="E74" s="2" t="s">
        <v>48</v>
      </c>
      <c r="F74" s="2" t="s">
        <v>25</v>
      </c>
      <c r="G74" s="5">
        <v>4109</v>
      </c>
      <c r="H74" s="5">
        <v>25</v>
      </c>
      <c r="I74" s="5">
        <v>3082</v>
      </c>
      <c r="J74" s="5">
        <v>2</v>
      </c>
      <c r="K74" s="2" t="s">
        <v>72</v>
      </c>
      <c r="L74" s="2" t="s">
        <v>88</v>
      </c>
      <c r="M74" s="4">
        <v>4.5999999999999996</v>
      </c>
      <c r="N74" s="5">
        <v>212</v>
      </c>
      <c r="O74" s="3">
        <v>45790</v>
      </c>
      <c r="P74" s="2" t="s">
        <v>2390</v>
      </c>
      <c r="Q74" s="2" t="s">
        <v>29</v>
      </c>
      <c r="R74" s="2" t="s">
        <v>104</v>
      </c>
      <c r="S74" s="2" t="s">
        <v>105</v>
      </c>
      <c r="T74" s="2"/>
    </row>
    <row r="75" spans="1:20" ht="12.5" x14ac:dyDescent="0.25">
      <c r="A75" s="2" t="s">
        <v>372</v>
      </c>
      <c r="B75" s="2" t="s">
        <v>34</v>
      </c>
      <c r="C75" s="2" t="s">
        <v>373</v>
      </c>
      <c r="D75" s="2" t="s">
        <v>374</v>
      </c>
      <c r="E75" s="2" t="s">
        <v>24</v>
      </c>
      <c r="F75" s="2" t="s">
        <v>25</v>
      </c>
      <c r="G75" s="5">
        <v>3011</v>
      </c>
      <c r="H75" s="5">
        <v>25</v>
      </c>
      <c r="I75" s="5">
        <v>2259</v>
      </c>
      <c r="J75" s="5">
        <v>1</v>
      </c>
      <c r="K75" s="2" t="s">
        <v>32</v>
      </c>
      <c r="L75" s="2" t="s">
        <v>39</v>
      </c>
      <c r="M75" s="4">
        <v>3.8</v>
      </c>
      <c r="N75" s="5">
        <v>156</v>
      </c>
      <c r="O75" s="3">
        <v>45855</v>
      </c>
      <c r="P75" s="2" t="s">
        <v>2392</v>
      </c>
      <c r="Q75" s="2" t="s">
        <v>65</v>
      </c>
      <c r="R75" s="2" t="s">
        <v>104</v>
      </c>
      <c r="S75" s="2" t="s">
        <v>105</v>
      </c>
      <c r="T75" s="2"/>
    </row>
    <row r="76" spans="1:20" ht="12.5" x14ac:dyDescent="0.25">
      <c r="A76" s="2" t="s">
        <v>375</v>
      </c>
      <c r="B76" s="2" t="s">
        <v>376</v>
      </c>
      <c r="C76" s="2" t="s">
        <v>377</v>
      </c>
      <c r="D76" s="2" t="s">
        <v>378</v>
      </c>
      <c r="E76" s="2" t="s">
        <v>147</v>
      </c>
      <c r="F76" s="2" t="s">
        <v>148</v>
      </c>
      <c r="G76" s="5">
        <v>3928</v>
      </c>
      <c r="H76" s="5">
        <v>20</v>
      </c>
      <c r="I76" s="5">
        <v>3143</v>
      </c>
      <c r="J76" s="5">
        <v>3</v>
      </c>
      <c r="K76" s="2">
        <v>44</v>
      </c>
      <c r="L76" s="2" t="s">
        <v>168</v>
      </c>
      <c r="M76" s="4">
        <v>4</v>
      </c>
      <c r="N76" s="5">
        <v>277</v>
      </c>
      <c r="O76" s="3">
        <v>45801</v>
      </c>
      <c r="P76" s="2" t="s">
        <v>2391</v>
      </c>
      <c r="Q76" s="2" t="s">
        <v>78</v>
      </c>
      <c r="R76" s="2" t="s">
        <v>89</v>
      </c>
      <c r="S76" s="2" t="s">
        <v>90</v>
      </c>
      <c r="T76" s="2"/>
    </row>
    <row r="77" spans="1:20" ht="12.5" x14ac:dyDescent="0.25">
      <c r="A77" s="2" t="s">
        <v>379</v>
      </c>
      <c r="B77" s="2" t="s">
        <v>380</v>
      </c>
      <c r="C77" s="2" t="s">
        <v>381</v>
      </c>
      <c r="D77" s="2" t="s">
        <v>382</v>
      </c>
      <c r="E77" s="2" t="s">
        <v>116</v>
      </c>
      <c r="F77" s="2" t="s">
        <v>117</v>
      </c>
      <c r="G77" s="5">
        <v>4967</v>
      </c>
      <c r="H77" s="5">
        <v>10</v>
      </c>
      <c r="I77" s="5">
        <v>4471</v>
      </c>
      <c r="J77" s="5">
        <v>3</v>
      </c>
      <c r="K77" s="2">
        <v>42</v>
      </c>
      <c r="L77" s="2" t="s">
        <v>64</v>
      </c>
      <c r="M77" s="4">
        <v>4.3</v>
      </c>
      <c r="N77" s="5">
        <v>153</v>
      </c>
      <c r="O77" s="3">
        <v>45793</v>
      </c>
      <c r="P77" s="2" t="s">
        <v>2390</v>
      </c>
      <c r="Q77" s="2" t="s">
        <v>65</v>
      </c>
      <c r="R77" s="2" t="s">
        <v>104</v>
      </c>
      <c r="S77" s="2" t="s">
        <v>105</v>
      </c>
      <c r="T77" s="2"/>
    </row>
    <row r="78" spans="1:20" ht="12.5" x14ac:dyDescent="0.25">
      <c r="A78" s="2" t="s">
        <v>383</v>
      </c>
      <c r="B78" s="2" t="s">
        <v>384</v>
      </c>
      <c r="C78" s="2" t="s">
        <v>385</v>
      </c>
      <c r="D78" s="2" t="s">
        <v>386</v>
      </c>
      <c r="E78" s="2" t="s">
        <v>122</v>
      </c>
      <c r="F78" s="2" t="s">
        <v>123</v>
      </c>
      <c r="G78" s="5">
        <v>2405</v>
      </c>
      <c r="H78" s="5">
        <v>25</v>
      </c>
      <c r="I78" s="5">
        <v>1804</v>
      </c>
      <c r="J78" s="5">
        <v>1</v>
      </c>
      <c r="K78" s="2" t="s">
        <v>261</v>
      </c>
      <c r="L78" s="2" t="s">
        <v>39</v>
      </c>
      <c r="M78" s="4">
        <v>4</v>
      </c>
      <c r="N78" s="5">
        <v>278</v>
      </c>
      <c r="O78" s="3">
        <v>45791</v>
      </c>
      <c r="P78" s="2" t="s">
        <v>2390</v>
      </c>
      <c r="Q78" s="2" t="s">
        <v>78</v>
      </c>
      <c r="R78" s="2" t="s">
        <v>185</v>
      </c>
      <c r="S78" s="2" t="s">
        <v>186</v>
      </c>
      <c r="T78" s="2"/>
    </row>
    <row r="79" spans="1:20" ht="12.5" x14ac:dyDescent="0.25">
      <c r="A79" s="2" t="s">
        <v>387</v>
      </c>
      <c r="B79" s="2" t="s">
        <v>388</v>
      </c>
      <c r="C79" s="2" t="s">
        <v>389</v>
      </c>
      <c r="D79" s="2" t="s">
        <v>390</v>
      </c>
      <c r="E79" s="2" t="s">
        <v>247</v>
      </c>
      <c r="F79" s="2" t="s">
        <v>248</v>
      </c>
      <c r="G79" s="5">
        <v>1392</v>
      </c>
      <c r="H79" s="5">
        <v>15</v>
      </c>
      <c r="I79" s="5">
        <v>1184</v>
      </c>
      <c r="J79" s="5">
        <v>2</v>
      </c>
      <c r="K79" s="2" t="s">
        <v>26</v>
      </c>
      <c r="L79" s="2" t="s">
        <v>103</v>
      </c>
      <c r="M79" s="4">
        <v>3.9</v>
      </c>
      <c r="N79" s="5">
        <v>93</v>
      </c>
      <c r="O79" s="3">
        <v>45854</v>
      </c>
      <c r="P79" s="2" t="s">
        <v>2392</v>
      </c>
      <c r="Q79" s="2" t="s">
        <v>29</v>
      </c>
      <c r="R79" s="2" t="s">
        <v>30</v>
      </c>
      <c r="S79" s="2" t="s">
        <v>31</v>
      </c>
      <c r="T79" s="2"/>
    </row>
    <row r="80" spans="1:20" ht="12.5" x14ac:dyDescent="0.25">
      <c r="A80" s="2" t="s">
        <v>391</v>
      </c>
      <c r="B80" s="2" t="s">
        <v>392</v>
      </c>
      <c r="C80" s="2" t="s">
        <v>393</v>
      </c>
      <c r="D80" s="2" t="s">
        <v>394</v>
      </c>
      <c r="E80" s="2" t="s">
        <v>55</v>
      </c>
      <c r="F80" s="2" t="s">
        <v>38</v>
      </c>
      <c r="G80" s="5">
        <v>3990</v>
      </c>
      <c r="H80" s="5">
        <v>20</v>
      </c>
      <c r="I80" s="5">
        <v>3192</v>
      </c>
      <c r="J80" s="5">
        <v>3</v>
      </c>
      <c r="K80" s="2" t="s">
        <v>56</v>
      </c>
      <c r="L80" s="2" t="s">
        <v>73</v>
      </c>
      <c r="M80" s="4">
        <v>4.5</v>
      </c>
      <c r="N80" s="5">
        <v>113</v>
      </c>
      <c r="O80" s="3">
        <v>45829</v>
      </c>
      <c r="P80" s="2" t="s">
        <v>2391</v>
      </c>
      <c r="Q80" s="2" t="s">
        <v>78</v>
      </c>
      <c r="R80" s="2" t="s">
        <v>104</v>
      </c>
      <c r="S80" s="2" t="s">
        <v>105</v>
      </c>
      <c r="T80" s="2" t="s">
        <v>43</v>
      </c>
    </row>
    <row r="81" spans="1:20" ht="12.5" x14ac:dyDescent="0.25">
      <c r="A81" s="2" t="s">
        <v>395</v>
      </c>
      <c r="B81" s="2" t="s">
        <v>396</v>
      </c>
      <c r="C81" s="2" t="s">
        <v>397</v>
      </c>
      <c r="D81" s="2" t="s">
        <v>398</v>
      </c>
      <c r="E81" s="2" t="s">
        <v>48</v>
      </c>
      <c r="F81" s="2" t="s">
        <v>25</v>
      </c>
      <c r="G81" s="5">
        <v>2783</v>
      </c>
      <c r="H81" s="5">
        <v>25</v>
      </c>
      <c r="I81" s="5">
        <v>2088</v>
      </c>
      <c r="J81" s="5">
        <v>1</v>
      </c>
      <c r="K81" s="2" t="s">
        <v>261</v>
      </c>
      <c r="L81" s="2" t="s">
        <v>168</v>
      </c>
      <c r="M81" s="4">
        <v>3.9</v>
      </c>
      <c r="N81" s="5">
        <v>226</v>
      </c>
      <c r="O81" s="3">
        <v>45816</v>
      </c>
      <c r="P81" s="2" t="s">
        <v>2392</v>
      </c>
      <c r="Q81" s="2" t="s">
        <v>65</v>
      </c>
      <c r="R81" s="2" t="s">
        <v>89</v>
      </c>
      <c r="S81" s="2" t="s">
        <v>90</v>
      </c>
      <c r="T81" s="2"/>
    </row>
    <row r="82" spans="1:20" ht="12.5" x14ac:dyDescent="0.25">
      <c r="A82" s="2" t="s">
        <v>399</v>
      </c>
      <c r="B82" s="2" t="s">
        <v>400</v>
      </c>
      <c r="C82" s="2" t="s">
        <v>401</v>
      </c>
      <c r="D82" s="2" t="s">
        <v>402</v>
      </c>
      <c r="E82" s="2" t="s">
        <v>48</v>
      </c>
      <c r="F82" s="2" t="s">
        <v>25</v>
      </c>
      <c r="G82" s="5">
        <v>2247</v>
      </c>
      <c r="H82" s="5">
        <v>25</v>
      </c>
      <c r="I82" s="5">
        <v>1686</v>
      </c>
      <c r="J82" s="5">
        <v>1</v>
      </c>
      <c r="K82" s="2">
        <v>42</v>
      </c>
      <c r="L82" s="2" t="s">
        <v>168</v>
      </c>
      <c r="M82" s="4">
        <v>3.7</v>
      </c>
      <c r="N82" s="5">
        <v>265</v>
      </c>
      <c r="O82" s="3">
        <v>45796</v>
      </c>
      <c r="P82" s="2" t="s">
        <v>2392</v>
      </c>
      <c r="Q82" s="2" t="s">
        <v>29</v>
      </c>
      <c r="R82" s="2" t="s">
        <v>104</v>
      </c>
      <c r="S82" s="2" t="s">
        <v>105</v>
      </c>
      <c r="T82" s="2"/>
    </row>
    <row r="83" spans="1:20" ht="12.5" x14ac:dyDescent="0.25">
      <c r="A83" s="2" t="s">
        <v>403</v>
      </c>
      <c r="B83" s="2" t="s">
        <v>404</v>
      </c>
      <c r="C83" s="2" t="s">
        <v>405</v>
      </c>
      <c r="D83" s="2" t="s">
        <v>406</v>
      </c>
      <c r="E83" s="2" t="s">
        <v>208</v>
      </c>
      <c r="F83" s="2" t="s">
        <v>117</v>
      </c>
      <c r="G83" s="5">
        <v>2234</v>
      </c>
      <c r="H83" s="5">
        <v>10</v>
      </c>
      <c r="I83" s="5">
        <v>2011</v>
      </c>
      <c r="J83" s="5">
        <v>2</v>
      </c>
      <c r="K83" s="2">
        <v>42</v>
      </c>
      <c r="L83" s="2" t="s">
        <v>27</v>
      </c>
      <c r="M83" s="4">
        <v>3.9</v>
      </c>
      <c r="N83" s="5">
        <v>131</v>
      </c>
      <c r="O83" s="3">
        <v>45795</v>
      </c>
      <c r="P83" s="2" t="s">
        <v>2391</v>
      </c>
      <c r="Q83" s="2" t="s">
        <v>29</v>
      </c>
      <c r="R83" s="2" t="s">
        <v>30</v>
      </c>
      <c r="S83" s="2" t="s">
        <v>31</v>
      </c>
      <c r="T83" s="2"/>
    </row>
    <row r="84" spans="1:20" ht="12.5" x14ac:dyDescent="0.25">
      <c r="A84" s="2" t="s">
        <v>407</v>
      </c>
      <c r="B84" s="2" t="s">
        <v>408</v>
      </c>
      <c r="C84" s="2" t="s">
        <v>409</v>
      </c>
      <c r="D84" s="2" t="s">
        <v>410</v>
      </c>
      <c r="E84" s="2" t="s">
        <v>147</v>
      </c>
      <c r="F84" s="2" t="s">
        <v>148</v>
      </c>
      <c r="G84" s="5">
        <v>1726</v>
      </c>
      <c r="H84" s="5">
        <v>20</v>
      </c>
      <c r="I84" s="5">
        <v>1381</v>
      </c>
      <c r="J84" s="5">
        <v>1</v>
      </c>
      <c r="K84" s="2" t="s">
        <v>261</v>
      </c>
      <c r="L84" s="2" t="s">
        <v>209</v>
      </c>
      <c r="M84" s="4">
        <v>3.9</v>
      </c>
      <c r="N84" s="5">
        <v>113</v>
      </c>
      <c r="O84" s="3">
        <v>45774</v>
      </c>
      <c r="P84" s="2" t="s">
        <v>2391</v>
      </c>
      <c r="Q84" s="2" t="s">
        <v>78</v>
      </c>
      <c r="R84" s="2" t="s">
        <v>58</v>
      </c>
      <c r="S84" s="2" t="s">
        <v>59</v>
      </c>
      <c r="T84" s="2"/>
    </row>
    <row r="85" spans="1:20" ht="12.5" x14ac:dyDescent="0.25">
      <c r="A85" s="2" t="s">
        <v>411</v>
      </c>
      <c r="B85" s="2" t="s">
        <v>412</v>
      </c>
      <c r="C85" s="2" t="s">
        <v>413</v>
      </c>
      <c r="D85" s="2" t="s">
        <v>414</v>
      </c>
      <c r="E85" s="2" t="s">
        <v>122</v>
      </c>
      <c r="F85" s="2" t="s">
        <v>123</v>
      </c>
      <c r="G85" s="5">
        <v>3200</v>
      </c>
      <c r="H85" s="5">
        <v>10</v>
      </c>
      <c r="I85" s="5">
        <v>2880</v>
      </c>
      <c r="J85" s="5">
        <v>2</v>
      </c>
      <c r="K85" s="2" t="s">
        <v>226</v>
      </c>
      <c r="L85" s="2" t="s">
        <v>103</v>
      </c>
      <c r="M85" s="4">
        <v>4.8</v>
      </c>
      <c r="N85" s="5">
        <v>299</v>
      </c>
      <c r="O85" s="3">
        <v>45832</v>
      </c>
      <c r="P85" s="2" t="s">
        <v>2390</v>
      </c>
      <c r="Q85" s="2" t="s">
        <v>29</v>
      </c>
      <c r="R85" s="2" t="s">
        <v>83</v>
      </c>
      <c r="S85" s="2" t="s">
        <v>83</v>
      </c>
      <c r="T85" s="2"/>
    </row>
    <row r="86" spans="1:20" ht="12.5" x14ac:dyDescent="0.25">
      <c r="A86" s="2" t="s">
        <v>415</v>
      </c>
      <c r="B86" s="2" t="s">
        <v>416</v>
      </c>
      <c r="C86" s="2" t="s">
        <v>417</v>
      </c>
      <c r="D86" s="2" t="s">
        <v>418</v>
      </c>
      <c r="E86" s="2" t="s">
        <v>37</v>
      </c>
      <c r="F86" s="2" t="s">
        <v>38</v>
      </c>
      <c r="G86" s="5">
        <v>3878</v>
      </c>
      <c r="H86" s="5">
        <v>15</v>
      </c>
      <c r="I86" s="5">
        <v>3297</v>
      </c>
      <c r="J86" s="5">
        <v>2</v>
      </c>
      <c r="K86" s="2" t="s">
        <v>26</v>
      </c>
      <c r="L86" s="2" t="s">
        <v>73</v>
      </c>
      <c r="M86" s="4">
        <v>3.8</v>
      </c>
      <c r="N86" s="5">
        <v>223</v>
      </c>
      <c r="O86" s="3">
        <v>45813</v>
      </c>
      <c r="P86" s="2" t="s">
        <v>2390</v>
      </c>
      <c r="Q86" s="2" t="s">
        <v>29</v>
      </c>
      <c r="R86" s="2" t="s">
        <v>66</v>
      </c>
      <c r="S86" s="2" t="s">
        <v>67</v>
      </c>
      <c r="T86" s="2"/>
    </row>
    <row r="87" spans="1:20" ht="12.5" x14ac:dyDescent="0.25">
      <c r="A87" s="2" t="s">
        <v>419</v>
      </c>
      <c r="B87" s="2" t="s">
        <v>420</v>
      </c>
      <c r="C87" s="2" t="s">
        <v>421</v>
      </c>
      <c r="D87" s="2" t="s">
        <v>422</v>
      </c>
      <c r="E87" s="2" t="s">
        <v>147</v>
      </c>
      <c r="F87" s="2" t="s">
        <v>148</v>
      </c>
      <c r="G87" s="5">
        <v>2461</v>
      </c>
      <c r="H87" s="5">
        <v>35</v>
      </c>
      <c r="I87" s="5">
        <v>1600</v>
      </c>
      <c r="J87" s="5">
        <v>3</v>
      </c>
      <c r="K87" s="2" t="s">
        <v>226</v>
      </c>
      <c r="L87" s="2" t="s">
        <v>27</v>
      </c>
      <c r="M87" s="4">
        <v>4.2</v>
      </c>
      <c r="N87" s="5">
        <v>286</v>
      </c>
      <c r="O87" s="3">
        <v>45770</v>
      </c>
      <c r="P87" s="2" t="s">
        <v>2392</v>
      </c>
      <c r="Q87" s="2" t="s">
        <v>65</v>
      </c>
      <c r="R87" s="2" t="s">
        <v>66</v>
      </c>
      <c r="S87" s="2" t="s">
        <v>67</v>
      </c>
      <c r="T87" s="2"/>
    </row>
    <row r="88" spans="1:20" ht="12.5" x14ac:dyDescent="0.25">
      <c r="A88" s="2" t="s">
        <v>423</v>
      </c>
      <c r="B88" s="2" t="s">
        <v>424</v>
      </c>
      <c r="C88" s="2" t="s">
        <v>425</v>
      </c>
      <c r="D88" s="2" t="s">
        <v>426</v>
      </c>
      <c r="E88" s="2" t="s">
        <v>55</v>
      </c>
      <c r="F88" s="2" t="s">
        <v>38</v>
      </c>
      <c r="G88" s="5">
        <v>1745</v>
      </c>
      <c r="H88" s="5">
        <v>35</v>
      </c>
      <c r="I88" s="5">
        <v>1135</v>
      </c>
      <c r="J88" s="5">
        <v>3</v>
      </c>
      <c r="K88" s="2">
        <v>42</v>
      </c>
      <c r="L88" s="2" t="s">
        <v>27</v>
      </c>
      <c r="M88" s="4">
        <v>4.8</v>
      </c>
      <c r="N88" s="5">
        <v>93</v>
      </c>
      <c r="O88" s="3">
        <v>45786</v>
      </c>
      <c r="P88" s="2" t="s">
        <v>2390</v>
      </c>
      <c r="Q88" s="2" t="s">
        <v>78</v>
      </c>
      <c r="R88" s="2" t="s">
        <v>149</v>
      </c>
      <c r="S88" s="2" t="s">
        <v>150</v>
      </c>
      <c r="T88" s="2"/>
    </row>
    <row r="89" spans="1:20" ht="12.5" x14ac:dyDescent="0.25">
      <c r="A89" s="2" t="s">
        <v>427</v>
      </c>
      <c r="B89" s="2" t="s">
        <v>428</v>
      </c>
      <c r="C89" s="2" t="s">
        <v>429</v>
      </c>
      <c r="D89" s="2" t="s">
        <v>430</v>
      </c>
      <c r="E89" s="2" t="s">
        <v>132</v>
      </c>
      <c r="F89" s="2" t="s">
        <v>38</v>
      </c>
      <c r="G89" s="5">
        <v>2830</v>
      </c>
      <c r="H89" s="5">
        <v>20</v>
      </c>
      <c r="I89" s="5">
        <v>2264</v>
      </c>
      <c r="J89" s="5">
        <v>2</v>
      </c>
      <c r="K89" s="2" t="s">
        <v>72</v>
      </c>
      <c r="L89" s="2" t="s">
        <v>73</v>
      </c>
      <c r="M89" s="4">
        <v>5</v>
      </c>
      <c r="N89" s="5">
        <v>269</v>
      </c>
      <c r="O89" s="3">
        <v>45807</v>
      </c>
      <c r="P89" s="2" t="s">
        <v>2391</v>
      </c>
      <c r="Q89" s="2" t="s">
        <v>29</v>
      </c>
      <c r="R89" s="2" t="s">
        <v>149</v>
      </c>
      <c r="S89" s="2" t="s">
        <v>150</v>
      </c>
      <c r="T89" s="2" t="s">
        <v>134</v>
      </c>
    </row>
    <row r="90" spans="1:20" ht="12.5" x14ac:dyDescent="0.25">
      <c r="A90" s="2" t="s">
        <v>431</v>
      </c>
      <c r="B90" s="2" t="s">
        <v>432</v>
      </c>
      <c r="C90" s="2" t="s">
        <v>433</v>
      </c>
      <c r="D90" s="2" t="s">
        <v>434</v>
      </c>
      <c r="E90" s="2" t="s">
        <v>116</v>
      </c>
      <c r="F90" s="2" t="s">
        <v>117</v>
      </c>
      <c r="G90" s="5">
        <v>1090</v>
      </c>
      <c r="H90" s="5">
        <v>40</v>
      </c>
      <c r="I90" s="5">
        <v>654</v>
      </c>
      <c r="J90" s="5">
        <v>3</v>
      </c>
      <c r="K90" s="2">
        <v>40</v>
      </c>
      <c r="L90" s="2" t="s">
        <v>88</v>
      </c>
      <c r="M90" s="4">
        <v>3.7</v>
      </c>
      <c r="N90" s="5">
        <v>19</v>
      </c>
      <c r="O90" s="3">
        <v>45830</v>
      </c>
      <c r="P90" s="2" t="s">
        <v>2391</v>
      </c>
      <c r="Q90" s="2" t="s">
        <v>29</v>
      </c>
      <c r="R90" s="2" t="s">
        <v>104</v>
      </c>
      <c r="S90" s="2" t="s">
        <v>105</v>
      </c>
      <c r="T90" s="2"/>
    </row>
    <row r="91" spans="1:20" ht="12.5" x14ac:dyDescent="0.25">
      <c r="A91" s="2" t="s">
        <v>435</v>
      </c>
      <c r="B91" s="2" t="s">
        <v>436</v>
      </c>
      <c r="C91" s="2" t="s">
        <v>437</v>
      </c>
      <c r="D91" s="2" t="s">
        <v>438</v>
      </c>
      <c r="E91" s="2" t="s">
        <v>48</v>
      </c>
      <c r="F91" s="2" t="s">
        <v>25</v>
      </c>
      <c r="G91" s="5">
        <v>2775</v>
      </c>
      <c r="H91" s="5">
        <v>40</v>
      </c>
      <c r="I91" s="5">
        <v>1665</v>
      </c>
      <c r="J91" s="5">
        <v>1</v>
      </c>
      <c r="K91" s="2" t="s">
        <v>56</v>
      </c>
      <c r="L91" s="2" t="s">
        <v>27</v>
      </c>
      <c r="M91" s="4">
        <v>4.8</v>
      </c>
      <c r="N91" s="5">
        <v>46</v>
      </c>
      <c r="O91" s="3">
        <v>45825</v>
      </c>
      <c r="P91" s="2" t="s">
        <v>2392</v>
      </c>
      <c r="Q91" s="2" t="s">
        <v>65</v>
      </c>
      <c r="R91" s="2" t="s">
        <v>149</v>
      </c>
      <c r="S91" s="2" t="s">
        <v>150</v>
      </c>
      <c r="T91" s="2"/>
    </row>
    <row r="92" spans="1:20" ht="12.5" x14ac:dyDescent="0.25">
      <c r="A92" s="2" t="s">
        <v>439</v>
      </c>
      <c r="B92" s="2" t="s">
        <v>440</v>
      </c>
      <c r="C92" s="2" t="s">
        <v>441</v>
      </c>
      <c r="D92" s="2" t="s">
        <v>442</v>
      </c>
      <c r="E92" s="2" t="s">
        <v>116</v>
      </c>
      <c r="F92" s="2" t="s">
        <v>117</v>
      </c>
      <c r="G92" s="5">
        <v>2726</v>
      </c>
      <c r="H92" s="5">
        <v>25</v>
      </c>
      <c r="I92" s="5">
        <v>2045</v>
      </c>
      <c r="J92" s="5">
        <v>3</v>
      </c>
      <c r="K92" s="2" t="s">
        <v>226</v>
      </c>
      <c r="L92" s="2" t="s">
        <v>168</v>
      </c>
      <c r="M92" s="4">
        <v>4.9000000000000004</v>
      </c>
      <c r="N92" s="5">
        <v>119</v>
      </c>
      <c r="O92" s="3">
        <v>45784</v>
      </c>
      <c r="P92" s="2" t="s">
        <v>2391</v>
      </c>
      <c r="Q92" s="2" t="s">
        <v>78</v>
      </c>
      <c r="R92" s="2" t="s">
        <v>89</v>
      </c>
      <c r="S92" s="2" t="s">
        <v>90</v>
      </c>
      <c r="T92" s="2"/>
    </row>
    <row r="93" spans="1:20" ht="12.5" x14ac:dyDescent="0.25">
      <c r="A93" s="2" t="s">
        <v>443</v>
      </c>
      <c r="B93" s="2" t="s">
        <v>444</v>
      </c>
      <c r="C93" s="2" t="s">
        <v>445</v>
      </c>
      <c r="D93" s="2" t="s">
        <v>446</v>
      </c>
      <c r="E93" s="2" t="s">
        <v>147</v>
      </c>
      <c r="F93" s="2" t="s">
        <v>148</v>
      </c>
      <c r="G93" s="5">
        <v>4594</v>
      </c>
      <c r="H93" s="5">
        <v>20</v>
      </c>
      <c r="I93" s="5">
        <v>3676</v>
      </c>
      <c r="J93" s="5">
        <v>3</v>
      </c>
      <c r="K93" s="2">
        <v>42</v>
      </c>
      <c r="L93" s="2" t="s">
        <v>27</v>
      </c>
      <c r="M93" s="4">
        <v>4.8</v>
      </c>
      <c r="N93" s="5">
        <v>188</v>
      </c>
      <c r="O93" s="3">
        <v>45828</v>
      </c>
      <c r="P93" s="2" t="s">
        <v>2391</v>
      </c>
      <c r="Q93" s="2" t="s">
        <v>29</v>
      </c>
      <c r="R93" s="2" t="s">
        <v>30</v>
      </c>
      <c r="S93" s="2" t="s">
        <v>31</v>
      </c>
      <c r="T93" s="2" t="s">
        <v>134</v>
      </c>
    </row>
    <row r="94" spans="1:20" ht="12.5" x14ac:dyDescent="0.25">
      <c r="A94" s="2" t="s">
        <v>447</v>
      </c>
      <c r="B94" s="2" t="s">
        <v>448</v>
      </c>
      <c r="C94" s="2" t="s">
        <v>449</v>
      </c>
      <c r="D94" s="2" t="s">
        <v>450</v>
      </c>
      <c r="E94" s="2" t="s">
        <v>147</v>
      </c>
      <c r="F94" s="2" t="s">
        <v>148</v>
      </c>
      <c r="G94" s="5">
        <v>4405</v>
      </c>
      <c r="H94" s="5">
        <v>20</v>
      </c>
      <c r="I94" s="5">
        <v>3524</v>
      </c>
      <c r="J94" s="5">
        <v>2</v>
      </c>
      <c r="K94" s="2" t="s">
        <v>226</v>
      </c>
      <c r="L94" s="2" t="s">
        <v>88</v>
      </c>
      <c r="M94" s="4">
        <v>3.7</v>
      </c>
      <c r="N94" s="5">
        <v>91</v>
      </c>
      <c r="O94" s="3">
        <v>45804</v>
      </c>
      <c r="P94" s="2" t="s">
        <v>2391</v>
      </c>
      <c r="Q94" s="2" t="s">
        <v>29</v>
      </c>
      <c r="R94" s="2" t="s">
        <v>66</v>
      </c>
      <c r="S94" s="2" t="s">
        <v>67</v>
      </c>
      <c r="T94" s="2" t="s">
        <v>43</v>
      </c>
    </row>
    <row r="95" spans="1:20" ht="12.5" x14ac:dyDescent="0.25">
      <c r="A95" s="2" t="s">
        <v>451</v>
      </c>
      <c r="B95" s="2" t="s">
        <v>452</v>
      </c>
      <c r="C95" s="2" t="s">
        <v>453</v>
      </c>
      <c r="D95" s="2" t="s">
        <v>454</v>
      </c>
      <c r="E95" s="2" t="s">
        <v>122</v>
      </c>
      <c r="F95" s="2" t="s">
        <v>123</v>
      </c>
      <c r="G95" s="5">
        <v>3280</v>
      </c>
      <c r="H95" s="5">
        <v>35</v>
      </c>
      <c r="I95" s="5">
        <v>2132</v>
      </c>
      <c r="J95" s="5">
        <v>3</v>
      </c>
      <c r="K95" s="2" t="s">
        <v>72</v>
      </c>
      <c r="L95" s="2" t="s">
        <v>73</v>
      </c>
      <c r="M95" s="4">
        <v>4</v>
      </c>
      <c r="N95" s="5">
        <v>142</v>
      </c>
      <c r="O95" s="3">
        <v>45790</v>
      </c>
      <c r="P95" s="2" t="s">
        <v>2391</v>
      </c>
      <c r="Q95" s="2" t="s">
        <v>65</v>
      </c>
      <c r="R95" s="2" t="s">
        <v>104</v>
      </c>
      <c r="S95" s="2" t="s">
        <v>105</v>
      </c>
      <c r="T95" s="2" t="s">
        <v>50</v>
      </c>
    </row>
    <row r="96" spans="1:20" ht="12.5" x14ac:dyDescent="0.25">
      <c r="A96" s="2" t="s">
        <v>455</v>
      </c>
      <c r="B96" s="2" t="s">
        <v>456</v>
      </c>
      <c r="C96" s="2" t="s">
        <v>457</v>
      </c>
      <c r="D96" s="2" t="s">
        <v>458</v>
      </c>
      <c r="E96" s="2" t="s">
        <v>247</v>
      </c>
      <c r="F96" s="2" t="s">
        <v>248</v>
      </c>
      <c r="G96" s="5">
        <v>1195</v>
      </c>
      <c r="H96" s="5">
        <v>30</v>
      </c>
      <c r="I96" s="5">
        <v>837</v>
      </c>
      <c r="J96" s="5">
        <v>3</v>
      </c>
      <c r="K96" s="2" t="s">
        <v>72</v>
      </c>
      <c r="L96" s="2" t="s">
        <v>39</v>
      </c>
      <c r="M96" s="4">
        <v>4.3</v>
      </c>
      <c r="N96" s="5">
        <v>238</v>
      </c>
      <c r="O96" s="3">
        <v>45853</v>
      </c>
      <c r="P96" s="2" t="s">
        <v>2390</v>
      </c>
      <c r="Q96" s="2" t="s">
        <v>65</v>
      </c>
      <c r="R96" s="2" t="s">
        <v>30</v>
      </c>
      <c r="S96" s="2" t="s">
        <v>31</v>
      </c>
      <c r="T96" s="2"/>
    </row>
    <row r="97" spans="1:20" ht="12.5" x14ac:dyDescent="0.25">
      <c r="A97" s="2" t="s">
        <v>459</v>
      </c>
      <c r="B97" s="2" t="s">
        <v>460</v>
      </c>
      <c r="C97" s="2" t="s">
        <v>461</v>
      </c>
      <c r="D97" s="2" t="s">
        <v>462</v>
      </c>
      <c r="E97" s="2" t="s">
        <v>55</v>
      </c>
      <c r="F97" s="2" t="s">
        <v>38</v>
      </c>
      <c r="G97" s="5">
        <v>4462</v>
      </c>
      <c r="H97" s="5">
        <v>10</v>
      </c>
      <c r="I97" s="5">
        <v>4016</v>
      </c>
      <c r="J97" s="5">
        <v>1</v>
      </c>
      <c r="K97" s="2" t="s">
        <v>72</v>
      </c>
      <c r="L97" s="2" t="s">
        <v>73</v>
      </c>
      <c r="M97" s="4">
        <v>4</v>
      </c>
      <c r="N97" s="5">
        <v>50</v>
      </c>
      <c r="O97" s="3">
        <v>45774</v>
      </c>
      <c r="P97" s="2" t="s">
        <v>2390</v>
      </c>
      <c r="Q97" s="2" t="s">
        <v>78</v>
      </c>
      <c r="R97" s="2" t="s">
        <v>83</v>
      </c>
      <c r="S97" s="2" t="s">
        <v>83</v>
      </c>
      <c r="T97" s="2"/>
    </row>
    <row r="98" spans="1:20" ht="12.5" x14ac:dyDescent="0.25">
      <c r="A98" s="2" t="s">
        <v>463</v>
      </c>
      <c r="B98" s="2" t="s">
        <v>464</v>
      </c>
      <c r="C98" s="2" t="s">
        <v>465</v>
      </c>
      <c r="D98" s="2" t="s">
        <v>466</v>
      </c>
      <c r="E98" s="2" t="s">
        <v>48</v>
      </c>
      <c r="F98" s="2" t="s">
        <v>25</v>
      </c>
      <c r="G98" s="5">
        <v>1988</v>
      </c>
      <c r="H98" s="5">
        <v>10</v>
      </c>
      <c r="I98" s="5">
        <v>1790</v>
      </c>
      <c r="J98" s="5">
        <v>2</v>
      </c>
      <c r="K98" s="2">
        <v>40</v>
      </c>
      <c r="L98" s="2" t="s">
        <v>168</v>
      </c>
      <c r="M98" s="4">
        <v>3.6</v>
      </c>
      <c r="N98" s="5">
        <v>172</v>
      </c>
      <c r="O98" s="3">
        <v>45806</v>
      </c>
      <c r="P98" s="2" t="s">
        <v>2392</v>
      </c>
      <c r="Q98" s="2" t="s">
        <v>78</v>
      </c>
      <c r="R98" s="2" t="s">
        <v>110</v>
      </c>
      <c r="S98" s="2" t="s">
        <v>111</v>
      </c>
      <c r="T98" s="2"/>
    </row>
    <row r="99" spans="1:20" ht="12.5" x14ac:dyDescent="0.25">
      <c r="A99" s="2" t="s">
        <v>467</v>
      </c>
      <c r="B99" s="2" t="s">
        <v>468</v>
      </c>
      <c r="C99" s="2" t="s">
        <v>469</v>
      </c>
      <c r="D99" s="2" t="s">
        <v>470</v>
      </c>
      <c r="E99" s="2" t="s">
        <v>116</v>
      </c>
      <c r="F99" s="2" t="s">
        <v>117</v>
      </c>
      <c r="G99" s="5">
        <v>3716</v>
      </c>
      <c r="H99" s="5">
        <v>40</v>
      </c>
      <c r="I99" s="5">
        <v>2230</v>
      </c>
      <c r="J99" s="5">
        <v>2</v>
      </c>
      <c r="K99" s="2">
        <v>40</v>
      </c>
      <c r="L99" s="2" t="s">
        <v>49</v>
      </c>
      <c r="M99" s="4">
        <v>4.9000000000000004</v>
      </c>
      <c r="N99" s="5">
        <v>174</v>
      </c>
      <c r="O99" s="3">
        <v>45784</v>
      </c>
      <c r="P99" s="2" t="s">
        <v>2392</v>
      </c>
      <c r="Q99" s="2" t="s">
        <v>29</v>
      </c>
      <c r="R99" s="2" t="s">
        <v>149</v>
      </c>
      <c r="S99" s="2" t="s">
        <v>150</v>
      </c>
      <c r="T99" s="2"/>
    </row>
    <row r="100" spans="1:20" ht="12.5" x14ac:dyDescent="0.25">
      <c r="A100" s="2" t="s">
        <v>471</v>
      </c>
      <c r="B100" s="2" t="s">
        <v>472</v>
      </c>
      <c r="C100" s="2" t="s">
        <v>473</v>
      </c>
      <c r="D100" s="2" t="s">
        <v>474</v>
      </c>
      <c r="E100" s="2" t="s">
        <v>247</v>
      </c>
      <c r="F100" s="2" t="s">
        <v>248</v>
      </c>
      <c r="G100" s="5">
        <v>2796</v>
      </c>
      <c r="H100" s="5">
        <v>20</v>
      </c>
      <c r="I100" s="5">
        <v>2237</v>
      </c>
      <c r="J100" s="5">
        <v>3</v>
      </c>
      <c r="K100" s="2" t="s">
        <v>226</v>
      </c>
      <c r="L100" s="2" t="s">
        <v>39</v>
      </c>
      <c r="M100" s="4">
        <v>4.2</v>
      </c>
      <c r="N100" s="5">
        <v>128</v>
      </c>
      <c r="O100" s="3">
        <v>45843</v>
      </c>
      <c r="P100" s="2" t="s">
        <v>2391</v>
      </c>
      <c r="Q100" s="2" t="s">
        <v>65</v>
      </c>
      <c r="R100" s="2" t="s">
        <v>30</v>
      </c>
      <c r="S100" s="2" t="s">
        <v>31</v>
      </c>
      <c r="T100" s="2" t="s">
        <v>203</v>
      </c>
    </row>
    <row r="101" spans="1:20" ht="12.5" x14ac:dyDescent="0.25">
      <c r="A101" s="2" t="s">
        <v>475</v>
      </c>
      <c r="B101" s="2" t="s">
        <v>34</v>
      </c>
      <c r="C101" s="2" t="s">
        <v>476</v>
      </c>
      <c r="D101" s="2" t="s">
        <v>477</v>
      </c>
      <c r="E101" s="2" t="s">
        <v>48</v>
      </c>
      <c r="F101" s="2" t="s">
        <v>25</v>
      </c>
      <c r="G101" s="5">
        <v>2687</v>
      </c>
      <c r="H101" s="5">
        <v>25</v>
      </c>
      <c r="I101" s="5">
        <v>2016</v>
      </c>
      <c r="J101" s="5">
        <v>2</v>
      </c>
      <c r="K101" s="2" t="s">
        <v>26</v>
      </c>
      <c r="L101" s="2" t="s">
        <v>168</v>
      </c>
      <c r="M101" s="4">
        <v>4.7</v>
      </c>
      <c r="N101" s="5">
        <v>219</v>
      </c>
      <c r="O101" s="3">
        <v>45781</v>
      </c>
      <c r="P101" s="2" t="s">
        <v>2390</v>
      </c>
      <c r="Q101" s="2" t="s">
        <v>78</v>
      </c>
      <c r="R101" s="2" t="s">
        <v>58</v>
      </c>
      <c r="S101" s="2" t="s">
        <v>59</v>
      </c>
      <c r="T101" s="2"/>
    </row>
    <row r="102" spans="1:20" ht="12.5" x14ac:dyDescent="0.25">
      <c r="A102" s="2" t="s">
        <v>478</v>
      </c>
      <c r="B102" s="2" t="s">
        <v>479</v>
      </c>
      <c r="C102" s="2" t="s">
        <v>480</v>
      </c>
      <c r="D102" s="2" t="s">
        <v>481</v>
      </c>
      <c r="E102" s="2" t="s">
        <v>37</v>
      </c>
      <c r="F102" s="2" t="s">
        <v>38</v>
      </c>
      <c r="G102" s="5">
        <v>1776</v>
      </c>
      <c r="H102" s="5">
        <v>40</v>
      </c>
      <c r="I102" s="5">
        <v>1066</v>
      </c>
      <c r="J102" s="5">
        <v>1</v>
      </c>
      <c r="K102" s="2">
        <v>40</v>
      </c>
      <c r="L102" s="2" t="s">
        <v>73</v>
      </c>
      <c r="M102" s="4">
        <v>3.9</v>
      </c>
      <c r="N102" s="5">
        <v>71</v>
      </c>
      <c r="O102" s="3">
        <v>45847</v>
      </c>
      <c r="P102" s="2" t="s">
        <v>2391</v>
      </c>
      <c r="Q102" s="2" t="s">
        <v>29</v>
      </c>
      <c r="R102" s="2" t="s">
        <v>30</v>
      </c>
      <c r="S102" s="2" t="s">
        <v>31</v>
      </c>
      <c r="T102" s="2" t="s">
        <v>203</v>
      </c>
    </row>
    <row r="103" spans="1:20" ht="12.5" x14ac:dyDescent="0.25">
      <c r="A103" s="2" t="s">
        <v>482</v>
      </c>
      <c r="B103" s="2" t="s">
        <v>483</v>
      </c>
      <c r="C103" s="2" t="s">
        <v>484</v>
      </c>
      <c r="D103" s="2" t="s">
        <v>485</v>
      </c>
      <c r="E103" s="2" t="s">
        <v>37</v>
      </c>
      <c r="F103" s="2" t="s">
        <v>38</v>
      </c>
      <c r="G103" s="5">
        <v>2910</v>
      </c>
      <c r="H103" s="5">
        <v>20</v>
      </c>
      <c r="I103" s="5">
        <v>2328</v>
      </c>
      <c r="J103" s="5">
        <v>3</v>
      </c>
      <c r="K103" s="2" t="s">
        <v>32</v>
      </c>
      <c r="L103" s="2" t="s">
        <v>39</v>
      </c>
      <c r="M103" s="4">
        <v>4.5999999999999996</v>
      </c>
      <c r="N103" s="5">
        <v>52</v>
      </c>
      <c r="O103" s="3">
        <v>45795</v>
      </c>
      <c r="P103" s="2" t="s">
        <v>2391</v>
      </c>
      <c r="Q103" s="2" t="s">
        <v>29</v>
      </c>
      <c r="R103" s="2" t="s">
        <v>58</v>
      </c>
      <c r="S103" s="2" t="s">
        <v>59</v>
      </c>
      <c r="T103" s="2"/>
    </row>
    <row r="104" spans="1:20" ht="12.5" x14ac:dyDescent="0.25">
      <c r="A104" s="2" t="s">
        <v>486</v>
      </c>
      <c r="B104" s="2" t="s">
        <v>487</v>
      </c>
      <c r="C104" s="2" t="s">
        <v>488</v>
      </c>
      <c r="D104" s="2" t="s">
        <v>489</v>
      </c>
      <c r="E104" s="2" t="s">
        <v>247</v>
      </c>
      <c r="F104" s="2" t="s">
        <v>248</v>
      </c>
      <c r="G104" s="5">
        <v>3446</v>
      </c>
      <c r="H104" s="5">
        <v>10</v>
      </c>
      <c r="I104" s="5">
        <v>3102</v>
      </c>
      <c r="J104" s="5">
        <v>3</v>
      </c>
      <c r="K104" s="2">
        <v>40</v>
      </c>
      <c r="L104" s="2" t="s">
        <v>49</v>
      </c>
      <c r="M104" s="4">
        <v>4.2</v>
      </c>
      <c r="N104" s="5">
        <v>211</v>
      </c>
      <c r="O104" s="3">
        <v>45782</v>
      </c>
      <c r="P104" s="2" t="s">
        <v>2390</v>
      </c>
      <c r="Q104" s="2" t="s">
        <v>65</v>
      </c>
      <c r="R104" s="2" t="s">
        <v>41</v>
      </c>
      <c r="S104" s="2" t="s">
        <v>42</v>
      </c>
      <c r="T104" s="2"/>
    </row>
    <row r="105" spans="1:20" ht="12.5" x14ac:dyDescent="0.25">
      <c r="A105" s="2" t="s">
        <v>490</v>
      </c>
      <c r="B105" s="2" t="s">
        <v>491</v>
      </c>
      <c r="C105" s="2" t="s">
        <v>492</v>
      </c>
      <c r="D105" s="2" t="s">
        <v>493</v>
      </c>
      <c r="E105" s="2" t="s">
        <v>55</v>
      </c>
      <c r="F105" s="2" t="s">
        <v>38</v>
      </c>
      <c r="G105" s="5">
        <v>633</v>
      </c>
      <c r="H105" s="5">
        <v>40</v>
      </c>
      <c r="I105" s="5">
        <v>380</v>
      </c>
      <c r="J105" s="5">
        <v>3</v>
      </c>
      <c r="K105" s="2" t="s">
        <v>32</v>
      </c>
      <c r="L105" s="2" t="s">
        <v>64</v>
      </c>
      <c r="M105" s="4">
        <v>4.8</v>
      </c>
      <c r="N105" s="5">
        <v>135</v>
      </c>
      <c r="O105" s="3">
        <v>45777</v>
      </c>
      <c r="P105" s="2" t="s">
        <v>2391</v>
      </c>
      <c r="Q105" s="2" t="s">
        <v>65</v>
      </c>
      <c r="R105" s="2" t="s">
        <v>66</v>
      </c>
      <c r="S105" s="2" t="s">
        <v>67</v>
      </c>
      <c r="T105" s="2" t="s">
        <v>134</v>
      </c>
    </row>
    <row r="106" spans="1:20" ht="12.5" x14ac:dyDescent="0.25">
      <c r="A106" s="2" t="s">
        <v>494</v>
      </c>
      <c r="B106" s="2" t="s">
        <v>495</v>
      </c>
      <c r="C106" s="2" t="s">
        <v>496</v>
      </c>
      <c r="D106" s="2" t="s">
        <v>497</v>
      </c>
      <c r="E106" s="2" t="s">
        <v>147</v>
      </c>
      <c r="F106" s="2" t="s">
        <v>148</v>
      </c>
      <c r="G106" s="5">
        <v>1424</v>
      </c>
      <c r="H106" s="5">
        <v>20</v>
      </c>
      <c r="I106" s="5">
        <v>1140</v>
      </c>
      <c r="J106" s="5">
        <v>3</v>
      </c>
      <c r="K106" s="2" t="s">
        <v>163</v>
      </c>
      <c r="L106" s="2" t="s">
        <v>209</v>
      </c>
      <c r="M106" s="4">
        <v>3.6</v>
      </c>
      <c r="N106" s="5">
        <v>297</v>
      </c>
      <c r="O106" s="3">
        <v>45838</v>
      </c>
      <c r="P106" s="2" t="s">
        <v>2392</v>
      </c>
      <c r="Q106" s="2" t="s">
        <v>65</v>
      </c>
      <c r="R106" s="2" t="s">
        <v>104</v>
      </c>
      <c r="S106" s="2" t="s">
        <v>105</v>
      </c>
      <c r="T106" s="2"/>
    </row>
    <row r="107" spans="1:20" ht="12.5" x14ac:dyDescent="0.25">
      <c r="A107" s="2" t="s">
        <v>498</v>
      </c>
      <c r="B107" s="2" t="s">
        <v>499</v>
      </c>
      <c r="C107" s="2" t="s">
        <v>500</v>
      </c>
      <c r="D107" s="2" t="s">
        <v>501</v>
      </c>
      <c r="E107" s="2" t="s">
        <v>132</v>
      </c>
      <c r="F107" s="2" t="s">
        <v>38</v>
      </c>
      <c r="G107" s="5">
        <v>1997</v>
      </c>
      <c r="H107" s="5">
        <v>10</v>
      </c>
      <c r="I107" s="5">
        <v>1798</v>
      </c>
      <c r="J107" s="5">
        <v>3</v>
      </c>
      <c r="K107" s="2" t="s">
        <v>32</v>
      </c>
      <c r="L107" s="2" t="s">
        <v>133</v>
      </c>
      <c r="M107" s="4">
        <v>3.9</v>
      </c>
      <c r="N107" s="5">
        <v>207</v>
      </c>
      <c r="O107" s="3">
        <v>45842</v>
      </c>
      <c r="P107" s="2" t="s">
        <v>2390</v>
      </c>
      <c r="Q107" s="2" t="s">
        <v>65</v>
      </c>
      <c r="R107" s="2" t="s">
        <v>41</v>
      </c>
      <c r="S107" s="2" t="s">
        <v>42</v>
      </c>
      <c r="T107" s="2"/>
    </row>
    <row r="108" spans="1:20" ht="12.5" x14ac:dyDescent="0.25">
      <c r="A108" s="2" t="s">
        <v>502</v>
      </c>
      <c r="B108" s="2" t="s">
        <v>503</v>
      </c>
      <c r="C108" s="2" t="s">
        <v>504</v>
      </c>
      <c r="D108" s="2" t="s">
        <v>505</v>
      </c>
      <c r="E108" s="2" t="s">
        <v>24</v>
      </c>
      <c r="F108" s="2" t="s">
        <v>25</v>
      </c>
      <c r="G108" s="5">
        <v>2585</v>
      </c>
      <c r="H108" s="5">
        <v>35</v>
      </c>
      <c r="I108" s="5">
        <v>1681</v>
      </c>
      <c r="J108" s="5">
        <v>3</v>
      </c>
      <c r="K108" s="2">
        <v>44</v>
      </c>
      <c r="L108" s="2" t="s">
        <v>103</v>
      </c>
      <c r="M108" s="4">
        <v>4.8</v>
      </c>
      <c r="N108" s="5">
        <v>153</v>
      </c>
      <c r="O108" s="3">
        <v>45769</v>
      </c>
      <c r="P108" s="2" t="s">
        <v>2390</v>
      </c>
      <c r="Q108" s="2" t="s">
        <v>65</v>
      </c>
      <c r="R108" s="2" t="s">
        <v>58</v>
      </c>
      <c r="S108" s="2" t="s">
        <v>59</v>
      </c>
      <c r="T108" s="2"/>
    </row>
    <row r="109" spans="1:20" ht="12.5" x14ac:dyDescent="0.25">
      <c r="A109" s="2" t="s">
        <v>506</v>
      </c>
      <c r="B109" s="2" t="s">
        <v>507</v>
      </c>
      <c r="C109" s="2" t="s">
        <v>508</v>
      </c>
      <c r="D109" s="2" t="s">
        <v>509</v>
      </c>
      <c r="E109" s="2" t="s">
        <v>37</v>
      </c>
      <c r="F109" s="2" t="s">
        <v>38</v>
      </c>
      <c r="G109" s="5">
        <v>2116</v>
      </c>
      <c r="H109" s="5">
        <v>10</v>
      </c>
      <c r="I109" s="5">
        <v>1905</v>
      </c>
      <c r="J109" s="5">
        <v>2</v>
      </c>
      <c r="K109" s="2" t="s">
        <v>56</v>
      </c>
      <c r="L109" s="2" t="s">
        <v>88</v>
      </c>
      <c r="M109" s="4">
        <v>4.5</v>
      </c>
      <c r="N109" s="5">
        <v>215</v>
      </c>
      <c r="O109" s="3">
        <v>45802</v>
      </c>
      <c r="P109" s="2" t="s">
        <v>2391</v>
      </c>
      <c r="Q109" s="2" t="s">
        <v>29</v>
      </c>
      <c r="R109" s="2" t="s">
        <v>30</v>
      </c>
      <c r="S109" s="2" t="s">
        <v>31</v>
      </c>
      <c r="T109" s="2" t="s">
        <v>43</v>
      </c>
    </row>
    <row r="110" spans="1:20" ht="12.5" x14ac:dyDescent="0.25">
      <c r="A110" s="2" t="s">
        <v>510</v>
      </c>
      <c r="B110" s="2" t="s">
        <v>178</v>
      </c>
      <c r="C110" s="2" t="s">
        <v>511</v>
      </c>
      <c r="D110" s="2" t="s">
        <v>512</v>
      </c>
      <c r="E110" s="2" t="s">
        <v>48</v>
      </c>
      <c r="F110" s="2" t="s">
        <v>25</v>
      </c>
      <c r="G110" s="5">
        <v>2890</v>
      </c>
      <c r="H110" s="5">
        <v>35</v>
      </c>
      <c r="I110" s="5">
        <v>1879</v>
      </c>
      <c r="J110" s="5">
        <v>2</v>
      </c>
      <c r="K110" s="2" t="s">
        <v>56</v>
      </c>
      <c r="L110" s="2" t="s">
        <v>88</v>
      </c>
      <c r="M110" s="4">
        <v>4.7</v>
      </c>
      <c r="N110" s="5">
        <v>65</v>
      </c>
      <c r="O110" s="3">
        <v>45772</v>
      </c>
      <c r="P110" s="2" t="s">
        <v>2391</v>
      </c>
      <c r="Q110" s="2" t="s">
        <v>78</v>
      </c>
      <c r="R110" s="2" t="s">
        <v>83</v>
      </c>
      <c r="S110" s="2" t="s">
        <v>83</v>
      </c>
      <c r="T110" s="2" t="s">
        <v>43</v>
      </c>
    </row>
    <row r="111" spans="1:20" ht="12.5" x14ac:dyDescent="0.25">
      <c r="A111" s="2" t="s">
        <v>513</v>
      </c>
      <c r="B111" s="2" t="s">
        <v>514</v>
      </c>
      <c r="C111" s="2" t="s">
        <v>515</v>
      </c>
      <c r="D111" s="2" t="s">
        <v>516</v>
      </c>
      <c r="E111" s="2" t="s">
        <v>247</v>
      </c>
      <c r="F111" s="2" t="s">
        <v>248</v>
      </c>
      <c r="G111" s="5">
        <v>4592</v>
      </c>
      <c r="H111" s="5">
        <v>35</v>
      </c>
      <c r="I111" s="5">
        <v>2985</v>
      </c>
      <c r="J111" s="5">
        <v>2</v>
      </c>
      <c r="K111" s="2" t="s">
        <v>261</v>
      </c>
      <c r="L111" s="2" t="s">
        <v>103</v>
      </c>
      <c r="M111" s="4">
        <v>4.2</v>
      </c>
      <c r="N111" s="5">
        <v>264</v>
      </c>
      <c r="O111" s="3">
        <v>45845</v>
      </c>
      <c r="P111" s="2" t="s">
        <v>2392</v>
      </c>
      <c r="Q111" s="2" t="s">
        <v>65</v>
      </c>
      <c r="R111" s="2" t="s">
        <v>41</v>
      </c>
      <c r="S111" s="2" t="s">
        <v>42</v>
      </c>
      <c r="T111" s="2"/>
    </row>
    <row r="112" spans="1:20" ht="12.5" x14ac:dyDescent="0.25">
      <c r="A112" s="2" t="s">
        <v>517</v>
      </c>
      <c r="B112" s="2" t="s">
        <v>518</v>
      </c>
      <c r="C112" s="2" t="s">
        <v>519</v>
      </c>
      <c r="D112" s="2" t="s">
        <v>520</v>
      </c>
      <c r="E112" s="2" t="s">
        <v>55</v>
      </c>
      <c r="F112" s="2" t="s">
        <v>38</v>
      </c>
      <c r="G112" s="5">
        <v>4234</v>
      </c>
      <c r="H112" s="5">
        <v>40</v>
      </c>
      <c r="I112" s="5">
        <v>2541</v>
      </c>
      <c r="J112" s="5">
        <v>3</v>
      </c>
      <c r="K112" s="2" t="s">
        <v>226</v>
      </c>
      <c r="L112" s="2" t="s">
        <v>64</v>
      </c>
      <c r="M112" s="4">
        <v>4.0999999999999996</v>
      </c>
      <c r="N112" s="5">
        <v>269</v>
      </c>
      <c r="O112" s="3">
        <v>45851</v>
      </c>
      <c r="P112" s="2" t="s">
        <v>2391</v>
      </c>
      <c r="Q112" s="2" t="s">
        <v>29</v>
      </c>
      <c r="R112" s="2" t="s">
        <v>66</v>
      </c>
      <c r="S112" s="2" t="s">
        <v>67</v>
      </c>
      <c r="T112" s="2" t="s">
        <v>43</v>
      </c>
    </row>
    <row r="113" spans="1:20" ht="12.5" x14ac:dyDescent="0.25">
      <c r="A113" s="2" t="s">
        <v>521</v>
      </c>
      <c r="B113" s="2" t="s">
        <v>522</v>
      </c>
      <c r="C113" s="2" t="s">
        <v>523</v>
      </c>
      <c r="D113" s="2" t="s">
        <v>524</v>
      </c>
      <c r="E113" s="2" t="s">
        <v>132</v>
      </c>
      <c r="F113" s="2" t="s">
        <v>38</v>
      </c>
      <c r="G113" s="5">
        <v>4417</v>
      </c>
      <c r="H113" s="5">
        <v>25</v>
      </c>
      <c r="I113" s="5">
        <v>3313</v>
      </c>
      <c r="J113" s="5">
        <v>2</v>
      </c>
      <c r="K113" s="2" t="s">
        <v>56</v>
      </c>
      <c r="L113" s="2" t="s">
        <v>49</v>
      </c>
      <c r="M113" s="4">
        <v>3.6</v>
      </c>
      <c r="N113" s="5">
        <v>286</v>
      </c>
      <c r="O113" s="3">
        <v>45838</v>
      </c>
      <c r="P113" s="2" t="s">
        <v>2390</v>
      </c>
      <c r="Q113" s="2" t="s">
        <v>65</v>
      </c>
      <c r="R113" s="2" t="s">
        <v>110</v>
      </c>
      <c r="S113" s="2" t="s">
        <v>111</v>
      </c>
      <c r="T113" s="2"/>
    </row>
    <row r="114" spans="1:20" ht="12.5" x14ac:dyDescent="0.25">
      <c r="A114" s="2" t="s">
        <v>525</v>
      </c>
      <c r="B114" s="2" t="s">
        <v>96</v>
      </c>
      <c r="C114" s="2" t="s">
        <v>526</v>
      </c>
      <c r="D114" s="2" t="s">
        <v>527</v>
      </c>
      <c r="E114" s="2" t="s">
        <v>116</v>
      </c>
      <c r="F114" s="2" t="s">
        <v>117</v>
      </c>
      <c r="G114" s="5">
        <v>4806</v>
      </c>
      <c r="H114" s="5">
        <v>30</v>
      </c>
      <c r="I114" s="5">
        <v>3365</v>
      </c>
      <c r="J114" s="5">
        <v>3</v>
      </c>
      <c r="K114" s="2" t="s">
        <v>56</v>
      </c>
      <c r="L114" s="2" t="s">
        <v>133</v>
      </c>
      <c r="M114" s="4">
        <v>4.4000000000000004</v>
      </c>
      <c r="N114" s="5">
        <v>42</v>
      </c>
      <c r="O114" s="3">
        <v>45833</v>
      </c>
      <c r="P114" s="2" t="s">
        <v>2390</v>
      </c>
      <c r="Q114" s="2" t="s">
        <v>65</v>
      </c>
      <c r="R114" s="2" t="s">
        <v>104</v>
      </c>
      <c r="S114" s="2" t="s">
        <v>105</v>
      </c>
      <c r="T114" s="2"/>
    </row>
    <row r="115" spans="1:20" ht="12.5" x14ac:dyDescent="0.25">
      <c r="A115" s="2" t="s">
        <v>528</v>
      </c>
      <c r="B115" s="2" t="s">
        <v>529</v>
      </c>
      <c r="C115" s="2" t="s">
        <v>530</v>
      </c>
      <c r="D115" s="2" t="s">
        <v>531</v>
      </c>
      <c r="E115" s="2" t="s">
        <v>48</v>
      </c>
      <c r="F115" s="2" t="s">
        <v>25</v>
      </c>
      <c r="G115" s="5">
        <v>2121</v>
      </c>
      <c r="H115" s="5">
        <v>30</v>
      </c>
      <c r="I115" s="5">
        <v>1485</v>
      </c>
      <c r="J115" s="5">
        <v>3</v>
      </c>
      <c r="K115" s="2" t="s">
        <v>163</v>
      </c>
      <c r="L115" s="2" t="s">
        <v>209</v>
      </c>
      <c r="M115" s="4">
        <v>4.4000000000000004</v>
      </c>
      <c r="N115" s="5">
        <v>242</v>
      </c>
      <c r="O115" s="3">
        <v>45799</v>
      </c>
      <c r="P115" s="2" t="s">
        <v>2392</v>
      </c>
      <c r="Q115" s="2" t="s">
        <v>78</v>
      </c>
      <c r="R115" s="2" t="s">
        <v>30</v>
      </c>
      <c r="S115" s="2" t="s">
        <v>31</v>
      </c>
      <c r="T115" s="2"/>
    </row>
    <row r="116" spans="1:20" ht="12.5" x14ac:dyDescent="0.25">
      <c r="A116" s="2" t="s">
        <v>532</v>
      </c>
      <c r="B116" s="2" t="s">
        <v>456</v>
      </c>
      <c r="C116" s="2" t="s">
        <v>533</v>
      </c>
      <c r="D116" s="2" t="s">
        <v>534</v>
      </c>
      <c r="E116" s="2" t="s">
        <v>247</v>
      </c>
      <c r="F116" s="2" t="s">
        <v>248</v>
      </c>
      <c r="G116" s="5">
        <v>2657</v>
      </c>
      <c r="H116" s="5">
        <v>10</v>
      </c>
      <c r="I116" s="5">
        <v>2392</v>
      </c>
      <c r="J116" s="5">
        <v>2</v>
      </c>
      <c r="K116" s="2" t="s">
        <v>163</v>
      </c>
      <c r="L116" s="2" t="s">
        <v>88</v>
      </c>
      <c r="M116" s="4">
        <v>4</v>
      </c>
      <c r="N116" s="5">
        <v>246</v>
      </c>
      <c r="O116" s="3">
        <v>45774</v>
      </c>
      <c r="P116" s="2" t="s">
        <v>2391</v>
      </c>
      <c r="Q116" s="2" t="s">
        <v>65</v>
      </c>
      <c r="R116" s="2" t="s">
        <v>66</v>
      </c>
      <c r="S116" s="2" t="s">
        <v>67</v>
      </c>
      <c r="T116" s="2" t="s">
        <v>134</v>
      </c>
    </row>
    <row r="117" spans="1:20" ht="12.5" x14ac:dyDescent="0.25">
      <c r="A117" s="2" t="s">
        <v>535</v>
      </c>
      <c r="B117" s="2" t="s">
        <v>536</v>
      </c>
      <c r="C117" s="2" t="s">
        <v>537</v>
      </c>
      <c r="D117" s="2" t="s">
        <v>538</v>
      </c>
      <c r="E117" s="2" t="s">
        <v>55</v>
      </c>
      <c r="F117" s="2" t="s">
        <v>38</v>
      </c>
      <c r="G117" s="5">
        <v>1835</v>
      </c>
      <c r="H117" s="5">
        <v>10</v>
      </c>
      <c r="I117" s="5">
        <v>1652</v>
      </c>
      <c r="J117" s="5">
        <v>1</v>
      </c>
      <c r="K117" s="2" t="s">
        <v>32</v>
      </c>
      <c r="L117" s="2" t="s">
        <v>73</v>
      </c>
      <c r="M117" s="4">
        <v>3.9</v>
      </c>
      <c r="N117" s="5">
        <v>242</v>
      </c>
      <c r="O117" s="3">
        <v>45793</v>
      </c>
      <c r="P117" s="2" t="s">
        <v>2391</v>
      </c>
      <c r="Q117" s="2" t="s">
        <v>65</v>
      </c>
      <c r="R117" s="2" t="s">
        <v>110</v>
      </c>
      <c r="S117" s="2" t="s">
        <v>111</v>
      </c>
      <c r="T117" s="2" t="s">
        <v>203</v>
      </c>
    </row>
    <row r="118" spans="1:20" ht="12.5" x14ac:dyDescent="0.25">
      <c r="A118" s="2" t="s">
        <v>539</v>
      </c>
      <c r="B118" s="2" t="s">
        <v>540</v>
      </c>
      <c r="C118" s="2" t="s">
        <v>541</v>
      </c>
      <c r="D118" s="2" t="s">
        <v>542</v>
      </c>
      <c r="E118" s="2" t="s">
        <v>24</v>
      </c>
      <c r="F118" s="2" t="s">
        <v>25</v>
      </c>
      <c r="G118" s="5">
        <v>4681</v>
      </c>
      <c r="H118" s="5">
        <v>30</v>
      </c>
      <c r="I118" s="5">
        <v>3277</v>
      </c>
      <c r="J118" s="5">
        <v>2</v>
      </c>
      <c r="K118" s="2" t="s">
        <v>56</v>
      </c>
      <c r="L118" s="2" t="s">
        <v>49</v>
      </c>
      <c r="M118" s="4">
        <v>4.9000000000000004</v>
      </c>
      <c r="N118" s="5">
        <v>276</v>
      </c>
      <c r="O118" s="3">
        <v>45775</v>
      </c>
      <c r="P118" s="2" t="s">
        <v>2392</v>
      </c>
      <c r="Q118" s="2" t="s">
        <v>29</v>
      </c>
      <c r="R118" s="2" t="s">
        <v>83</v>
      </c>
      <c r="S118" s="2" t="s">
        <v>83</v>
      </c>
      <c r="T118" s="2"/>
    </row>
    <row r="119" spans="1:20" ht="12.5" x14ac:dyDescent="0.25">
      <c r="A119" s="2" t="s">
        <v>543</v>
      </c>
      <c r="B119" s="2" t="s">
        <v>211</v>
      </c>
      <c r="C119" s="2" t="s">
        <v>544</v>
      </c>
      <c r="D119" s="2" t="s">
        <v>545</v>
      </c>
      <c r="E119" s="2" t="s">
        <v>132</v>
      </c>
      <c r="F119" s="2" t="s">
        <v>38</v>
      </c>
      <c r="G119" s="5">
        <v>3893</v>
      </c>
      <c r="H119" s="5">
        <v>40</v>
      </c>
      <c r="I119" s="5">
        <v>2336</v>
      </c>
      <c r="J119" s="5">
        <v>2</v>
      </c>
      <c r="K119" s="2" t="s">
        <v>226</v>
      </c>
      <c r="L119" s="2" t="s">
        <v>103</v>
      </c>
      <c r="M119" s="4">
        <v>4.4000000000000004</v>
      </c>
      <c r="N119" s="5">
        <v>246</v>
      </c>
      <c r="O119" s="3">
        <v>45788</v>
      </c>
      <c r="P119" s="2" t="s">
        <v>2390</v>
      </c>
      <c r="Q119" s="2" t="s">
        <v>29</v>
      </c>
      <c r="R119" s="2" t="s">
        <v>110</v>
      </c>
      <c r="S119" s="2" t="s">
        <v>111</v>
      </c>
      <c r="T119" s="2"/>
    </row>
    <row r="120" spans="1:20" ht="12.5" x14ac:dyDescent="0.25">
      <c r="A120" s="2" t="s">
        <v>546</v>
      </c>
      <c r="B120" s="2" t="s">
        <v>75</v>
      </c>
      <c r="C120" s="2" t="s">
        <v>547</v>
      </c>
      <c r="D120" s="2" t="s">
        <v>548</v>
      </c>
      <c r="E120" s="2" t="s">
        <v>132</v>
      </c>
      <c r="F120" s="2" t="s">
        <v>38</v>
      </c>
      <c r="G120" s="5">
        <v>850</v>
      </c>
      <c r="H120" s="5">
        <v>40</v>
      </c>
      <c r="I120" s="5">
        <v>510</v>
      </c>
      <c r="J120" s="5">
        <v>2</v>
      </c>
      <c r="K120" s="2">
        <v>42</v>
      </c>
      <c r="L120" s="2" t="s">
        <v>133</v>
      </c>
      <c r="M120" s="4">
        <v>4</v>
      </c>
      <c r="N120" s="5">
        <v>180</v>
      </c>
      <c r="O120" s="3">
        <v>45807</v>
      </c>
      <c r="P120" s="2" t="s">
        <v>2391</v>
      </c>
      <c r="Q120" s="2" t="s">
        <v>78</v>
      </c>
      <c r="R120" s="2" t="s">
        <v>58</v>
      </c>
      <c r="S120" s="2" t="s">
        <v>59</v>
      </c>
      <c r="T120" s="2"/>
    </row>
    <row r="121" spans="1:20" ht="12.5" x14ac:dyDescent="0.25">
      <c r="A121" s="2" t="s">
        <v>549</v>
      </c>
      <c r="B121" s="2" t="s">
        <v>550</v>
      </c>
      <c r="C121" s="2" t="s">
        <v>551</v>
      </c>
      <c r="D121" s="2" t="s">
        <v>552</v>
      </c>
      <c r="E121" s="2" t="s">
        <v>24</v>
      </c>
      <c r="F121" s="2" t="s">
        <v>25</v>
      </c>
      <c r="G121" s="5">
        <v>873</v>
      </c>
      <c r="H121" s="5">
        <v>25</v>
      </c>
      <c r="I121" s="5">
        <v>655</v>
      </c>
      <c r="J121" s="5">
        <v>1</v>
      </c>
      <c r="K121" s="2" t="s">
        <v>32</v>
      </c>
      <c r="L121" s="2" t="s">
        <v>64</v>
      </c>
      <c r="M121" s="4">
        <v>4.3</v>
      </c>
      <c r="N121" s="5">
        <v>149</v>
      </c>
      <c r="O121" s="3">
        <v>45780</v>
      </c>
      <c r="P121" s="2" t="s">
        <v>2392</v>
      </c>
      <c r="Q121" s="2" t="s">
        <v>65</v>
      </c>
      <c r="R121" s="2" t="s">
        <v>58</v>
      </c>
      <c r="S121" s="2" t="s">
        <v>59</v>
      </c>
      <c r="T121" s="2"/>
    </row>
    <row r="122" spans="1:20" ht="12.5" x14ac:dyDescent="0.25">
      <c r="A122" s="2" t="s">
        <v>553</v>
      </c>
      <c r="B122" s="2" t="s">
        <v>554</v>
      </c>
      <c r="C122" s="2" t="s">
        <v>555</v>
      </c>
      <c r="D122" s="2" t="s">
        <v>556</v>
      </c>
      <c r="E122" s="2" t="s">
        <v>48</v>
      </c>
      <c r="F122" s="2" t="s">
        <v>25</v>
      </c>
      <c r="G122" s="5">
        <v>2106</v>
      </c>
      <c r="H122" s="5">
        <v>25</v>
      </c>
      <c r="I122" s="5">
        <v>1580</v>
      </c>
      <c r="J122" s="5">
        <v>1</v>
      </c>
      <c r="K122" s="2" t="s">
        <v>26</v>
      </c>
      <c r="L122" s="2" t="s">
        <v>168</v>
      </c>
      <c r="M122" s="4">
        <v>5</v>
      </c>
      <c r="N122" s="5">
        <v>80</v>
      </c>
      <c r="O122" s="3">
        <v>45809</v>
      </c>
      <c r="P122" s="2" t="s">
        <v>2390</v>
      </c>
      <c r="Q122" s="2" t="s">
        <v>78</v>
      </c>
      <c r="R122" s="2" t="s">
        <v>104</v>
      </c>
      <c r="S122" s="2" t="s">
        <v>105</v>
      </c>
      <c r="T122" s="2"/>
    </row>
    <row r="123" spans="1:20" ht="12.5" x14ac:dyDescent="0.25">
      <c r="A123" s="2" t="s">
        <v>557</v>
      </c>
      <c r="B123" s="2" t="s">
        <v>558</v>
      </c>
      <c r="C123" s="2" t="s">
        <v>559</v>
      </c>
      <c r="D123" s="2" t="s">
        <v>560</v>
      </c>
      <c r="E123" s="2" t="s">
        <v>247</v>
      </c>
      <c r="F123" s="2" t="s">
        <v>248</v>
      </c>
      <c r="G123" s="5">
        <v>4527</v>
      </c>
      <c r="H123" s="5">
        <v>35</v>
      </c>
      <c r="I123" s="5">
        <v>2943</v>
      </c>
      <c r="J123" s="5">
        <v>1</v>
      </c>
      <c r="K123" s="2" t="s">
        <v>56</v>
      </c>
      <c r="L123" s="2" t="s">
        <v>64</v>
      </c>
      <c r="M123" s="4">
        <v>4.9000000000000004</v>
      </c>
      <c r="N123" s="5">
        <v>152</v>
      </c>
      <c r="O123" s="3">
        <v>45822</v>
      </c>
      <c r="P123" s="2" t="s">
        <v>2392</v>
      </c>
      <c r="Q123" s="2" t="s">
        <v>65</v>
      </c>
      <c r="R123" s="2" t="s">
        <v>149</v>
      </c>
      <c r="S123" s="2" t="s">
        <v>150</v>
      </c>
      <c r="T123" s="2"/>
    </row>
    <row r="124" spans="1:20" ht="12.5" x14ac:dyDescent="0.25">
      <c r="A124" s="2" t="s">
        <v>561</v>
      </c>
      <c r="B124" s="2" t="s">
        <v>562</v>
      </c>
      <c r="C124" s="2" t="s">
        <v>563</v>
      </c>
      <c r="D124" s="2" t="s">
        <v>564</v>
      </c>
      <c r="E124" s="2" t="s">
        <v>132</v>
      </c>
      <c r="F124" s="2" t="s">
        <v>38</v>
      </c>
      <c r="G124" s="5">
        <v>1611</v>
      </c>
      <c r="H124" s="5">
        <v>10</v>
      </c>
      <c r="I124" s="5">
        <v>1450</v>
      </c>
      <c r="J124" s="5">
        <v>3</v>
      </c>
      <c r="K124" s="2">
        <v>42</v>
      </c>
      <c r="L124" s="2" t="s">
        <v>27</v>
      </c>
      <c r="M124" s="4">
        <v>4.3</v>
      </c>
      <c r="N124" s="5">
        <v>68</v>
      </c>
      <c r="O124" s="3">
        <v>45774</v>
      </c>
      <c r="P124" s="2" t="s">
        <v>2391</v>
      </c>
      <c r="Q124" s="2" t="s">
        <v>29</v>
      </c>
      <c r="R124" s="2" t="s">
        <v>30</v>
      </c>
      <c r="S124" s="2" t="s">
        <v>31</v>
      </c>
      <c r="T124" s="2" t="s">
        <v>134</v>
      </c>
    </row>
    <row r="125" spans="1:20" ht="12.5" x14ac:dyDescent="0.25">
      <c r="A125" s="2" t="s">
        <v>565</v>
      </c>
      <c r="B125" s="2" t="s">
        <v>566</v>
      </c>
      <c r="C125" s="2" t="s">
        <v>567</v>
      </c>
      <c r="D125" s="2" t="s">
        <v>568</v>
      </c>
      <c r="E125" s="2" t="s">
        <v>24</v>
      </c>
      <c r="F125" s="2" t="s">
        <v>25</v>
      </c>
      <c r="G125" s="5">
        <v>2874</v>
      </c>
      <c r="H125" s="5">
        <v>40</v>
      </c>
      <c r="I125" s="5">
        <v>1725</v>
      </c>
      <c r="J125" s="5">
        <v>1</v>
      </c>
      <c r="K125" s="2" t="s">
        <v>163</v>
      </c>
      <c r="L125" s="2" t="s">
        <v>49</v>
      </c>
      <c r="M125" s="4">
        <v>4.3</v>
      </c>
      <c r="N125" s="5">
        <v>98</v>
      </c>
      <c r="O125" s="3">
        <v>45799</v>
      </c>
      <c r="P125" s="2" t="s">
        <v>2392</v>
      </c>
      <c r="Q125" s="2" t="s">
        <v>78</v>
      </c>
      <c r="R125" s="2" t="s">
        <v>83</v>
      </c>
      <c r="S125" s="2" t="s">
        <v>83</v>
      </c>
      <c r="T125" s="2"/>
    </row>
    <row r="126" spans="1:20" ht="12.5" x14ac:dyDescent="0.25">
      <c r="A126" s="2" t="s">
        <v>569</v>
      </c>
      <c r="B126" s="2" t="s">
        <v>570</v>
      </c>
      <c r="C126" s="2" t="s">
        <v>571</v>
      </c>
      <c r="D126" s="2" t="s">
        <v>572</v>
      </c>
      <c r="E126" s="2" t="s">
        <v>116</v>
      </c>
      <c r="F126" s="2" t="s">
        <v>117</v>
      </c>
      <c r="G126" s="5">
        <v>2412</v>
      </c>
      <c r="H126" s="5">
        <v>25</v>
      </c>
      <c r="I126" s="5">
        <v>1809</v>
      </c>
      <c r="J126" s="5">
        <v>1</v>
      </c>
      <c r="K126" s="2" t="s">
        <v>72</v>
      </c>
      <c r="L126" s="2" t="s">
        <v>73</v>
      </c>
      <c r="M126" s="4">
        <v>4.2</v>
      </c>
      <c r="N126" s="5">
        <v>270</v>
      </c>
      <c r="O126" s="3">
        <v>45857</v>
      </c>
      <c r="P126" s="2" t="s">
        <v>2392</v>
      </c>
      <c r="Q126" s="2" t="s">
        <v>78</v>
      </c>
      <c r="R126" s="2" t="s">
        <v>149</v>
      </c>
      <c r="S126" s="2" t="s">
        <v>150</v>
      </c>
      <c r="T126" s="2"/>
    </row>
    <row r="127" spans="1:20" ht="12.5" x14ac:dyDescent="0.25">
      <c r="A127" s="2" t="s">
        <v>573</v>
      </c>
      <c r="B127" s="2" t="s">
        <v>472</v>
      </c>
      <c r="C127" s="2" t="s">
        <v>574</v>
      </c>
      <c r="D127" s="2" t="s">
        <v>575</v>
      </c>
      <c r="E127" s="2" t="s">
        <v>147</v>
      </c>
      <c r="F127" s="2" t="s">
        <v>148</v>
      </c>
      <c r="G127" s="5">
        <v>3890</v>
      </c>
      <c r="H127" s="5">
        <v>40</v>
      </c>
      <c r="I127" s="5">
        <v>2334</v>
      </c>
      <c r="J127" s="5">
        <v>1</v>
      </c>
      <c r="K127" s="2" t="s">
        <v>163</v>
      </c>
      <c r="L127" s="2" t="s">
        <v>88</v>
      </c>
      <c r="M127" s="4">
        <v>4.0999999999999996</v>
      </c>
      <c r="N127" s="5">
        <v>234</v>
      </c>
      <c r="O127" s="3">
        <v>45819</v>
      </c>
      <c r="P127" s="2" t="s">
        <v>2392</v>
      </c>
      <c r="Q127" s="2" t="s">
        <v>29</v>
      </c>
      <c r="R127" s="2" t="s">
        <v>89</v>
      </c>
      <c r="S127" s="2" t="s">
        <v>90</v>
      </c>
      <c r="T127" s="2"/>
    </row>
    <row r="128" spans="1:20" ht="12.5" x14ac:dyDescent="0.25">
      <c r="A128" s="2" t="s">
        <v>576</v>
      </c>
      <c r="B128" s="2" t="s">
        <v>577</v>
      </c>
      <c r="C128" s="2" t="s">
        <v>578</v>
      </c>
      <c r="D128" s="2" t="s">
        <v>579</v>
      </c>
      <c r="E128" s="2" t="s">
        <v>132</v>
      </c>
      <c r="F128" s="2" t="s">
        <v>38</v>
      </c>
      <c r="G128" s="5">
        <v>4254</v>
      </c>
      <c r="H128" s="5">
        <v>15</v>
      </c>
      <c r="I128" s="5">
        <v>3616</v>
      </c>
      <c r="J128" s="5">
        <v>1</v>
      </c>
      <c r="K128" s="2" t="s">
        <v>163</v>
      </c>
      <c r="L128" s="2" t="s">
        <v>73</v>
      </c>
      <c r="M128" s="4">
        <v>4.8</v>
      </c>
      <c r="N128" s="5">
        <v>278</v>
      </c>
      <c r="O128" s="3">
        <v>45778</v>
      </c>
      <c r="P128" s="2" t="s">
        <v>2392</v>
      </c>
      <c r="Q128" s="2" t="s">
        <v>29</v>
      </c>
      <c r="R128" s="2" t="s">
        <v>83</v>
      </c>
      <c r="S128" s="2" t="s">
        <v>83</v>
      </c>
      <c r="T128" s="2"/>
    </row>
    <row r="129" spans="1:20" ht="12.5" x14ac:dyDescent="0.25">
      <c r="A129" s="2" t="s">
        <v>580</v>
      </c>
      <c r="B129" s="2" t="s">
        <v>581</v>
      </c>
      <c r="C129" s="2" t="s">
        <v>582</v>
      </c>
      <c r="D129" s="2" t="s">
        <v>583</v>
      </c>
      <c r="E129" s="2" t="s">
        <v>122</v>
      </c>
      <c r="F129" s="2" t="s">
        <v>123</v>
      </c>
      <c r="G129" s="5">
        <v>3160</v>
      </c>
      <c r="H129" s="5">
        <v>15</v>
      </c>
      <c r="I129" s="5">
        <v>2686</v>
      </c>
      <c r="J129" s="5">
        <v>2</v>
      </c>
      <c r="K129" s="2">
        <v>40</v>
      </c>
      <c r="L129" s="2" t="s">
        <v>133</v>
      </c>
      <c r="M129" s="4">
        <v>4</v>
      </c>
      <c r="N129" s="5">
        <v>174</v>
      </c>
      <c r="O129" s="3">
        <v>45824</v>
      </c>
      <c r="P129" s="2" t="s">
        <v>2392</v>
      </c>
      <c r="Q129" s="2" t="s">
        <v>78</v>
      </c>
      <c r="R129" s="2" t="s">
        <v>185</v>
      </c>
      <c r="S129" s="2" t="s">
        <v>186</v>
      </c>
      <c r="T129" s="2"/>
    </row>
    <row r="130" spans="1:20" ht="12.5" x14ac:dyDescent="0.25">
      <c r="A130" s="2" t="s">
        <v>584</v>
      </c>
      <c r="B130" s="2" t="s">
        <v>585</v>
      </c>
      <c r="C130" s="2" t="s">
        <v>586</v>
      </c>
      <c r="D130" s="2" t="s">
        <v>587</v>
      </c>
      <c r="E130" s="2" t="s">
        <v>247</v>
      </c>
      <c r="F130" s="2" t="s">
        <v>248</v>
      </c>
      <c r="G130" s="5">
        <v>4941</v>
      </c>
      <c r="H130" s="5">
        <v>40</v>
      </c>
      <c r="I130" s="5">
        <v>2965</v>
      </c>
      <c r="J130" s="5">
        <v>3</v>
      </c>
      <c r="K130" s="2">
        <v>42</v>
      </c>
      <c r="L130" s="2" t="s">
        <v>209</v>
      </c>
      <c r="M130" s="4">
        <v>4.5</v>
      </c>
      <c r="N130" s="5">
        <v>238</v>
      </c>
      <c r="O130" s="3">
        <v>45848</v>
      </c>
      <c r="P130" s="2" t="s">
        <v>2392</v>
      </c>
      <c r="Q130" s="2" t="s">
        <v>78</v>
      </c>
      <c r="R130" s="2" t="s">
        <v>104</v>
      </c>
      <c r="S130" s="2" t="s">
        <v>105</v>
      </c>
      <c r="T130" s="2"/>
    </row>
    <row r="131" spans="1:20" ht="12.5" x14ac:dyDescent="0.25">
      <c r="A131" s="2" t="s">
        <v>588</v>
      </c>
      <c r="B131" s="2" t="s">
        <v>589</v>
      </c>
      <c r="C131" s="2" t="s">
        <v>590</v>
      </c>
      <c r="D131" s="2" t="s">
        <v>591</v>
      </c>
      <c r="E131" s="2" t="s">
        <v>37</v>
      </c>
      <c r="F131" s="2" t="s">
        <v>38</v>
      </c>
      <c r="G131" s="5">
        <v>1255</v>
      </c>
      <c r="H131" s="5">
        <v>15</v>
      </c>
      <c r="I131" s="5">
        <v>1067</v>
      </c>
      <c r="J131" s="5">
        <v>1</v>
      </c>
      <c r="K131" s="2" t="s">
        <v>226</v>
      </c>
      <c r="L131" s="2" t="s">
        <v>64</v>
      </c>
      <c r="M131" s="4">
        <v>4.5999999999999996</v>
      </c>
      <c r="N131" s="5">
        <v>129</v>
      </c>
      <c r="O131" s="3">
        <v>45821</v>
      </c>
      <c r="P131" s="2" t="s">
        <v>2391</v>
      </c>
      <c r="Q131" s="2" t="s">
        <v>29</v>
      </c>
      <c r="R131" s="2" t="s">
        <v>58</v>
      </c>
      <c r="S131" s="2" t="s">
        <v>59</v>
      </c>
      <c r="T131" s="2" t="s">
        <v>50</v>
      </c>
    </row>
    <row r="132" spans="1:20" ht="12.5" x14ac:dyDescent="0.25">
      <c r="A132" s="2" t="s">
        <v>592</v>
      </c>
      <c r="B132" s="2" t="s">
        <v>593</v>
      </c>
      <c r="C132" s="2" t="s">
        <v>130</v>
      </c>
      <c r="D132" s="2" t="s">
        <v>594</v>
      </c>
      <c r="E132" s="2" t="s">
        <v>122</v>
      </c>
      <c r="F132" s="2" t="s">
        <v>123</v>
      </c>
      <c r="G132" s="5">
        <v>3753</v>
      </c>
      <c r="H132" s="5">
        <v>15</v>
      </c>
      <c r="I132" s="5">
        <v>3191</v>
      </c>
      <c r="J132" s="5">
        <v>3</v>
      </c>
      <c r="K132" s="2" t="s">
        <v>56</v>
      </c>
      <c r="L132" s="2" t="s">
        <v>168</v>
      </c>
      <c r="M132" s="4">
        <v>3.6</v>
      </c>
      <c r="N132" s="5">
        <v>241</v>
      </c>
      <c r="O132" s="3">
        <v>45846</v>
      </c>
      <c r="P132" s="2" t="s">
        <v>2391</v>
      </c>
      <c r="Q132" s="2" t="s">
        <v>65</v>
      </c>
      <c r="R132" s="2" t="s">
        <v>110</v>
      </c>
      <c r="S132" s="2" t="s">
        <v>111</v>
      </c>
      <c r="T132" s="2" t="s">
        <v>203</v>
      </c>
    </row>
    <row r="133" spans="1:20" ht="12.5" x14ac:dyDescent="0.25">
      <c r="A133" s="2" t="s">
        <v>595</v>
      </c>
      <c r="B133" s="2" t="s">
        <v>357</v>
      </c>
      <c r="C133" s="2" t="s">
        <v>596</v>
      </c>
      <c r="D133" s="2" t="s">
        <v>597</v>
      </c>
      <c r="E133" s="2" t="s">
        <v>122</v>
      </c>
      <c r="F133" s="2" t="s">
        <v>123</v>
      </c>
      <c r="G133" s="5">
        <v>2048</v>
      </c>
      <c r="H133" s="5">
        <v>15</v>
      </c>
      <c r="I133" s="5">
        <v>1741</v>
      </c>
      <c r="J133" s="5">
        <v>1</v>
      </c>
      <c r="K133" s="2">
        <v>42</v>
      </c>
      <c r="L133" s="2" t="s">
        <v>64</v>
      </c>
      <c r="M133" s="4">
        <v>4.3</v>
      </c>
      <c r="N133" s="5">
        <v>123</v>
      </c>
      <c r="O133" s="3">
        <v>45827</v>
      </c>
      <c r="P133" s="2" t="s">
        <v>2390</v>
      </c>
      <c r="Q133" s="2" t="s">
        <v>65</v>
      </c>
      <c r="R133" s="2" t="s">
        <v>83</v>
      </c>
      <c r="S133" s="2" t="s">
        <v>83</v>
      </c>
      <c r="T133" s="2"/>
    </row>
    <row r="134" spans="1:20" ht="12.5" x14ac:dyDescent="0.25">
      <c r="A134" s="2" t="s">
        <v>598</v>
      </c>
      <c r="B134" s="2" t="s">
        <v>599</v>
      </c>
      <c r="C134" s="2" t="s">
        <v>600</v>
      </c>
      <c r="D134" s="2" t="s">
        <v>601</v>
      </c>
      <c r="E134" s="2" t="s">
        <v>116</v>
      </c>
      <c r="F134" s="2" t="s">
        <v>117</v>
      </c>
      <c r="G134" s="5">
        <v>3547</v>
      </c>
      <c r="H134" s="5">
        <v>35</v>
      </c>
      <c r="I134" s="5">
        <v>2306</v>
      </c>
      <c r="J134" s="5">
        <v>3</v>
      </c>
      <c r="K134" s="2" t="s">
        <v>32</v>
      </c>
      <c r="L134" s="2" t="s">
        <v>209</v>
      </c>
      <c r="M134" s="4">
        <v>4.7</v>
      </c>
      <c r="N134" s="5">
        <v>295</v>
      </c>
      <c r="O134" s="3">
        <v>45789</v>
      </c>
      <c r="P134" s="2" t="s">
        <v>2391</v>
      </c>
      <c r="Q134" s="2" t="s">
        <v>29</v>
      </c>
      <c r="R134" s="2" t="s">
        <v>83</v>
      </c>
      <c r="S134" s="2" t="s">
        <v>83</v>
      </c>
      <c r="T134" s="2" t="s">
        <v>134</v>
      </c>
    </row>
    <row r="135" spans="1:20" ht="12.5" x14ac:dyDescent="0.25">
      <c r="A135" s="2" t="s">
        <v>602</v>
      </c>
      <c r="B135" s="2" t="s">
        <v>603</v>
      </c>
      <c r="C135" s="2" t="s">
        <v>604</v>
      </c>
      <c r="D135" s="2" t="s">
        <v>605</v>
      </c>
      <c r="E135" s="2" t="s">
        <v>147</v>
      </c>
      <c r="F135" s="2" t="s">
        <v>148</v>
      </c>
      <c r="G135" s="5">
        <v>2466</v>
      </c>
      <c r="H135" s="5">
        <v>20</v>
      </c>
      <c r="I135" s="5">
        <v>1973</v>
      </c>
      <c r="J135" s="5">
        <v>1</v>
      </c>
      <c r="K135" s="2" t="s">
        <v>26</v>
      </c>
      <c r="L135" s="2" t="s">
        <v>103</v>
      </c>
      <c r="M135" s="4">
        <v>4.7</v>
      </c>
      <c r="N135" s="5">
        <v>25</v>
      </c>
      <c r="O135" s="3">
        <v>45820</v>
      </c>
      <c r="P135" s="2" t="s">
        <v>2390</v>
      </c>
      <c r="Q135" s="2" t="s">
        <v>29</v>
      </c>
      <c r="R135" s="2" t="s">
        <v>30</v>
      </c>
      <c r="S135" s="2" t="s">
        <v>31</v>
      </c>
      <c r="T135" s="2"/>
    </row>
    <row r="136" spans="1:20" ht="12.5" x14ac:dyDescent="0.25">
      <c r="A136" s="2" t="s">
        <v>606</v>
      </c>
      <c r="B136" s="2" t="s">
        <v>607</v>
      </c>
      <c r="C136" s="2" t="s">
        <v>608</v>
      </c>
      <c r="D136" s="2" t="s">
        <v>609</v>
      </c>
      <c r="E136" s="2" t="s">
        <v>122</v>
      </c>
      <c r="F136" s="2" t="s">
        <v>123</v>
      </c>
      <c r="G136" s="5">
        <v>4294</v>
      </c>
      <c r="H136" s="5">
        <v>25</v>
      </c>
      <c r="I136" s="5">
        <v>3221</v>
      </c>
      <c r="J136" s="5">
        <v>2</v>
      </c>
      <c r="K136" s="2" t="s">
        <v>26</v>
      </c>
      <c r="L136" s="2" t="s">
        <v>103</v>
      </c>
      <c r="M136" s="4">
        <v>4.5</v>
      </c>
      <c r="N136" s="5">
        <v>232</v>
      </c>
      <c r="O136" s="3">
        <v>45792</v>
      </c>
      <c r="P136" s="2" t="s">
        <v>2390</v>
      </c>
      <c r="Q136" s="2" t="s">
        <v>78</v>
      </c>
      <c r="R136" s="2" t="s">
        <v>41</v>
      </c>
      <c r="S136" s="2" t="s">
        <v>42</v>
      </c>
      <c r="T136" s="2"/>
    </row>
    <row r="137" spans="1:20" ht="12.5" x14ac:dyDescent="0.25">
      <c r="A137" s="2" t="s">
        <v>610</v>
      </c>
      <c r="B137" s="2" t="s">
        <v>611</v>
      </c>
      <c r="C137" s="2" t="s">
        <v>612</v>
      </c>
      <c r="D137" s="2" t="s">
        <v>613</v>
      </c>
      <c r="E137" s="2" t="s">
        <v>147</v>
      </c>
      <c r="F137" s="2" t="s">
        <v>148</v>
      </c>
      <c r="G137" s="5">
        <v>4286</v>
      </c>
      <c r="H137" s="5">
        <v>10</v>
      </c>
      <c r="I137" s="5">
        <v>3858</v>
      </c>
      <c r="J137" s="5">
        <v>3</v>
      </c>
      <c r="K137" s="2">
        <v>40</v>
      </c>
      <c r="L137" s="2" t="s">
        <v>133</v>
      </c>
      <c r="M137" s="4">
        <v>4.7</v>
      </c>
      <c r="N137" s="5">
        <v>107</v>
      </c>
      <c r="O137" s="3">
        <v>45827</v>
      </c>
      <c r="P137" s="2" t="s">
        <v>2392</v>
      </c>
      <c r="Q137" s="2" t="s">
        <v>78</v>
      </c>
      <c r="R137" s="2" t="s">
        <v>89</v>
      </c>
      <c r="S137" s="2" t="s">
        <v>90</v>
      </c>
      <c r="T137" s="2"/>
    </row>
    <row r="138" spans="1:20" ht="12.5" x14ac:dyDescent="0.25">
      <c r="A138" s="2" t="s">
        <v>614</v>
      </c>
      <c r="B138" s="2" t="s">
        <v>589</v>
      </c>
      <c r="C138" s="2" t="s">
        <v>615</v>
      </c>
      <c r="D138" s="2" t="s">
        <v>616</v>
      </c>
      <c r="E138" s="2" t="s">
        <v>247</v>
      </c>
      <c r="F138" s="2" t="s">
        <v>248</v>
      </c>
      <c r="G138" s="5">
        <v>1592</v>
      </c>
      <c r="H138" s="5">
        <v>10</v>
      </c>
      <c r="I138" s="5">
        <v>1433</v>
      </c>
      <c r="J138" s="5">
        <v>1</v>
      </c>
      <c r="K138" s="2" t="s">
        <v>72</v>
      </c>
      <c r="L138" s="2" t="s">
        <v>133</v>
      </c>
      <c r="M138" s="4">
        <v>4.8</v>
      </c>
      <c r="N138" s="5">
        <v>17</v>
      </c>
      <c r="O138" s="3">
        <v>45774</v>
      </c>
      <c r="P138" s="2" t="s">
        <v>2391</v>
      </c>
      <c r="Q138" s="2" t="s">
        <v>65</v>
      </c>
      <c r="R138" s="2" t="s">
        <v>149</v>
      </c>
      <c r="S138" s="2" t="s">
        <v>150</v>
      </c>
      <c r="T138" s="2" t="s">
        <v>134</v>
      </c>
    </row>
    <row r="139" spans="1:20" ht="12.5" x14ac:dyDescent="0.25">
      <c r="A139" s="2" t="s">
        <v>617</v>
      </c>
      <c r="B139" s="2" t="s">
        <v>618</v>
      </c>
      <c r="C139" s="2" t="s">
        <v>619</v>
      </c>
      <c r="D139" s="2" t="s">
        <v>620</v>
      </c>
      <c r="E139" s="2" t="s">
        <v>208</v>
      </c>
      <c r="F139" s="2" t="s">
        <v>117</v>
      </c>
      <c r="G139" s="5">
        <v>3202</v>
      </c>
      <c r="H139" s="5">
        <v>35</v>
      </c>
      <c r="I139" s="5">
        <v>2082</v>
      </c>
      <c r="J139" s="5">
        <v>1</v>
      </c>
      <c r="K139" s="2" t="s">
        <v>226</v>
      </c>
      <c r="L139" s="2" t="s">
        <v>88</v>
      </c>
      <c r="M139" s="4">
        <v>3.8</v>
      </c>
      <c r="N139" s="5">
        <v>191</v>
      </c>
      <c r="O139" s="3">
        <v>45828</v>
      </c>
      <c r="P139" s="2" t="s">
        <v>2392</v>
      </c>
      <c r="Q139" s="2" t="s">
        <v>65</v>
      </c>
      <c r="R139" s="2" t="s">
        <v>83</v>
      </c>
      <c r="S139" s="2" t="s">
        <v>83</v>
      </c>
      <c r="T139" s="2"/>
    </row>
    <row r="140" spans="1:20" ht="12.5" x14ac:dyDescent="0.25">
      <c r="A140" s="2" t="s">
        <v>621</v>
      </c>
      <c r="B140" s="2" t="s">
        <v>622</v>
      </c>
      <c r="C140" s="2" t="s">
        <v>623</v>
      </c>
      <c r="D140" s="2" t="s">
        <v>624</v>
      </c>
      <c r="E140" s="2" t="s">
        <v>24</v>
      </c>
      <c r="F140" s="2" t="s">
        <v>25</v>
      </c>
      <c r="G140" s="5">
        <v>1909</v>
      </c>
      <c r="H140" s="5">
        <v>10</v>
      </c>
      <c r="I140" s="5">
        <v>1719</v>
      </c>
      <c r="J140" s="5">
        <v>2</v>
      </c>
      <c r="K140" s="2">
        <v>44</v>
      </c>
      <c r="L140" s="2" t="s">
        <v>39</v>
      </c>
      <c r="M140" s="4">
        <v>4.7</v>
      </c>
      <c r="N140" s="5">
        <v>238</v>
      </c>
      <c r="O140" s="3">
        <v>45816</v>
      </c>
      <c r="P140" s="2" t="s">
        <v>2391</v>
      </c>
      <c r="Q140" s="2" t="s">
        <v>65</v>
      </c>
      <c r="R140" s="2" t="s">
        <v>104</v>
      </c>
      <c r="S140" s="2" t="s">
        <v>105</v>
      </c>
      <c r="T140" s="2" t="s">
        <v>50</v>
      </c>
    </row>
    <row r="141" spans="1:20" ht="12.5" x14ac:dyDescent="0.25">
      <c r="A141" s="2" t="s">
        <v>625</v>
      </c>
      <c r="B141" s="2" t="s">
        <v>626</v>
      </c>
      <c r="C141" s="2" t="s">
        <v>627</v>
      </c>
      <c r="D141" s="2" t="s">
        <v>628</v>
      </c>
      <c r="E141" s="2" t="s">
        <v>247</v>
      </c>
      <c r="F141" s="2" t="s">
        <v>248</v>
      </c>
      <c r="G141" s="5">
        <v>948</v>
      </c>
      <c r="H141" s="5">
        <v>40</v>
      </c>
      <c r="I141" s="5">
        <v>569</v>
      </c>
      <c r="J141" s="5">
        <v>1</v>
      </c>
      <c r="K141" s="2" t="s">
        <v>56</v>
      </c>
      <c r="L141" s="2" t="s">
        <v>209</v>
      </c>
      <c r="M141" s="4">
        <v>4.2</v>
      </c>
      <c r="N141" s="5">
        <v>45</v>
      </c>
      <c r="O141" s="3">
        <v>45788</v>
      </c>
      <c r="P141" s="2" t="s">
        <v>2391</v>
      </c>
      <c r="Q141" s="2" t="s">
        <v>29</v>
      </c>
      <c r="R141" s="2" t="s">
        <v>89</v>
      </c>
      <c r="S141" s="2" t="s">
        <v>90</v>
      </c>
      <c r="T141" s="2" t="s">
        <v>50</v>
      </c>
    </row>
    <row r="142" spans="1:20" ht="12.5" x14ac:dyDescent="0.25">
      <c r="A142" s="2" t="s">
        <v>629</v>
      </c>
      <c r="B142" s="2" t="s">
        <v>630</v>
      </c>
      <c r="C142" s="2" t="s">
        <v>631</v>
      </c>
      <c r="D142" s="2" t="s">
        <v>632</v>
      </c>
      <c r="E142" s="2" t="s">
        <v>147</v>
      </c>
      <c r="F142" s="2" t="s">
        <v>148</v>
      </c>
      <c r="G142" s="5">
        <v>936</v>
      </c>
      <c r="H142" s="5">
        <v>35</v>
      </c>
      <c r="I142" s="5">
        <v>609</v>
      </c>
      <c r="J142" s="5">
        <v>3</v>
      </c>
      <c r="K142" s="2" t="s">
        <v>261</v>
      </c>
      <c r="L142" s="2" t="s">
        <v>64</v>
      </c>
      <c r="M142" s="4">
        <v>5</v>
      </c>
      <c r="N142" s="5">
        <v>114</v>
      </c>
      <c r="O142" s="3">
        <v>45810</v>
      </c>
      <c r="P142" s="2" t="s">
        <v>2391</v>
      </c>
      <c r="Q142" s="2" t="s">
        <v>78</v>
      </c>
      <c r="R142" s="2" t="s">
        <v>89</v>
      </c>
      <c r="S142" s="2" t="s">
        <v>90</v>
      </c>
      <c r="T142" s="2" t="s">
        <v>43</v>
      </c>
    </row>
    <row r="143" spans="1:20" ht="12.5" x14ac:dyDescent="0.25">
      <c r="A143" s="2" t="s">
        <v>633</v>
      </c>
      <c r="B143" s="2" t="s">
        <v>634</v>
      </c>
      <c r="C143" s="2" t="s">
        <v>405</v>
      </c>
      <c r="D143" s="2" t="s">
        <v>635</v>
      </c>
      <c r="E143" s="2" t="s">
        <v>48</v>
      </c>
      <c r="F143" s="2" t="s">
        <v>25</v>
      </c>
      <c r="G143" s="5">
        <v>3969</v>
      </c>
      <c r="H143" s="5">
        <v>35</v>
      </c>
      <c r="I143" s="5">
        <v>2580</v>
      </c>
      <c r="J143" s="5">
        <v>3</v>
      </c>
      <c r="K143" s="2" t="s">
        <v>26</v>
      </c>
      <c r="L143" s="2" t="s">
        <v>133</v>
      </c>
      <c r="M143" s="4">
        <v>4.0999999999999996</v>
      </c>
      <c r="N143" s="5">
        <v>151</v>
      </c>
      <c r="O143" s="3">
        <v>45858</v>
      </c>
      <c r="P143" s="2" t="s">
        <v>2391</v>
      </c>
      <c r="Q143" s="2" t="s">
        <v>65</v>
      </c>
      <c r="R143" s="2" t="s">
        <v>89</v>
      </c>
      <c r="S143" s="2" t="s">
        <v>90</v>
      </c>
      <c r="T143" s="2" t="s">
        <v>43</v>
      </c>
    </row>
    <row r="144" spans="1:20" ht="12.5" x14ac:dyDescent="0.25">
      <c r="A144" s="2" t="s">
        <v>636</v>
      </c>
      <c r="B144" s="2" t="s">
        <v>637</v>
      </c>
      <c r="C144" s="2" t="s">
        <v>638</v>
      </c>
      <c r="D144" s="2" t="s">
        <v>639</v>
      </c>
      <c r="E144" s="2" t="s">
        <v>55</v>
      </c>
      <c r="F144" s="2" t="s">
        <v>38</v>
      </c>
      <c r="G144" s="5">
        <v>3372</v>
      </c>
      <c r="H144" s="5">
        <v>35</v>
      </c>
      <c r="I144" s="5">
        <v>2192</v>
      </c>
      <c r="J144" s="5">
        <v>3</v>
      </c>
      <c r="K144" s="2" t="s">
        <v>32</v>
      </c>
      <c r="L144" s="2" t="s">
        <v>39</v>
      </c>
      <c r="M144" s="4">
        <v>4.7</v>
      </c>
      <c r="N144" s="5">
        <v>25</v>
      </c>
      <c r="O144" s="3">
        <v>45846</v>
      </c>
      <c r="P144" s="2" t="s">
        <v>2392</v>
      </c>
      <c r="Q144" s="2" t="s">
        <v>78</v>
      </c>
      <c r="R144" s="2" t="s">
        <v>185</v>
      </c>
      <c r="S144" s="2" t="s">
        <v>186</v>
      </c>
      <c r="T144" s="2"/>
    </row>
    <row r="145" spans="1:20" ht="12.5" x14ac:dyDescent="0.25">
      <c r="A145" s="2" t="s">
        <v>640</v>
      </c>
      <c r="B145" s="2" t="s">
        <v>329</v>
      </c>
      <c r="C145" s="2" t="s">
        <v>641</v>
      </c>
      <c r="D145" s="2" t="s">
        <v>642</v>
      </c>
      <c r="E145" s="2" t="s">
        <v>116</v>
      </c>
      <c r="F145" s="2" t="s">
        <v>117</v>
      </c>
      <c r="G145" s="5">
        <v>1755</v>
      </c>
      <c r="H145" s="5">
        <v>40</v>
      </c>
      <c r="I145" s="5">
        <v>1053</v>
      </c>
      <c r="J145" s="5">
        <v>3</v>
      </c>
      <c r="K145" s="2">
        <v>42</v>
      </c>
      <c r="L145" s="2" t="s">
        <v>27</v>
      </c>
      <c r="M145" s="4">
        <v>4.3</v>
      </c>
      <c r="N145" s="5">
        <v>111</v>
      </c>
      <c r="O145" s="3">
        <v>45827</v>
      </c>
      <c r="P145" s="2" t="s">
        <v>2392</v>
      </c>
      <c r="Q145" s="2" t="s">
        <v>78</v>
      </c>
      <c r="R145" s="2" t="s">
        <v>185</v>
      </c>
      <c r="S145" s="2" t="s">
        <v>186</v>
      </c>
      <c r="T145" s="2"/>
    </row>
    <row r="146" spans="1:20" ht="12.5" x14ac:dyDescent="0.25">
      <c r="A146" s="2" t="s">
        <v>643</v>
      </c>
      <c r="B146" s="2" t="s">
        <v>644</v>
      </c>
      <c r="C146" s="2" t="s">
        <v>645</v>
      </c>
      <c r="D146" s="2" t="s">
        <v>646</v>
      </c>
      <c r="E146" s="2" t="s">
        <v>24</v>
      </c>
      <c r="F146" s="2" t="s">
        <v>25</v>
      </c>
      <c r="G146" s="5">
        <v>3448</v>
      </c>
      <c r="H146" s="5">
        <v>30</v>
      </c>
      <c r="I146" s="5">
        <v>2414</v>
      </c>
      <c r="J146" s="5">
        <v>3</v>
      </c>
      <c r="K146" s="2">
        <v>42</v>
      </c>
      <c r="L146" s="2" t="s">
        <v>73</v>
      </c>
      <c r="M146" s="4">
        <v>4.0999999999999996</v>
      </c>
      <c r="N146" s="5">
        <v>181</v>
      </c>
      <c r="O146" s="3">
        <v>45819</v>
      </c>
      <c r="P146" s="2" t="s">
        <v>2390</v>
      </c>
      <c r="Q146" s="2" t="s">
        <v>65</v>
      </c>
      <c r="R146" s="2" t="s">
        <v>104</v>
      </c>
      <c r="S146" s="2" t="s">
        <v>105</v>
      </c>
      <c r="T146" s="2"/>
    </row>
    <row r="147" spans="1:20" ht="12.5" x14ac:dyDescent="0.25">
      <c r="A147" s="2" t="s">
        <v>647</v>
      </c>
      <c r="B147" s="2" t="s">
        <v>648</v>
      </c>
      <c r="C147" s="2" t="s">
        <v>649</v>
      </c>
      <c r="D147" s="2" t="s">
        <v>650</v>
      </c>
      <c r="E147" s="2" t="s">
        <v>132</v>
      </c>
      <c r="F147" s="2" t="s">
        <v>38</v>
      </c>
      <c r="G147" s="5">
        <v>1018</v>
      </c>
      <c r="H147" s="5">
        <v>25</v>
      </c>
      <c r="I147" s="5">
        <v>764</v>
      </c>
      <c r="J147" s="5">
        <v>3</v>
      </c>
      <c r="K147" s="2">
        <v>40</v>
      </c>
      <c r="L147" s="2" t="s">
        <v>88</v>
      </c>
      <c r="M147" s="4">
        <v>4.3</v>
      </c>
      <c r="N147" s="5">
        <v>53</v>
      </c>
      <c r="O147" s="3">
        <v>45848</v>
      </c>
      <c r="P147" s="2" t="s">
        <v>2390</v>
      </c>
      <c r="Q147" s="2" t="s">
        <v>78</v>
      </c>
      <c r="R147" s="2" t="s">
        <v>104</v>
      </c>
      <c r="S147" s="2" t="s">
        <v>105</v>
      </c>
      <c r="T147" s="2"/>
    </row>
    <row r="148" spans="1:20" ht="12.5" x14ac:dyDescent="0.25">
      <c r="A148" s="2" t="s">
        <v>651</v>
      </c>
      <c r="B148" s="2" t="s">
        <v>178</v>
      </c>
      <c r="C148" s="2" t="s">
        <v>652</v>
      </c>
      <c r="D148" s="2" t="s">
        <v>653</v>
      </c>
      <c r="E148" s="2" t="s">
        <v>48</v>
      </c>
      <c r="F148" s="2" t="s">
        <v>25</v>
      </c>
      <c r="G148" s="5">
        <v>4946</v>
      </c>
      <c r="H148" s="5">
        <v>35</v>
      </c>
      <c r="I148" s="5">
        <v>3215</v>
      </c>
      <c r="J148" s="5">
        <v>1</v>
      </c>
      <c r="K148" s="2" t="s">
        <v>26</v>
      </c>
      <c r="L148" s="2" t="s">
        <v>209</v>
      </c>
      <c r="M148" s="4">
        <v>4.4000000000000004</v>
      </c>
      <c r="N148" s="5">
        <v>155</v>
      </c>
      <c r="O148" s="3">
        <v>45816</v>
      </c>
      <c r="P148" s="2" t="s">
        <v>2392</v>
      </c>
      <c r="Q148" s="2" t="s">
        <v>65</v>
      </c>
      <c r="R148" s="2" t="s">
        <v>30</v>
      </c>
      <c r="S148" s="2" t="s">
        <v>31</v>
      </c>
      <c r="T148" s="2"/>
    </row>
    <row r="149" spans="1:20" ht="12.5" x14ac:dyDescent="0.25">
      <c r="A149" s="2" t="s">
        <v>654</v>
      </c>
      <c r="B149" s="2" t="s">
        <v>655</v>
      </c>
      <c r="C149" s="2" t="s">
        <v>656</v>
      </c>
      <c r="D149" s="2" t="s">
        <v>657</v>
      </c>
      <c r="E149" s="2" t="s">
        <v>24</v>
      </c>
      <c r="F149" s="2" t="s">
        <v>25</v>
      </c>
      <c r="G149" s="5">
        <v>1763</v>
      </c>
      <c r="H149" s="5">
        <v>25</v>
      </c>
      <c r="I149" s="5">
        <v>1323</v>
      </c>
      <c r="J149" s="5">
        <v>1</v>
      </c>
      <c r="K149" s="2" t="s">
        <v>32</v>
      </c>
      <c r="L149" s="2" t="s">
        <v>73</v>
      </c>
      <c r="M149" s="4">
        <v>4.0999999999999996</v>
      </c>
      <c r="N149" s="5">
        <v>157</v>
      </c>
      <c r="O149" s="3">
        <v>45828</v>
      </c>
      <c r="P149" s="2" t="s">
        <v>2390</v>
      </c>
      <c r="Q149" s="2" t="s">
        <v>78</v>
      </c>
      <c r="R149" s="2" t="s">
        <v>58</v>
      </c>
      <c r="S149" s="2" t="s">
        <v>59</v>
      </c>
      <c r="T149" s="2"/>
    </row>
    <row r="150" spans="1:20" ht="12.5" x14ac:dyDescent="0.25">
      <c r="A150" s="2" t="s">
        <v>658</v>
      </c>
      <c r="B150" s="2" t="s">
        <v>659</v>
      </c>
      <c r="C150" s="2" t="s">
        <v>660</v>
      </c>
      <c r="D150" s="2" t="s">
        <v>661</v>
      </c>
      <c r="E150" s="2" t="s">
        <v>208</v>
      </c>
      <c r="F150" s="2" t="s">
        <v>117</v>
      </c>
      <c r="G150" s="5">
        <v>2968</v>
      </c>
      <c r="H150" s="5">
        <v>30</v>
      </c>
      <c r="I150" s="5">
        <v>2078</v>
      </c>
      <c r="J150" s="5">
        <v>2</v>
      </c>
      <c r="K150" s="2" t="s">
        <v>56</v>
      </c>
      <c r="L150" s="2" t="s">
        <v>103</v>
      </c>
      <c r="M150" s="4">
        <v>3.9</v>
      </c>
      <c r="N150" s="5">
        <v>37</v>
      </c>
      <c r="O150" s="3">
        <v>45820</v>
      </c>
      <c r="P150" s="2" t="s">
        <v>2391</v>
      </c>
      <c r="Q150" s="2" t="s">
        <v>29</v>
      </c>
      <c r="R150" s="2" t="s">
        <v>58</v>
      </c>
      <c r="S150" s="2" t="s">
        <v>59</v>
      </c>
      <c r="T150" s="2" t="s">
        <v>203</v>
      </c>
    </row>
    <row r="151" spans="1:20" ht="12.5" x14ac:dyDescent="0.25">
      <c r="A151" s="2" t="s">
        <v>662</v>
      </c>
      <c r="B151" s="2" t="s">
        <v>663</v>
      </c>
      <c r="C151" s="2" t="s">
        <v>664</v>
      </c>
      <c r="D151" s="2" t="s">
        <v>665</v>
      </c>
      <c r="E151" s="2" t="s">
        <v>48</v>
      </c>
      <c r="F151" s="2" t="s">
        <v>25</v>
      </c>
      <c r="G151" s="5">
        <v>1554</v>
      </c>
      <c r="H151" s="5">
        <v>15</v>
      </c>
      <c r="I151" s="5">
        <v>1321</v>
      </c>
      <c r="J151" s="5">
        <v>2</v>
      </c>
      <c r="K151" s="2" t="s">
        <v>226</v>
      </c>
      <c r="L151" s="2" t="s">
        <v>64</v>
      </c>
      <c r="M151" s="4">
        <v>3.7</v>
      </c>
      <c r="N151" s="5">
        <v>56</v>
      </c>
      <c r="O151" s="3">
        <v>45850</v>
      </c>
      <c r="P151" s="2" t="s">
        <v>2392</v>
      </c>
      <c r="Q151" s="2" t="s">
        <v>29</v>
      </c>
      <c r="R151" s="2" t="s">
        <v>41</v>
      </c>
      <c r="S151" s="2" t="s">
        <v>42</v>
      </c>
      <c r="T151" s="2"/>
    </row>
    <row r="152" spans="1:20" ht="12.5" x14ac:dyDescent="0.25">
      <c r="A152" s="2" t="s">
        <v>666</v>
      </c>
      <c r="B152" s="2" t="s">
        <v>607</v>
      </c>
      <c r="C152" s="2" t="s">
        <v>667</v>
      </c>
      <c r="D152" s="2" t="s">
        <v>668</v>
      </c>
      <c r="E152" s="2" t="s">
        <v>24</v>
      </c>
      <c r="F152" s="2" t="s">
        <v>25</v>
      </c>
      <c r="G152" s="5">
        <v>2899</v>
      </c>
      <c r="H152" s="5">
        <v>25</v>
      </c>
      <c r="I152" s="5">
        <v>2175</v>
      </c>
      <c r="J152" s="5">
        <v>2</v>
      </c>
      <c r="K152" s="2" t="s">
        <v>163</v>
      </c>
      <c r="L152" s="2" t="s">
        <v>168</v>
      </c>
      <c r="M152" s="4">
        <v>4.5</v>
      </c>
      <c r="N152" s="5">
        <v>273</v>
      </c>
      <c r="O152" s="3">
        <v>45795</v>
      </c>
      <c r="P152" s="2" t="s">
        <v>2391</v>
      </c>
      <c r="Q152" s="2" t="s">
        <v>78</v>
      </c>
      <c r="R152" s="2" t="s">
        <v>89</v>
      </c>
      <c r="S152" s="2" t="s">
        <v>90</v>
      </c>
      <c r="T152" s="2" t="s">
        <v>203</v>
      </c>
    </row>
    <row r="153" spans="1:20" ht="12.5" x14ac:dyDescent="0.25">
      <c r="A153" s="2" t="s">
        <v>669</v>
      </c>
      <c r="B153" s="2" t="s">
        <v>670</v>
      </c>
      <c r="C153" s="2" t="s">
        <v>671</v>
      </c>
      <c r="D153" s="2" t="s">
        <v>672</v>
      </c>
      <c r="E153" s="2" t="s">
        <v>37</v>
      </c>
      <c r="F153" s="2" t="s">
        <v>38</v>
      </c>
      <c r="G153" s="5">
        <v>1987</v>
      </c>
      <c r="H153" s="5">
        <v>30</v>
      </c>
      <c r="I153" s="5">
        <v>1391</v>
      </c>
      <c r="J153" s="5">
        <v>2</v>
      </c>
      <c r="K153" s="2">
        <v>42</v>
      </c>
      <c r="L153" s="2" t="s">
        <v>168</v>
      </c>
      <c r="M153" s="4">
        <v>4.0999999999999996</v>
      </c>
      <c r="N153" s="5">
        <v>271</v>
      </c>
      <c r="O153" s="3">
        <v>45822</v>
      </c>
      <c r="P153" s="2" t="s">
        <v>2390</v>
      </c>
      <c r="Q153" s="2" t="s">
        <v>78</v>
      </c>
      <c r="R153" s="2" t="s">
        <v>185</v>
      </c>
      <c r="S153" s="2" t="s">
        <v>186</v>
      </c>
      <c r="T153" s="2"/>
    </row>
    <row r="154" spans="1:20" ht="12.5" x14ac:dyDescent="0.25">
      <c r="A154" s="2" t="s">
        <v>673</v>
      </c>
      <c r="B154" s="2" t="s">
        <v>637</v>
      </c>
      <c r="C154" s="2" t="s">
        <v>674</v>
      </c>
      <c r="D154" s="2" t="s">
        <v>675</v>
      </c>
      <c r="E154" s="2" t="s">
        <v>116</v>
      </c>
      <c r="F154" s="2" t="s">
        <v>117</v>
      </c>
      <c r="G154" s="5">
        <v>954</v>
      </c>
      <c r="H154" s="5">
        <v>30</v>
      </c>
      <c r="I154" s="5">
        <v>668</v>
      </c>
      <c r="J154" s="5">
        <v>1</v>
      </c>
      <c r="K154" s="2" t="s">
        <v>32</v>
      </c>
      <c r="L154" s="2" t="s">
        <v>103</v>
      </c>
      <c r="M154" s="4">
        <v>4.3</v>
      </c>
      <c r="N154" s="5">
        <v>72</v>
      </c>
      <c r="O154" s="3">
        <v>45839</v>
      </c>
      <c r="P154" s="2" t="s">
        <v>2391</v>
      </c>
      <c r="Q154" s="2" t="s">
        <v>78</v>
      </c>
      <c r="R154" s="2" t="s">
        <v>41</v>
      </c>
      <c r="S154" s="2" t="s">
        <v>42</v>
      </c>
      <c r="T154" s="2" t="s">
        <v>43</v>
      </c>
    </row>
    <row r="155" spans="1:20" ht="12.5" x14ac:dyDescent="0.25">
      <c r="A155" s="2" t="s">
        <v>676</v>
      </c>
      <c r="B155" s="2" t="s">
        <v>677</v>
      </c>
      <c r="C155" s="2" t="s">
        <v>678</v>
      </c>
      <c r="D155" s="2" t="s">
        <v>679</v>
      </c>
      <c r="E155" s="2" t="s">
        <v>147</v>
      </c>
      <c r="F155" s="2" t="s">
        <v>148</v>
      </c>
      <c r="G155" s="5">
        <v>1695</v>
      </c>
      <c r="H155" s="5">
        <v>10</v>
      </c>
      <c r="I155" s="5">
        <v>1526</v>
      </c>
      <c r="J155" s="5">
        <v>3</v>
      </c>
      <c r="K155" s="2" t="s">
        <v>32</v>
      </c>
      <c r="L155" s="2" t="s">
        <v>49</v>
      </c>
      <c r="M155" s="4">
        <v>5</v>
      </c>
      <c r="N155" s="5">
        <v>252</v>
      </c>
      <c r="O155" s="3">
        <v>45812</v>
      </c>
      <c r="P155" s="2" t="s">
        <v>2391</v>
      </c>
      <c r="Q155" s="2" t="s">
        <v>65</v>
      </c>
      <c r="R155" s="2" t="s">
        <v>58</v>
      </c>
      <c r="S155" s="2" t="s">
        <v>59</v>
      </c>
      <c r="T155" s="2" t="s">
        <v>134</v>
      </c>
    </row>
    <row r="156" spans="1:20" ht="12.5" x14ac:dyDescent="0.25">
      <c r="A156" s="2" t="s">
        <v>680</v>
      </c>
      <c r="B156" s="2" t="s">
        <v>681</v>
      </c>
      <c r="C156" s="2" t="s">
        <v>682</v>
      </c>
      <c r="D156" s="2" t="s">
        <v>683</v>
      </c>
      <c r="E156" s="2" t="s">
        <v>116</v>
      </c>
      <c r="F156" s="2" t="s">
        <v>117</v>
      </c>
      <c r="G156" s="5">
        <v>2838</v>
      </c>
      <c r="H156" s="5">
        <v>30</v>
      </c>
      <c r="I156" s="5">
        <v>1987</v>
      </c>
      <c r="J156" s="5">
        <v>2</v>
      </c>
      <c r="K156" s="2" t="s">
        <v>261</v>
      </c>
      <c r="L156" s="2" t="s">
        <v>88</v>
      </c>
      <c r="M156" s="4">
        <v>3.6</v>
      </c>
      <c r="N156" s="5">
        <v>159</v>
      </c>
      <c r="O156" s="3">
        <v>45799</v>
      </c>
      <c r="P156" s="2" t="s">
        <v>2392</v>
      </c>
      <c r="Q156" s="2" t="s">
        <v>29</v>
      </c>
      <c r="R156" s="2" t="s">
        <v>149</v>
      </c>
      <c r="S156" s="2" t="s">
        <v>150</v>
      </c>
      <c r="T156" s="2"/>
    </row>
    <row r="157" spans="1:20" ht="12.5" x14ac:dyDescent="0.25">
      <c r="A157" s="2" t="s">
        <v>684</v>
      </c>
      <c r="B157" s="2" t="s">
        <v>685</v>
      </c>
      <c r="C157" s="2" t="s">
        <v>686</v>
      </c>
      <c r="D157" s="2" t="s">
        <v>687</v>
      </c>
      <c r="E157" s="2" t="s">
        <v>24</v>
      </c>
      <c r="F157" s="2" t="s">
        <v>25</v>
      </c>
      <c r="G157" s="5">
        <v>3559</v>
      </c>
      <c r="H157" s="5">
        <v>35</v>
      </c>
      <c r="I157" s="5">
        <v>2314</v>
      </c>
      <c r="J157" s="5">
        <v>3</v>
      </c>
      <c r="K157" s="2">
        <v>42</v>
      </c>
      <c r="L157" s="2" t="s">
        <v>133</v>
      </c>
      <c r="M157" s="4">
        <v>4.9000000000000004</v>
      </c>
      <c r="N157" s="5">
        <v>212</v>
      </c>
      <c r="O157" s="3">
        <v>45777</v>
      </c>
      <c r="P157" s="2" t="s">
        <v>2390</v>
      </c>
      <c r="Q157" s="2" t="s">
        <v>78</v>
      </c>
      <c r="R157" s="2" t="s">
        <v>58</v>
      </c>
      <c r="S157" s="2" t="s">
        <v>59</v>
      </c>
      <c r="T157" s="2"/>
    </row>
    <row r="158" spans="1:20" ht="12.5" x14ac:dyDescent="0.25">
      <c r="A158" s="2" t="s">
        <v>688</v>
      </c>
      <c r="B158" s="2" t="s">
        <v>689</v>
      </c>
      <c r="C158" s="2" t="s">
        <v>690</v>
      </c>
      <c r="D158" s="2" t="s">
        <v>691</v>
      </c>
      <c r="E158" s="2" t="s">
        <v>24</v>
      </c>
      <c r="F158" s="2" t="s">
        <v>25</v>
      </c>
      <c r="G158" s="5">
        <v>1178</v>
      </c>
      <c r="H158" s="5">
        <v>10</v>
      </c>
      <c r="I158" s="5">
        <v>1061</v>
      </c>
      <c r="J158" s="5">
        <v>2</v>
      </c>
      <c r="K158" s="2">
        <v>40</v>
      </c>
      <c r="L158" s="2" t="s">
        <v>73</v>
      </c>
      <c r="M158" s="4">
        <v>4.3</v>
      </c>
      <c r="N158" s="5">
        <v>120</v>
      </c>
      <c r="O158" s="3">
        <v>45803</v>
      </c>
      <c r="P158" s="2" t="s">
        <v>2390</v>
      </c>
      <c r="Q158" s="2" t="s">
        <v>29</v>
      </c>
      <c r="R158" s="2" t="s">
        <v>83</v>
      </c>
      <c r="S158" s="2" t="s">
        <v>83</v>
      </c>
      <c r="T158" s="2"/>
    </row>
    <row r="159" spans="1:20" ht="12.5" x14ac:dyDescent="0.25">
      <c r="A159" s="2" t="s">
        <v>692</v>
      </c>
      <c r="B159" s="2" t="s">
        <v>693</v>
      </c>
      <c r="C159" s="2" t="s">
        <v>694</v>
      </c>
      <c r="D159" s="2" t="s">
        <v>695</v>
      </c>
      <c r="E159" s="2" t="s">
        <v>122</v>
      </c>
      <c r="F159" s="2" t="s">
        <v>123</v>
      </c>
      <c r="G159" s="5">
        <v>4085</v>
      </c>
      <c r="H159" s="5">
        <v>30</v>
      </c>
      <c r="I159" s="5">
        <v>2860</v>
      </c>
      <c r="J159" s="5">
        <v>1</v>
      </c>
      <c r="K159" s="2" t="s">
        <v>261</v>
      </c>
      <c r="L159" s="2" t="s">
        <v>27</v>
      </c>
      <c r="M159" s="4">
        <v>4.7</v>
      </c>
      <c r="N159" s="5">
        <v>271</v>
      </c>
      <c r="O159" s="3">
        <v>45849</v>
      </c>
      <c r="P159" s="2" t="s">
        <v>2390</v>
      </c>
      <c r="Q159" s="2" t="s">
        <v>65</v>
      </c>
      <c r="R159" s="2" t="s">
        <v>104</v>
      </c>
      <c r="S159" s="2" t="s">
        <v>105</v>
      </c>
      <c r="T159" s="2"/>
    </row>
    <row r="160" spans="1:20" ht="12.5" x14ac:dyDescent="0.25">
      <c r="A160" s="2" t="s">
        <v>696</v>
      </c>
      <c r="B160" s="2" t="s">
        <v>697</v>
      </c>
      <c r="C160" s="2" t="s">
        <v>698</v>
      </c>
      <c r="D160" s="2" t="s">
        <v>699</v>
      </c>
      <c r="E160" s="2" t="s">
        <v>122</v>
      </c>
      <c r="F160" s="2" t="s">
        <v>123</v>
      </c>
      <c r="G160" s="5">
        <v>4007</v>
      </c>
      <c r="H160" s="5">
        <v>25</v>
      </c>
      <c r="I160" s="5">
        <v>3006</v>
      </c>
      <c r="J160" s="5">
        <v>2</v>
      </c>
      <c r="K160" s="2" t="s">
        <v>26</v>
      </c>
      <c r="L160" s="2" t="s">
        <v>27</v>
      </c>
      <c r="M160" s="4">
        <v>3.7</v>
      </c>
      <c r="N160" s="5">
        <v>187</v>
      </c>
      <c r="O160" s="3">
        <v>45786</v>
      </c>
      <c r="P160" s="2" t="s">
        <v>2390</v>
      </c>
      <c r="Q160" s="2" t="s">
        <v>29</v>
      </c>
      <c r="R160" s="2" t="s">
        <v>110</v>
      </c>
      <c r="S160" s="2" t="s">
        <v>111</v>
      </c>
      <c r="T160" s="2"/>
    </row>
    <row r="161" spans="1:20" ht="12.5" x14ac:dyDescent="0.25">
      <c r="A161" s="2" t="s">
        <v>700</v>
      </c>
      <c r="B161" s="2" t="s">
        <v>701</v>
      </c>
      <c r="C161" s="2" t="s">
        <v>702</v>
      </c>
      <c r="D161" s="2" t="s">
        <v>703</v>
      </c>
      <c r="E161" s="2" t="s">
        <v>132</v>
      </c>
      <c r="F161" s="2" t="s">
        <v>38</v>
      </c>
      <c r="G161" s="5">
        <v>3883</v>
      </c>
      <c r="H161" s="5">
        <v>35</v>
      </c>
      <c r="I161" s="5">
        <v>2524</v>
      </c>
      <c r="J161" s="5">
        <v>1</v>
      </c>
      <c r="K161" s="2" t="s">
        <v>72</v>
      </c>
      <c r="L161" s="2" t="s">
        <v>39</v>
      </c>
      <c r="M161" s="4">
        <v>4</v>
      </c>
      <c r="N161" s="5">
        <v>188</v>
      </c>
      <c r="O161" s="3">
        <v>45828</v>
      </c>
      <c r="P161" s="2" t="s">
        <v>2392</v>
      </c>
      <c r="Q161" s="2" t="s">
        <v>78</v>
      </c>
      <c r="R161" s="2" t="s">
        <v>41</v>
      </c>
      <c r="S161" s="2" t="s">
        <v>42</v>
      </c>
      <c r="T161" s="2"/>
    </row>
    <row r="162" spans="1:20" ht="12.5" x14ac:dyDescent="0.25">
      <c r="A162" s="2" t="s">
        <v>704</v>
      </c>
      <c r="B162" s="2" t="s">
        <v>705</v>
      </c>
      <c r="C162" s="2" t="s">
        <v>706</v>
      </c>
      <c r="D162" s="2" t="s">
        <v>707</v>
      </c>
      <c r="E162" s="2" t="s">
        <v>37</v>
      </c>
      <c r="F162" s="2" t="s">
        <v>38</v>
      </c>
      <c r="G162" s="5">
        <v>2948</v>
      </c>
      <c r="H162" s="5">
        <v>10</v>
      </c>
      <c r="I162" s="5">
        <v>2654</v>
      </c>
      <c r="J162" s="5">
        <v>1</v>
      </c>
      <c r="K162" s="2">
        <v>40</v>
      </c>
      <c r="L162" s="2" t="s">
        <v>88</v>
      </c>
      <c r="M162" s="4">
        <v>5</v>
      </c>
      <c r="N162" s="5">
        <v>299</v>
      </c>
      <c r="O162" s="3">
        <v>45851</v>
      </c>
      <c r="P162" s="2" t="s">
        <v>2392</v>
      </c>
      <c r="Q162" s="2" t="s">
        <v>65</v>
      </c>
      <c r="R162" s="2" t="s">
        <v>104</v>
      </c>
      <c r="S162" s="2" t="s">
        <v>105</v>
      </c>
      <c r="T162" s="2"/>
    </row>
    <row r="163" spans="1:20" ht="12.5" x14ac:dyDescent="0.25">
      <c r="A163" s="2" t="s">
        <v>708</v>
      </c>
      <c r="B163" s="2" t="s">
        <v>709</v>
      </c>
      <c r="C163" s="2" t="s">
        <v>710</v>
      </c>
      <c r="D163" s="2" t="s">
        <v>711</v>
      </c>
      <c r="E163" s="2" t="s">
        <v>116</v>
      </c>
      <c r="F163" s="2" t="s">
        <v>117</v>
      </c>
      <c r="G163" s="5">
        <v>1868</v>
      </c>
      <c r="H163" s="5">
        <v>10</v>
      </c>
      <c r="I163" s="5">
        <v>1682</v>
      </c>
      <c r="J163" s="5">
        <v>1</v>
      </c>
      <c r="K163" s="2" t="s">
        <v>56</v>
      </c>
      <c r="L163" s="2" t="s">
        <v>27</v>
      </c>
      <c r="M163" s="4">
        <v>4.5</v>
      </c>
      <c r="N163" s="5">
        <v>241</v>
      </c>
      <c r="O163" s="3">
        <v>45790</v>
      </c>
      <c r="P163" s="2" t="s">
        <v>2390</v>
      </c>
      <c r="Q163" s="2" t="s">
        <v>29</v>
      </c>
      <c r="R163" s="2" t="s">
        <v>110</v>
      </c>
      <c r="S163" s="2" t="s">
        <v>111</v>
      </c>
      <c r="T163" s="2"/>
    </row>
    <row r="164" spans="1:20" ht="12.5" x14ac:dyDescent="0.25">
      <c r="A164" s="2" t="s">
        <v>712</v>
      </c>
      <c r="B164" s="2" t="s">
        <v>713</v>
      </c>
      <c r="C164" s="2" t="s">
        <v>714</v>
      </c>
      <c r="D164" s="2" t="s">
        <v>715</v>
      </c>
      <c r="E164" s="2" t="s">
        <v>48</v>
      </c>
      <c r="F164" s="2" t="s">
        <v>25</v>
      </c>
      <c r="G164" s="5">
        <v>1213</v>
      </c>
      <c r="H164" s="5">
        <v>20</v>
      </c>
      <c r="I164" s="5">
        <v>971</v>
      </c>
      <c r="J164" s="5">
        <v>1</v>
      </c>
      <c r="K164" s="2" t="s">
        <v>32</v>
      </c>
      <c r="L164" s="2" t="s">
        <v>73</v>
      </c>
      <c r="M164" s="4">
        <v>5</v>
      </c>
      <c r="N164" s="5">
        <v>147</v>
      </c>
      <c r="O164" s="3">
        <v>45789</v>
      </c>
      <c r="P164" s="2" t="s">
        <v>2392</v>
      </c>
      <c r="Q164" s="2" t="s">
        <v>29</v>
      </c>
      <c r="R164" s="2" t="s">
        <v>110</v>
      </c>
      <c r="S164" s="2" t="s">
        <v>111</v>
      </c>
      <c r="T164" s="2"/>
    </row>
    <row r="165" spans="1:20" ht="12.5" x14ac:dyDescent="0.25">
      <c r="A165" s="2" t="s">
        <v>716</v>
      </c>
      <c r="B165" s="2" t="s">
        <v>717</v>
      </c>
      <c r="C165" s="2" t="s">
        <v>718</v>
      </c>
      <c r="D165" s="2" t="s">
        <v>719</v>
      </c>
      <c r="E165" s="2" t="s">
        <v>247</v>
      </c>
      <c r="F165" s="2" t="s">
        <v>248</v>
      </c>
      <c r="G165" s="5">
        <v>2587</v>
      </c>
      <c r="H165" s="5">
        <v>40</v>
      </c>
      <c r="I165" s="5">
        <v>1553</v>
      </c>
      <c r="J165" s="5">
        <v>2</v>
      </c>
      <c r="K165" s="2">
        <v>44</v>
      </c>
      <c r="L165" s="2" t="s">
        <v>64</v>
      </c>
      <c r="M165" s="4">
        <v>3.8</v>
      </c>
      <c r="N165" s="5">
        <v>294</v>
      </c>
      <c r="O165" s="3">
        <v>45849</v>
      </c>
      <c r="P165" s="2" t="s">
        <v>2392</v>
      </c>
      <c r="Q165" s="2" t="s">
        <v>78</v>
      </c>
      <c r="R165" s="2" t="s">
        <v>30</v>
      </c>
      <c r="S165" s="2" t="s">
        <v>31</v>
      </c>
      <c r="T165" s="2"/>
    </row>
    <row r="166" spans="1:20" ht="12.5" x14ac:dyDescent="0.25">
      <c r="A166" s="2" t="s">
        <v>720</v>
      </c>
      <c r="B166" s="2" t="s">
        <v>721</v>
      </c>
      <c r="C166" s="2" t="s">
        <v>722</v>
      </c>
      <c r="D166" s="2" t="s">
        <v>723</v>
      </c>
      <c r="E166" s="2" t="s">
        <v>48</v>
      </c>
      <c r="F166" s="2" t="s">
        <v>25</v>
      </c>
      <c r="G166" s="5">
        <v>4193</v>
      </c>
      <c r="H166" s="5">
        <v>15</v>
      </c>
      <c r="I166" s="5">
        <v>3565</v>
      </c>
      <c r="J166" s="5">
        <v>3</v>
      </c>
      <c r="K166" s="2" t="s">
        <v>163</v>
      </c>
      <c r="L166" s="2" t="s">
        <v>39</v>
      </c>
      <c r="M166" s="4">
        <v>4.9000000000000004</v>
      </c>
      <c r="N166" s="5">
        <v>173</v>
      </c>
      <c r="O166" s="3">
        <v>45774</v>
      </c>
      <c r="P166" s="2" t="s">
        <v>2391</v>
      </c>
      <c r="Q166" s="2" t="s">
        <v>29</v>
      </c>
      <c r="R166" s="2" t="s">
        <v>110</v>
      </c>
      <c r="S166" s="2" t="s">
        <v>111</v>
      </c>
      <c r="T166" s="2" t="s">
        <v>203</v>
      </c>
    </row>
    <row r="167" spans="1:20" ht="12.5" x14ac:dyDescent="0.25">
      <c r="A167" s="2" t="s">
        <v>724</v>
      </c>
      <c r="B167" s="2" t="s">
        <v>725</v>
      </c>
      <c r="C167" s="2" t="s">
        <v>726</v>
      </c>
      <c r="D167" s="2" t="s">
        <v>727</v>
      </c>
      <c r="E167" s="2" t="s">
        <v>55</v>
      </c>
      <c r="F167" s="2" t="s">
        <v>38</v>
      </c>
      <c r="G167" s="5">
        <v>4530</v>
      </c>
      <c r="H167" s="5">
        <v>15</v>
      </c>
      <c r="I167" s="5">
        <v>3851</v>
      </c>
      <c r="J167" s="5">
        <v>1</v>
      </c>
      <c r="K167" s="2">
        <v>40</v>
      </c>
      <c r="L167" s="2" t="s">
        <v>133</v>
      </c>
      <c r="M167" s="4">
        <v>4.0999999999999996</v>
      </c>
      <c r="N167" s="5">
        <v>63</v>
      </c>
      <c r="O167" s="3">
        <v>45850</v>
      </c>
      <c r="P167" s="2" t="s">
        <v>2390</v>
      </c>
      <c r="Q167" s="2" t="s">
        <v>29</v>
      </c>
      <c r="R167" s="2" t="s">
        <v>110</v>
      </c>
      <c r="S167" s="2" t="s">
        <v>111</v>
      </c>
      <c r="T167" s="2"/>
    </row>
    <row r="168" spans="1:20" ht="12.5" x14ac:dyDescent="0.25">
      <c r="A168" s="2" t="s">
        <v>728</v>
      </c>
      <c r="B168" s="2" t="s">
        <v>729</v>
      </c>
      <c r="C168" s="2" t="s">
        <v>730</v>
      </c>
      <c r="D168" s="2" t="s">
        <v>731</v>
      </c>
      <c r="E168" s="2" t="s">
        <v>122</v>
      </c>
      <c r="F168" s="2" t="s">
        <v>123</v>
      </c>
      <c r="G168" s="5">
        <v>2949</v>
      </c>
      <c r="H168" s="5">
        <v>20</v>
      </c>
      <c r="I168" s="5">
        <v>2360</v>
      </c>
      <c r="J168" s="5">
        <v>3</v>
      </c>
      <c r="K168" s="2" t="s">
        <v>72</v>
      </c>
      <c r="L168" s="2" t="s">
        <v>73</v>
      </c>
      <c r="M168" s="4">
        <v>4.9000000000000004</v>
      </c>
      <c r="N168" s="5">
        <v>59</v>
      </c>
      <c r="O168" s="3">
        <v>45858</v>
      </c>
      <c r="P168" s="2" t="s">
        <v>2391</v>
      </c>
      <c r="Q168" s="2" t="s">
        <v>65</v>
      </c>
      <c r="R168" s="2" t="s">
        <v>66</v>
      </c>
      <c r="S168" s="2" t="s">
        <v>67</v>
      </c>
      <c r="T168" s="2"/>
    </row>
    <row r="169" spans="1:20" ht="12.5" x14ac:dyDescent="0.25">
      <c r="A169" s="2" t="s">
        <v>732</v>
      </c>
      <c r="B169" s="2" t="s">
        <v>644</v>
      </c>
      <c r="C169" s="2" t="s">
        <v>733</v>
      </c>
      <c r="D169" s="2" t="s">
        <v>734</v>
      </c>
      <c r="E169" s="2" t="s">
        <v>208</v>
      </c>
      <c r="F169" s="2" t="s">
        <v>117</v>
      </c>
      <c r="G169" s="5">
        <v>1056</v>
      </c>
      <c r="H169" s="5">
        <v>10</v>
      </c>
      <c r="I169" s="5">
        <v>951</v>
      </c>
      <c r="J169" s="5">
        <v>2</v>
      </c>
      <c r="K169" s="2">
        <v>44</v>
      </c>
      <c r="L169" s="2" t="s">
        <v>73</v>
      </c>
      <c r="M169" s="4">
        <v>4.4000000000000004</v>
      </c>
      <c r="N169" s="5">
        <v>64</v>
      </c>
      <c r="O169" s="3">
        <v>45787</v>
      </c>
      <c r="P169" s="2" t="s">
        <v>2392</v>
      </c>
      <c r="Q169" s="2" t="s">
        <v>78</v>
      </c>
      <c r="R169" s="2" t="s">
        <v>83</v>
      </c>
      <c r="S169" s="2" t="s">
        <v>83</v>
      </c>
      <c r="T169" s="2"/>
    </row>
    <row r="170" spans="1:20" ht="12.5" x14ac:dyDescent="0.25">
      <c r="A170" s="2" t="s">
        <v>735</v>
      </c>
      <c r="B170" s="2" t="s">
        <v>736</v>
      </c>
      <c r="C170" s="2" t="s">
        <v>737</v>
      </c>
      <c r="D170" s="2" t="s">
        <v>738</v>
      </c>
      <c r="E170" s="2" t="s">
        <v>116</v>
      </c>
      <c r="F170" s="2" t="s">
        <v>117</v>
      </c>
      <c r="G170" s="5">
        <v>2307</v>
      </c>
      <c r="H170" s="5">
        <v>25</v>
      </c>
      <c r="I170" s="5">
        <v>1731</v>
      </c>
      <c r="J170" s="5">
        <v>3</v>
      </c>
      <c r="K170" s="2">
        <v>42</v>
      </c>
      <c r="L170" s="2" t="s">
        <v>168</v>
      </c>
      <c r="M170" s="4">
        <v>4.9000000000000004</v>
      </c>
      <c r="N170" s="5">
        <v>19</v>
      </c>
      <c r="O170" s="3">
        <v>45841</v>
      </c>
      <c r="P170" s="2" t="s">
        <v>2390</v>
      </c>
      <c r="Q170" s="2" t="s">
        <v>78</v>
      </c>
      <c r="R170" s="2" t="s">
        <v>41</v>
      </c>
      <c r="S170" s="2" t="s">
        <v>42</v>
      </c>
      <c r="T170" s="2"/>
    </row>
    <row r="171" spans="1:20" ht="12.5" x14ac:dyDescent="0.25">
      <c r="A171" s="2" t="s">
        <v>739</v>
      </c>
      <c r="B171" s="2" t="s">
        <v>713</v>
      </c>
      <c r="C171" s="2" t="s">
        <v>740</v>
      </c>
      <c r="D171" s="2" t="s">
        <v>741</v>
      </c>
      <c r="E171" s="2" t="s">
        <v>132</v>
      </c>
      <c r="F171" s="2" t="s">
        <v>38</v>
      </c>
      <c r="G171" s="5">
        <v>3022</v>
      </c>
      <c r="H171" s="5">
        <v>20</v>
      </c>
      <c r="I171" s="5">
        <v>2418</v>
      </c>
      <c r="J171" s="5">
        <v>2</v>
      </c>
      <c r="K171" s="2" t="s">
        <v>56</v>
      </c>
      <c r="L171" s="2" t="s">
        <v>64</v>
      </c>
      <c r="M171" s="4">
        <v>4.3</v>
      </c>
      <c r="N171" s="5">
        <v>220</v>
      </c>
      <c r="O171" s="3">
        <v>45841</v>
      </c>
      <c r="P171" s="2" t="s">
        <v>2392</v>
      </c>
      <c r="Q171" s="2" t="s">
        <v>78</v>
      </c>
      <c r="R171" s="2" t="s">
        <v>66</v>
      </c>
      <c r="S171" s="2" t="s">
        <v>67</v>
      </c>
      <c r="T171" s="2"/>
    </row>
    <row r="172" spans="1:20" ht="12.5" x14ac:dyDescent="0.25">
      <c r="A172" s="2" t="s">
        <v>742</v>
      </c>
      <c r="B172" s="2" t="s">
        <v>174</v>
      </c>
      <c r="C172" s="2" t="s">
        <v>743</v>
      </c>
      <c r="D172" s="2" t="s">
        <v>744</v>
      </c>
      <c r="E172" s="2" t="s">
        <v>116</v>
      </c>
      <c r="F172" s="2" t="s">
        <v>117</v>
      </c>
      <c r="G172" s="5">
        <v>4083</v>
      </c>
      <c r="H172" s="5">
        <v>30</v>
      </c>
      <c r="I172" s="5">
        <v>2859</v>
      </c>
      <c r="J172" s="5">
        <v>2</v>
      </c>
      <c r="K172" s="2" t="s">
        <v>226</v>
      </c>
      <c r="L172" s="2" t="s">
        <v>133</v>
      </c>
      <c r="M172" s="4">
        <v>3.9</v>
      </c>
      <c r="N172" s="5">
        <v>166</v>
      </c>
      <c r="O172" s="3">
        <v>45827</v>
      </c>
      <c r="P172" s="2" t="s">
        <v>2391</v>
      </c>
      <c r="Q172" s="2" t="s">
        <v>78</v>
      </c>
      <c r="R172" s="2" t="s">
        <v>185</v>
      </c>
      <c r="S172" s="2" t="s">
        <v>186</v>
      </c>
      <c r="T172" s="2" t="s">
        <v>134</v>
      </c>
    </row>
    <row r="173" spans="1:20" ht="12.5" x14ac:dyDescent="0.25">
      <c r="A173" s="2" t="s">
        <v>745</v>
      </c>
      <c r="B173" s="2" t="s">
        <v>746</v>
      </c>
      <c r="C173" s="2" t="s">
        <v>747</v>
      </c>
      <c r="D173" s="2" t="s">
        <v>748</v>
      </c>
      <c r="E173" s="2" t="s">
        <v>24</v>
      </c>
      <c r="F173" s="2" t="s">
        <v>25</v>
      </c>
      <c r="G173" s="5">
        <v>620</v>
      </c>
      <c r="H173" s="5">
        <v>15</v>
      </c>
      <c r="I173" s="5">
        <v>527</v>
      </c>
      <c r="J173" s="5">
        <v>1</v>
      </c>
      <c r="K173" s="2" t="s">
        <v>261</v>
      </c>
      <c r="L173" s="2" t="s">
        <v>168</v>
      </c>
      <c r="M173" s="4">
        <v>4.5999999999999996</v>
      </c>
      <c r="N173" s="5">
        <v>38</v>
      </c>
      <c r="O173" s="3">
        <v>45780</v>
      </c>
      <c r="P173" s="2" t="s">
        <v>2391</v>
      </c>
      <c r="Q173" s="2" t="s">
        <v>65</v>
      </c>
      <c r="R173" s="2" t="s">
        <v>185</v>
      </c>
      <c r="S173" s="2" t="s">
        <v>186</v>
      </c>
      <c r="T173" s="2" t="s">
        <v>50</v>
      </c>
    </row>
    <row r="174" spans="1:20" ht="12.5" x14ac:dyDescent="0.25">
      <c r="A174" s="2" t="s">
        <v>749</v>
      </c>
      <c r="B174" s="2" t="s">
        <v>369</v>
      </c>
      <c r="C174" s="2" t="s">
        <v>750</v>
      </c>
      <c r="D174" s="2" t="s">
        <v>751</v>
      </c>
      <c r="E174" s="2" t="s">
        <v>37</v>
      </c>
      <c r="F174" s="2" t="s">
        <v>38</v>
      </c>
      <c r="G174" s="5">
        <v>2041</v>
      </c>
      <c r="H174" s="5">
        <v>30</v>
      </c>
      <c r="I174" s="5">
        <v>1429</v>
      </c>
      <c r="J174" s="5">
        <v>2</v>
      </c>
      <c r="K174" s="2" t="s">
        <v>56</v>
      </c>
      <c r="L174" s="2" t="s">
        <v>64</v>
      </c>
      <c r="M174" s="4">
        <v>4.7</v>
      </c>
      <c r="N174" s="5">
        <v>230</v>
      </c>
      <c r="O174" s="3">
        <v>45817</v>
      </c>
      <c r="P174" s="2" t="s">
        <v>2390</v>
      </c>
      <c r="Q174" s="2" t="s">
        <v>65</v>
      </c>
      <c r="R174" s="2" t="s">
        <v>30</v>
      </c>
      <c r="S174" s="2" t="s">
        <v>31</v>
      </c>
      <c r="T174" s="2"/>
    </row>
    <row r="175" spans="1:20" ht="12.5" x14ac:dyDescent="0.25">
      <c r="A175" s="2" t="s">
        <v>752</v>
      </c>
      <c r="B175" s="2" t="s">
        <v>753</v>
      </c>
      <c r="C175" s="2" t="s">
        <v>754</v>
      </c>
      <c r="D175" s="2" t="s">
        <v>755</v>
      </c>
      <c r="E175" s="2" t="s">
        <v>55</v>
      </c>
      <c r="F175" s="2" t="s">
        <v>38</v>
      </c>
      <c r="G175" s="5">
        <v>3272</v>
      </c>
      <c r="H175" s="5">
        <v>25</v>
      </c>
      <c r="I175" s="5">
        <v>2454</v>
      </c>
      <c r="J175" s="5">
        <v>2</v>
      </c>
      <c r="K175" s="2" t="s">
        <v>261</v>
      </c>
      <c r="L175" s="2" t="s">
        <v>27</v>
      </c>
      <c r="M175" s="4">
        <v>4.9000000000000004</v>
      </c>
      <c r="N175" s="5">
        <v>255</v>
      </c>
      <c r="O175" s="3">
        <v>45769</v>
      </c>
      <c r="P175" s="2" t="s">
        <v>2392</v>
      </c>
      <c r="Q175" s="2" t="s">
        <v>65</v>
      </c>
      <c r="R175" s="2" t="s">
        <v>66</v>
      </c>
      <c r="S175" s="2" t="s">
        <v>67</v>
      </c>
      <c r="T175" s="2"/>
    </row>
    <row r="176" spans="1:20" ht="12.5" x14ac:dyDescent="0.25">
      <c r="A176" s="2" t="s">
        <v>756</v>
      </c>
      <c r="B176" s="2" t="s">
        <v>757</v>
      </c>
      <c r="C176" s="2" t="s">
        <v>758</v>
      </c>
      <c r="D176" s="2" t="s">
        <v>759</v>
      </c>
      <c r="E176" s="2" t="s">
        <v>48</v>
      </c>
      <c r="F176" s="2" t="s">
        <v>25</v>
      </c>
      <c r="G176" s="5">
        <v>1939</v>
      </c>
      <c r="H176" s="5">
        <v>35</v>
      </c>
      <c r="I176" s="5">
        <v>1261</v>
      </c>
      <c r="J176" s="5">
        <v>2</v>
      </c>
      <c r="K176" s="2" t="s">
        <v>32</v>
      </c>
      <c r="L176" s="2" t="s">
        <v>73</v>
      </c>
      <c r="M176" s="4">
        <v>3.8</v>
      </c>
      <c r="N176" s="5">
        <v>111</v>
      </c>
      <c r="O176" s="3">
        <v>45802</v>
      </c>
      <c r="P176" s="2" t="s">
        <v>2391</v>
      </c>
      <c r="Q176" s="2" t="s">
        <v>29</v>
      </c>
      <c r="R176" s="2" t="s">
        <v>66</v>
      </c>
      <c r="S176" s="2" t="s">
        <v>67</v>
      </c>
      <c r="T176" s="2" t="s">
        <v>134</v>
      </c>
    </row>
    <row r="177" spans="1:20" ht="12.5" x14ac:dyDescent="0.25">
      <c r="A177" s="2" t="s">
        <v>760</v>
      </c>
      <c r="B177" s="2" t="s">
        <v>761</v>
      </c>
      <c r="C177" s="2" t="s">
        <v>762</v>
      </c>
      <c r="D177" s="2" t="s">
        <v>763</v>
      </c>
      <c r="E177" s="2" t="s">
        <v>247</v>
      </c>
      <c r="F177" s="2" t="s">
        <v>248</v>
      </c>
      <c r="G177" s="5">
        <v>4054</v>
      </c>
      <c r="H177" s="5">
        <v>15</v>
      </c>
      <c r="I177" s="5">
        <v>3446</v>
      </c>
      <c r="J177" s="5">
        <v>3</v>
      </c>
      <c r="K177" s="2">
        <v>42</v>
      </c>
      <c r="L177" s="2" t="s">
        <v>27</v>
      </c>
      <c r="M177" s="4">
        <v>3.7</v>
      </c>
      <c r="N177" s="5">
        <v>196</v>
      </c>
      <c r="O177" s="3">
        <v>45814</v>
      </c>
      <c r="P177" s="2" t="s">
        <v>2390</v>
      </c>
      <c r="Q177" s="2" t="s">
        <v>29</v>
      </c>
      <c r="R177" s="2" t="s">
        <v>104</v>
      </c>
      <c r="S177" s="2" t="s">
        <v>105</v>
      </c>
      <c r="T177" s="2"/>
    </row>
    <row r="178" spans="1:20" ht="12.5" x14ac:dyDescent="0.25">
      <c r="A178" s="2" t="s">
        <v>764</v>
      </c>
      <c r="B178" s="2" t="s">
        <v>765</v>
      </c>
      <c r="C178" s="2" t="s">
        <v>766</v>
      </c>
      <c r="D178" s="2" t="s">
        <v>767</v>
      </c>
      <c r="E178" s="2" t="s">
        <v>48</v>
      </c>
      <c r="F178" s="2" t="s">
        <v>25</v>
      </c>
      <c r="G178" s="5">
        <v>4210</v>
      </c>
      <c r="H178" s="5">
        <v>35</v>
      </c>
      <c r="I178" s="5">
        <v>2737</v>
      </c>
      <c r="J178" s="5">
        <v>3</v>
      </c>
      <c r="K178" s="2" t="s">
        <v>32</v>
      </c>
      <c r="L178" s="2" t="s">
        <v>88</v>
      </c>
      <c r="M178" s="4">
        <v>4.5</v>
      </c>
      <c r="N178" s="5">
        <v>23</v>
      </c>
      <c r="O178" s="3">
        <v>45833</v>
      </c>
      <c r="P178" s="2" t="s">
        <v>2392</v>
      </c>
      <c r="Q178" s="2" t="s">
        <v>29</v>
      </c>
      <c r="R178" s="2" t="s">
        <v>30</v>
      </c>
      <c r="S178" s="2" t="s">
        <v>31</v>
      </c>
      <c r="T178" s="2"/>
    </row>
    <row r="179" spans="1:20" ht="12.5" x14ac:dyDescent="0.25">
      <c r="A179" s="2" t="s">
        <v>768</v>
      </c>
      <c r="B179" s="2" t="s">
        <v>769</v>
      </c>
      <c r="C179" s="2" t="s">
        <v>770</v>
      </c>
      <c r="D179" s="2" t="s">
        <v>771</v>
      </c>
      <c r="E179" s="2" t="s">
        <v>37</v>
      </c>
      <c r="F179" s="2" t="s">
        <v>38</v>
      </c>
      <c r="G179" s="5">
        <v>3744</v>
      </c>
      <c r="H179" s="5">
        <v>40</v>
      </c>
      <c r="I179" s="5">
        <v>2247</v>
      </c>
      <c r="J179" s="5">
        <v>2</v>
      </c>
      <c r="K179" s="2" t="s">
        <v>163</v>
      </c>
      <c r="L179" s="2" t="s">
        <v>133</v>
      </c>
      <c r="M179" s="4">
        <v>4.5</v>
      </c>
      <c r="N179" s="5">
        <v>96</v>
      </c>
      <c r="O179" s="3">
        <v>45852</v>
      </c>
      <c r="P179" s="2" t="s">
        <v>2392</v>
      </c>
      <c r="Q179" s="2" t="s">
        <v>78</v>
      </c>
      <c r="R179" s="2" t="s">
        <v>30</v>
      </c>
      <c r="S179" s="2" t="s">
        <v>31</v>
      </c>
      <c r="T179" s="2"/>
    </row>
    <row r="180" spans="1:20" ht="12.5" x14ac:dyDescent="0.25">
      <c r="A180" s="2" t="s">
        <v>772</v>
      </c>
      <c r="B180" s="2" t="s">
        <v>773</v>
      </c>
      <c r="C180" s="2" t="s">
        <v>774</v>
      </c>
      <c r="D180" s="2" t="s">
        <v>775</v>
      </c>
      <c r="E180" s="2" t="s">
        <v>132</v>
      </c>
      <c r="F180" s="2" t="s">
        <v>38</v>
      </c>
      <c r="G180" s="5">
        <v>3840</v>
      </c>
      <c r="H180" s="5">
        <v>20</v>
      </c>
      <c r="I180" s="5">
        <v>3072</v>
      </c>
      <c r="J180" s="5">
        <v>2</v>
      </c>
      <c r="K180" s="2" t="s">
        <v>26</v>
      </c>
      <c r="L180" s="2" t="s">
        <v>133</v>
      </c>
      <c r="M180" s="4">
        <v>3.8</v>
      </c>
      <c r="N180" s="5">
        <v>25</v>
      </c>
      <c r="O180" s="3">
        <v>45839</v>
      </c>
      <c r="P180" s="2" t="s">
        <v>2391</v>
      </c>
      <c r="Q180" s="2" t="s">
        <v>29</v>
      </c>
      <c r="R180" s="2" t="s">
        <v>149</v>
      </c>
      <c r="S180" s="2" t="s">
        <v>150</v>
      </c>
      <c r="T180" s="2" t="s">
        <v>43</v>
      </c>
    </row>
    <row r="181" spans="1:20" ht="12.5" x14ac:dyDescent="0.25">
      <c r="A181" s="2" t="s">
        <v>776</v>
      </c>
      <c r="B181" s="2" t="s">
        <v>250</v>
      </c>
      <c r="C181" s="2" t="s">
        <v>777</v>
      </c>
      <c r="D181" s="2" t="s">
        <v>778</v>
      </c>
      <c r="E181" s="2" t="s">
        <v>37</v>
      </c>
      <c r="F181" s="2" t="s">
        <v>38</v>
      </c>
      <c r="G181" s="5">
        <v>3982</v>
      </c>
      <c r="H181" s="5">
        <v>40</v>
      </c>
      <c r="I181" s="5">
        <v>2390</v>
      </c>
      <c r="J181" s="5">
        <v>1</v>
      </c>
      <c r="K181" s="2" t="s">
        <v>32</v>
      </c>
      <c r="L181" s="2" t="s">
        <v>73</v>
      </c>
      <c r="M181" s="4">
        <v>4.5</v>
      </c>
      <c r="N181" s="5">
        <v>56</v>
      </c>
      <c r="O181" s="3">
        <v>45856</v>
      </c>
      <c r="P181" s="2" t="s">
        <v>2392</v>
      </c>
      <c r="Q181" s="2" t="s">
        <v>29</v>
      </c>
      <c r="R181" s="2" t="s">
        <v>110</v>
      </c>
      <c r="S181" s="2" t="s">
        <v>111</v>
      </c>
      <c r="T181" s="2"/>
    </row>
    <row r="182" spans="1:20" ht="12.5" x14ac:dyDescent="0.25">
      <c r="A182" s="2" t="s">
        <v>779</v>
      </c>
      <c r="B182" s="2" t="s">
        <v>780</v>
      </c>
      <c r="C182" s="2" t="s">
        <v>781</v>
      </c>
      <c r="D182" s="2" t="s">
        <v>782</v>
      </c>
      <c r="E182" s="2" t="s">
        <v>116</v>
      </c>
      <c r="F182" s="2" t="s">
        <v>117</v>
      </c>
      <c r="G182" s="5">
        <v>3854</v>
      </c>
      <c r="H182" s="5">
        <v>35</v>
      </c>
      <c r="I182" s="5">
        <v>2506</v>
      </c>
      <c r="J182" s="5">
        <v>2</v>
      </c>
      <c r="K182" s="2" t="s">
        <v>26</v>
      </c>
      <c r="L182" s="2" t="s">
        <v>88</v>
      </c>
      <c r="M182" s="4">
        <v>3.9</v>
      </c>
      <c r="N182" s="5">
        <v>132</v>
      </c>
      <c r="O182" s="3">
        <v>45784</v>
      </c>
      <c r="P182" s="2" t="s">
        <v>2391</v>
      </c>
      <c r="Q182" s="2" t="s">
        <v>29</v>
      </c>
      <c r="R182" s="2" t="s">
        <v>110</v>
      </c>
      <c r="S182" s="2" t="s">
        <v>111</v>
      </c>
      <c r="T182" s="2" t="s">
        <v>203</v>
      </c>
    </row>
    <row r="183" spans="1:20" ht="12.5" x14ac:dyDescent="0.25">
      <c r="A183" s="2" t="s">
        <v>783</v>
      </c>
      <c r="B183" s="2" t="s">
        <v>725</v>
      </c>
      <c r="C183" s="2" t="s">
        <v>784</v>
      </c>
      <c r="D183" s="2" t="s">
        <v>785</v>
      </c>
      <c r="E183" s="2" t="s">
        <v>247</v>
      </c>
      <c r="F183" s="2" t="s">
        <v>248</v>
      </c>
      <c r="G183" s="5">
        <v>2337</v>
      </c>
      <c r="H183" s="5">
        <v>10</v>
      </c>
      <c r="I183" s="5">
        <v>2104</v>
      </c>
      <c r="J183" s="5">
        <v>2</v>
      </c>
      <c r="K183" s="2">
        <v>42</v>
      </c>
      <c r="L183" s="2" t="s">
        <v>103</v>
      </c>
      <c r="M183" s="4">
        <v>4</v>
      </c>
      <c r="N183" s="5">
        <v>90</v>
      </c>
      <c r="O183" s="3">
        <v>45793</v>
      </c>
      <c r="P183" s="2" t="s">
        <v>2392</v>
      </c>
      <c r="Q183" s="2" t="s">
        <v>65</v>
      </c>
      <c r="R183" s="2" t="s">
        <v>149</v>
      </c>
      <c r="S183" s="2" t="s">
        <v>150</v>
      </c>
      <c r="T183" s="2"/>
    </row>
    <row r="184" spans="1:20" ht="12.5" x14ac:dyDescent="0.25">
      <c r="A184" s="2" t="s">
        <v>786</v>
      </c>
      <c r="B184" s="2" t="s">
        <v>787</v>
      </c>
      <c r="C184" s="2" t="s">
        <v>788</v>
      </c>
      <c r="D184" s="2" t="s">
        <v>789</v>
      </c>
      <c r="E184" s="2" t="s">
        <v>247</v>
      </c>
      <c r="F184" s="2" t="s">
        <v>248</v>
      </c>
      <c r="G184" s="5">
        <v>3261</v>
      </c>
      <c r="H184" s="5">
        <v>35</v>
      </c>
      <c r="I184" s="5">
        <v>2120</v>
      </c>
      <c r="J184" s="5">
        <v>1</v>
      </c>
      <c r="K184" s="2" t="s">
        <v>72</v>
      </c>
      <c r="L184" s="2" t="s">
        <v>27</v>
      </c>
      <c r="M184" s="4">
        <v>4.8</v>
      </c>
      <c r="N184" s="5">
        <v>300</v>
      </c>
      <c r="O184" s="3">
        <v>45773</v>
      </c>
      <c r="P184" s="2" t="s">
        <v>2392</v>
      </c>
      <c r="Q184" s="2" t="s">
        <v>65</v>
      </c>
      <c r="R184" s="2" t="s">
        <v>58</v>
      </c>
      <c r="S184" s="2" t="s">
        <v>59</v>
      </c>
      <c r="T184" s="2"/>
    </row>
    <row r="185" spans="1:20" ht="12.5" x14ac:dyDescent="0.25">
      <c r="A185" s="2" t="s">
        <v>790</v>
      </c>
      <c r="B185" s="2" t="s">
        <v>791</v>
      </c>
      <c r="C185" s="2" t="s">
        <v>792</v>
      </c>
      <c r="D185" s="2" t="s">
        <v>793</v>
      </c>
      <c r="E185" s="2" t="s">
        <v>208</v>
      </c>
      <c r="F185" s="2" t="s">
        <v>117</v>
      </c>
      <c r="G185" s="5">
        <v>3907</v>
      </c>
      <c r="H185" s="5">
        <v>40</v>
      </c>
      <c r="I185" s="5">
        <v>2345</v>
      </c>
      <c r="J185" s="5">
        <v>2</v>
      </c>
      <c r="K185" s="2" t="s">
        <v>56</v>
      </c>
      <c r="L185" s="2" t="s">
        <v>27</v>
      </c>
      <c r="M185" s="4">
        <v>3.6</v>
      </c>
      <c r="N185" s="5">
        <v>210</v>
      </c>
      <c r="O185" s="3">
        <v>45858</v>
      </c>
      <c r="P185" s="2" t="s">
        <v>2390</v>
      </c>
      <c r="Q185" s="2" t="s">
        <v>29</v>
      </c>
      <c r="R185" s="2" t="s">
        <v>83</v>
      </c>
      <c r="S185" s="2" t="s">
        <v>83</v>
      </c>
      <c r="T185" s="2"/>
    </row>
    <row r="186" spans="1:20" ht="12.5" x14ac:dyDescent="0.25">
      <c r="A186" s="2" t="s">
        <v>794</v>
      </c>
      <c r="B186" s="2" t="s">
        <v>52</v>
      </c>
      <c r="C186" s="2" t="s">
        <v>795</v>
      </c>
      <c r="D186" s="2" t="s">
        <v>796</v>
      </c>
      <c r="E186" s="2" t="s">
        <v>247</v>
      </c>
      <c r="F186" s="2" t="s">
        <v>248</v>
      </c>
      <c r="G186" s="5">
        <v>3880</v>
      </c>
      <c r="H186" s="5">
        <v>25</v>
      </c>
      <c r="I186" s="5">
        <v>2910</v>
      </c>
      <c r="J186" s="5">
        <v>3</v>
      </c>
      <c r="K186" s="2" t="s">
        <v>26</v>
      </c>
      <c r="L186" s="2" t="s">
        <v>133</v>
      </c>
      <c r="M186" s="4">
        <v>3.7</v>
      </c>
      <c r="N186" s="5">
        <v>222</v>
      </c>
      <c r="O186" s="3">
        <v>45802</v>
      </c>
      <c r="P186" s="2" t="s">
        <v>2392</v>
      </c>
      <c r="Q186" s="2" t="s">
        <v>78</v>
      </c>
      <c r="R186" s="2" t="s">
        <v>185</v>
      </c>
      <c r="S186" s="2" t="s">
        <v>186</v>
      </c>
      <c r="T186" s="2"/>
    </row>
    <row r="187" spans="1:20" ht="12.5" x14ac:dyDescent="0.25">
      <c r="A187" s="2" t="s">
        <v>797</v>
      </c>
      <c r="B187" s="2" t="s">
        <v>798</v>
      </c>
      <c r="C187" s="2" t="s">
        <v>799</v>
      </c>
      <c r="D187" s="2" t="s">
        <v>800</v>
      </c>
      <c r="E187" s="2" t="s">
        <v>55</v>
      </c>
      <c r="F187" s="2" t="s">
        <v>38</v>
      </c>
      <c r="G187" s="5">
        <v>3994</v>
      </c>
      <c r="H187" s="5">
        <v>30</v>
      </c>
      <c r="I187" s="5">
        <v>2796</v>
      </c>
      <c r="J187" s="5">
        <v>2</v>
      </c>
      <c r="K187" s="2" t="s">
        <v>56</v>
      </c>
      <c r="L187" s="2" t="s">
        <v>209</v>
      </c>
      <c r="M187" s="4">
        <v>3.5</v>
      </c>
      <c r="N187" s="5">
        <v>53</v>
      </c>
      <c r="O187" s="3">
        <v>45841</v>
      </c>
      <c r="P187" s="2" t="s">
        <v>2390</v>
      </c>
      <c r="Q187" s="2" t="s">
        <v>78</v>
      </c>
      <c r="R187" s="2" t="s">
        <v>66</v>
      </c>
      <c r="S187" s="2" t="s">
        <v>67</v>
      </c>
      <c r="T187" s="2"/>
    </row>
    <row r="188" spans="1:20" ht="12.5" x14ac:dyDescent="0.25">
      <c r="A188" s="2" t="s">
        <v>801</v>
      </c>
      <c r="B188" s="2" t="s">
        <v>802</v>
      </c>
      <c r="C188" s="2" t="s">
        <v>803</v>
      </c>
      <c r="D188" s="2" t="s">
        <v>804</v>
      </c>
      <c r="E188" s="2" t="s">
        <v>24</v>
      </c>
      <c r="F188" s="2" t="s">
        <v>25</v>
      </c>
      <c r="G188" s="5">
        <v>4562</v>
      </c>
      <c r="H188" s="5">
        <v>30</v>
      </c>
      <c r="I188" s="5">
        <v>3194</v>
      </c>
      <c r="J188" s="5">
        <v>2</v>
      </c>
      <c r="K188" s="2" t="s">
        <v>26</v>
      </c>
      <c r="L188" s="2" t="s">
        <v>103</v>
      </c>
      <c r="M188" s="4">
        <v>4.9000000000000004</v>
      </c>
      <c r="N188" s="5">
        <v>42</v>
      </c>
      <c r="O188" s="3">
        <v>45826</v>
      </c>
      <c r="P188" s="2" t="s">
        <v>2391</v>
      </c>
      <c r="Q188" s="2" t="s">
        <v>78</v>
      </c>
      <c r="R188" s="2" t="s">
        <v>185</v>
      </c>
      <c r="S188" s="2" t="s">
        <v>186</v>
      </c>
      <c r="T188" s="2" t="s">
        <v>203</v>
      </c>
    </row>
    <row r="189" spans="1:20" ht="12.5" x14ac:dyDescent="0.25">
      <c r="A189" s="2" t="s">
        <v>805</v>
      </c>
      <c r="B189" s="2" t="s">
        <v>240</v>
      </c>
      <c r="C189" s="2" t="s">
        <v>806</v>
      </c>
      <c r="D189" s="2" t="s">
        <v>807</v>
      </c>
      <c r="E189" s="2" t="s">
        <v>116</v>
      </c>
      <c r="F189" s="2" t="s">
        <v>117</v>
      </c>
      <c r="G189" s="5">
        <v>1184</v>
      </c>
      <c r="H189" s="5">
        <v>15</v>
      </c>
      <c r="I189" s="5">
        <v>1007</v>
      </c>
      <c r="J189" s="5">
        <v>1</v>
      </c>
      <c r="K189" s="2" t="s">
        <v>32</v>
      </c>
      <c r="L189" s="2" t="s">
        <v>103</v>
      </c>
      <c r="M189" s="4">
        <v>4.7</v>
      </c>
      <c r="N189" s="5">
        <v>286</v>
      </c>
      <c r="O189" s="3">
        <v>45779</v>
      </c>
      <c r="P189" s="2" t="s">
        <v>2392</v>
      </c>
      <c r="Q189" s="2" t="s">
        <v>65</v>
      </c>
      <c r="R189" s="2" t="s">
        <v>30</v>
      </c>
      <c r="S189" s="2" t="s">
        <v>31</v>
      </c>
      <c r="T189" s="2"/>
    </row>
    <row r="190" spans="1:20" ht="12.5" x14ac:dyDescent="0.25">
      <c r="A190" s="2" t="s">
        <v>808</v>
      </c>
      <c r="B190" s="2" t="s">
        <v>809</v>
      </c>
      <c r="C190" s="2" t="s">
        <v>810</v>
      </c>
      <c r="D190" s="2" t="s">
        <v>811</v>
      </c>
      <c r="E190" s="2" t="s">
        <v>37</v>
      </c>
      <c r="F190" s="2" t="s">
        <v>38</v>
      </c>
      <c r="G190" s="5">
        <v>4952</v>
      </c>
      <c r="H190" s="5">
        <v>15</v>
      </c>
      <c r="I190" s="5">
        <v>4210</v>
      </c>
      <c r="J190" s="5">
        <v>2</v>
      </c>
      <c r="K190" s="2">
        <v>44</v>
      </c>
      <c r="L190" s="2" t="s">
        <v>133</v>
      </c>
      <c r="M190" s="4">
        <v>4.5999999999999996</v>
      </c>
      <c r="N190" s="5">
        <v>142</v>
      </c>
      <c r="O190" s="3">
        <v>45787</v>
      </c>
      <c r="P190" s="2" t="s">
        <v>2392</v>
      </c>
      <c r="Q190" s="2" t="s">
        <v>65</v>
      </c>
      <c r="R190" s="2" t="s">
        <v>104</v>
      </c>
      <c r="S190" s="2" t="s">
        <v>105</v>
      </c>
      <c r="T190" s="2"/>
    </row>
    <row r="191" spans="1:20" ht="12.5" x14ac:dyDescent="0.25">
      <c r="A191" s="2" t="s">
        <v>812</v>
      </c>
      <c r="B191" s="2" t="s">
        <v>436</v>
      </c>
      <c r="C191" s="2" t="s">
        <v>813</v>
      </c>
      <c r="D191" s="2" t="s">
        <v>814</v>
      </c>
      <c r="E191" s="2" t="s">
        <v>247</v>
      </c>
      <c r="F191" s="2" t="s">
        <v>248</v>
      </c>
      <c r="G191" s="5">
        <v>2360</v>
      </c>
      <c r="H191" s="5">
        <v>40</v>
      </c>
      <c r="I191" s="5">
        <v>1416</v>
      </c>
      <c r="J191" s="5">
        <v>3</v>
      </c>
      <c r="K191" s="2" t="s">
        <v>163</v>
      </c>
      <c r="L191" s="2" t="s">
        <v>73</v>
      </c>
      <c r="M191" s="4">
        <v>4.3</v>
      </c>
      <c r="N191" s="5">
        <v>67</v>
      </c>
      <c r="O191" s="3">
        <v>45813</v>
      </c>
      <c r="P191" s="2" t="s">
        <v>2390</v>
      </c>
      <c r="Q191" s="2" t="s">
        <v>78</v>
      </c>
      <c r="R191" s="2" t="s">
        <v>30</v>
      </c>
      <c r="S191" s="2" t="s">
        <v>31</v>
      </c>
      <c r="T191" s="2"/>
    </row>
    <row r="192" spans="1:20" ht="12.5" x14ac:dyDescent="0.25">
      <c r="A192" s="2" t="s">
        <v>815</v>
      </c>
      <c r="B192" s="2" t="s">
        <v>816</v>
      </c>
      <c r="C192" s="2" t="s">
        <v>817</v>
      </c>
      <c r="D192" s="2" t="s">
        <v>818</v>
      </c>
      <c r="E192" s="2" t="s">
        <v>247</v>
      </c>
      <c r="F192" s="2" t="s">
        <v>248</v>
      </c>
      <c r="G192" s="5">
        <v>2328</v>
      </c>
      <c r="H192" s="5">
        <v>40</v>
      </c>
      <c r="I192" s="5">
        <v>1397</v>
      </c>
      <c r="J192" s="5">
        <v>3</v>
      </c>
      <c r="K192" s="2" t="s">
        <v>56</v>
      </c>
      <c r="L192" s="2" t="s">
        <v>168</v>
      </c>
      <c r="M192" s="4">
        <v>4</v>
      </c>
      <c r="N192" s="5">
        <v>19</v>
      </c>
      <c r="O192" s="3">
        <v>45823</v>
      </c>
      <c r="P192" s="2" t="s">
        <v>2392</v>
      </c>
      <c r="Q192" s="2" t="s">
        <v>65</v>
      </c>
      <c r="R192" s="2" t="s">
        <v>58</v>
      </c>
      <c r="S192" s="2" t="s">
        <v>59</v>
      </c>
      <c r="T192" s="2"/>
    </row>
    <row r="193" spans="1:20" ht="12.5" x14ac:dyDescent="0.25">
      <c r="A193" s="2" t="s">
        <v>819</v>
      </c>
      <c r="B193" s="2" t="s">
        <v>820</v>
      </c>
      <c r="C193" s="2" t="s">
        <v>821</v>
      </c>
      <c r="D193" s="2" t="s">
        <v>822</v>
      </c>
      <c r="E193" s="2" t="s">
        <v>132</v>
      </c>
      <c r="F193" s="2" t="s">
        <v>38</v>
      </c>
      <c r="G193" s="5">
        <v>1860</v>
      </c>
      <c r="H193" s="5">
        <v>40</v>
      </c>
      <c r="I193" s="5">
        <v>1116</v>
      </c>
      <c r="J193" s="5">
        <v>2</v>
      </c>
      <c r="K193" s="2">
        <v>40</v>
      </c>
      <c r="L193" s="2" t="s">
        <v>209</v>
      </c>
      <c r="M193" s="4">
        <v>4.4000000000000004</v>
      </c>
      <c r="N193" s="5">
        <v>54</v>
      </c>
      <c r="O193" s="3">
        <v>45810</v>
      </c>
      <c r="P193" s="2" t="s">
        <v>2391</v>
      </c>
      <c r="Q193" s="2" t="s">
        <v>78</v>
      </c>
      <c r="R193" s="2" t="s">
        <v>41</v>
      </c>
      <c r="S193" s="2" t="s">
        <v>42</v>
      </c>
      <c r="T193" s="2"/>
    </row>
    <row r="194" spans="1:20" ht="12.5" x14ac:dyDescent="0.25">
      <c r="A194" s="2" t="s">
        <v>823</v>
      </c>
      <c r="B194" s="2" t="s">
        <v>824</v>
      </c>
      <c r="C194" s="2" t="s">
        <v>825</v>
      </c>
      <c r="D194" s="2" t="s">
        <v>826</v>
      </c>
      <c r="E194" s="2" t="s">
        <v>208</v>
      </c>
      <c r="F194" s="2" t="s">
        <v>117</v>
      </c>
      <c r="G194" s="5">
        <v>4012</v>
      </c>
      <c r="H194" s="5">
        <v>10</v>
      </c>
      <c r="I194" s="5">
        <v>3611</v>
      </c>
      <c r="J194" s="5">
        <v>3</v>
      </c>
      <c r="K194" s="2" t="s">
        <v>226</v>
      </c>
      <c r="L194" s="2" t="s">
        <v>64</v>
      </c>
      <c r="M194" s="4">
        <v>4</v>
      </c>
      <c r="N194" s="5">
        <v>68</v>
      </c>
      <c r="O194" s="3">
        <v>45790</v>
      </c>
      <c r="P194" s="2" t="s">
        <v>2390</v>
      </c>
      <c r="Q194" s="2" t="s">
        <v>65</v>
      </c>
      <c r="R194" s="2" t="s">
        <v>83</v>
      </c>
      <c r="S194" s="2" t="s">
        <v>83</v>
      </c>
      <c r="T194" s="2"/>
    </row>
    <row r="195" spans="1:20" ht="12.5" x14ac:dyDescent="0.25">
      <c r="A195" s="2" t="s">
        <v>827</v>
      </c>
      <c r="B195" s="2" t="s">
        <v>828</v>
      </c>
      <c r="C195" s="2" t="s">
        <v>829</v>
      </c>
      <c r="D195" s="2" t="s">
        <v>830</v>
      </c>
      <c r="E195" s="2" t="s">
        <v>122</v>
      </c>
      <c r="F195" s="2" t="s">
        <v>123</v>
      </c>
      <c r="G195" s="5">
        <v>3998</v>
      </c>
      <c r="H195" s="5">
        <v>35</v>
      </c>
      <c r="I195" s="5">
        <v>2599</v>
      </c>
      <c r="J195" s="5">
        <v>1</v>
      </c>
      <c r="K195" s="2" t="s">
        <v>226</v>
      </c>
      <c r="L195" s="2" t="s">
        <v>27</v>
      </c>
      <c r="M195" s="4">
        <v>4</v>
      </c>
      <c r="N195" s="5">
        <v>112</v>
      </c>
      <c r="O195" s="3">
        <v>45818</v>
      </c>
      <c r="P195" s="2" t="s">
        <v>2390</v>
      </c>
      <c r="Q195" s="2" t="s">
        <v>29</v>
      </c>
      <c r="R195" s="2" t="s">
        <v>89</v>
      </c>
      <c r="S195" s="2" t="s">
        <v>90</v>
      </c>
      <c r="T195" s="2"/>
    </row>
    <row r="196" spans="1:20" ht="12.5" x14ac:dyDescent="0.25">
      <c r="A196" s="2" t="s">
        <v>831</v>
      </c>
      <c r="B196" s="2" t="s">
        <v>156</v>
      </c>
      <c r="C196" s="2" t="s">
        <v>832</v>
      </c>
      <c r="D196" s="2" t="s">
        <v>833</v>
      </c>
      <c r="E196" s="2" t="s">
        <v>208</v>
      </c>
      <c r="F196" s="2" t="s">
        <v>117</v>
      </c>
      <c r="G196" s="5">
        <v>1548</v>
      </c>
      <c r="H196" s="5">
        <v>10</v>
      </c>
      <c r="I196" s="5">
        <v>1394</v>
      </c>
      <c r="J196" s="5">
        <v>2</v>
      </c>
      <c r="K196" s="2">
        <v>42</v>
      </c>
      <c r="L196" s="2" t="s">
        <v>168</v>
      </c>
      <c r="M196" s="4">
        <v>5</v>
      </c>
      <c r="N196" s="5">
        <v>171</v>
      </c>
      <c r="O196" s="3">
        <v>45824</v>
      </c>
      <c r="P196" s="2" t="s">
        <v>2391</v>
      </c>
      <c r="Q196" s="2" t="s">
        <v>65</v>
      </c>
      <c r="R196" s="2" t="s">
        <v>66</v>
      </c>
      <c r="S196" s="2" t="s">
        <v>67</v>
      </c>
      <c r="T196" s="2" t="s">
        <v>134</v>
      </c>
    </row>
    <row r="197" spans="1:20" ht="12.5" x14ac:dyDescent="0.25">
      <c r="A197" s="2" t="s">
        <v>834</v>
      </c>
      <c r="B197" s="2" t="s">
        <v>835</v>
      </c>
      <c r="C197" s="2" t="s">
        <v>836</v>
      </c>
      <c r="D197" s="2" t="s">
        <v>837</v>
      </c>
      <c r="E197" s="2" t="s">
        <v>132</v>
      </c>
      <c r="F197" s="2" t="s">
        <v>38</v>
      </c>
      <c r="G197" s="5">
        <v>4381</v>
      </c>
      <c r="H197" s="5">
        <v>10</v>
      </c>
      <c r="I197" s="5">
        <v>3943</v>
      </c>
      <c r="J197" s="5">
        <v>2</v>
      </c>
      <c r="K197" s="2" t="s">
        <v>26</v>
      </c>
      <c r="L197" s="2" t="s">
        <v>49</v>
      </c>
      <c r="M197" s="4">
        <v>4.7</v>
      </c>
      <c r="N197" s="5">
        <v>91</v>
      </c>
      <c r="O197" s="3">
        <v>45847</v>
      </c>
      <c r="P197" s="2" t="s">
        <v>2392</v>
      </c>
      <c r="Q197" s="2" t="s">
        <v>65</v>
      </c>
      <c r="R197" s="2" t="s">
        <v>41</v>
      </c>
      <c r="S197" s="2" t="s">
        <v>42</v>
      </c>
      <c r="T197" s="2"/>
    </row>
    <row r="198" spans="1:20" ht="12.5" x14ac:dyDescent="0.25">
      <c r="A198" s="2" t="s">
        <v>838</v>
      </c>
      <c r="B198" s="2" t="s">
        <v>839</v>
      </c>
      <c r="C198" s="2" t="s">
        <v>840</v>
      </c>
      <c r="D198" s="2" t="s">
        <v>841</v>
      </c>
      <c r="E198" s="2" t="s">
        <v>116</v>
      </c>
      <c r="F198" s="2" t="s">
        <v>117</v>
      </c>
      <c r="G198" s="5">
        <v>3577</v>
      </c>
      <c r="H198" s="5">
        <v>35</v>
      </c>
      <c r="I198" s="5">
        <v>2326</v>
      </c>
      <c r="J198" s="5">
        <v>1</v>
      </c>
      <c r="K198" s="2" t="s">
        <v>261</v>
      </c>
      <c r="L198" s="2" t="s">
        <v>64</v>
      </c>
      <c r="M198" s="4">
        <v>4.9000000000000004</v>
      </c>
      <c r="N198" s="5">
        <v>58</v>
      </c>
      <c r="O198" s="3">
        <v>45851</v>
      </c>
      <c r="P198" s="2" t="s">
        <v>2392</v>
      </c>
      <c r="Q198" s="2" t="s">
        <v>29</v>
      </c>
      <c r="R198" s="2" t="s">
        <v>58</v>
      </c>
      <c r="S198" s="2" t="s">
        <v>59</v>
      </c>
      <c r="T198" s="2"/>
    </row>
    <row r="199" spans="1:20" ht="12.5" x14ac:dyDescent="0.25">
      <c r="A199" s="2" t="s">
        <v>842</v>
      </c>
      <c r="B199" s="2" t="s">
        <v>514</v>
      </c>
      <c r="C199" s="2" t="s">
        <v>843</v>
      </c>
      <c r="D199" s="2" t="s">
        <v>844</v>
      </c>
      <c r="E199" s="2" t="s">
        <v>55</v>
      </c>
      <c r="F199" s="2" t="s">
        <v>38</v>
      </c>
      <c r="G199" s="5">
        <v>4994</v>
      </c>
      <c r="H199" s="5">
        <v>10</v>
      </c>
      <c r="I199" s="5">
        <v>4495</v>
      </c>
      <c r="J199" s="5">
        <v>3</v>
      </c>
      <c r="K199" s="2" t="s">
        <v>32</v>
      </c>
      <c r="L199" s="2" t="s">
        <v>209</v>
      </c>
      <c r="M199" s="4">
        <v>4.8</v>
      </c>
      <c r="N199" s="5">
        <v>255</v>
      </c>
      <c r="O199" s="3">
        <v>45823</v>
      </c>
      <c r="P199" s="2" t="s">
        <v>2390</v>
      </c>
      <c r="Q199" s="2" t="s">
        <v>78</v>
      </c>
      <c r="R199" s="2" t="s">
        <v>58</v>
      </c>
      <c r="S199" s="2" t="s">
        <v>59</v>
      </c>
      <c r="T199" s="2"/>
    </row>
    <row r="200" spans="1:20" ht="12.5" x14ac:dyDescent="0.25">
      <c r="A200" s="2" t="s">
        <v>845</v>
      </c>
      <c r="B200" s="2" t="s">
        <v>846</v>
      </c>
      <c r="C200" s="2" t="s">
        <v>847</v>
      </c>
      <c r="D200" s="2" t="s">
        <v>848</v>
      </c>
      <c r="E200" s="2" t="s">
        <v>55</v>
      </c>
      <c r="F200" s="2" t="s">
        <v>38</v>
      </c>
      <c r="G200" s="5">
        <v>4621</v>
      </c>
      <c r="H200" s="5">
        <v>35</v>
      </c>
      <c r="I200" s="5">
        <v>3004</v>
      </c>
      <c r="J200" s="5">
        <v>3</v>
      </c>
      <c r="K200" s="2" t="s">
        <v>226</v>
      </c>
      <c r="L200" s="2" t="s">
        <v>133</v>
      </c>
      <c r="M200" s="4">
        <v>5</v>
      </c>
      <c r="N200" s="5">
        <v>39</v>
      </c>
      <c r="O200" s="3">
        <v>45821</v>
      </c>
      <c r="P200" s="2" t="s">
        <v>2392</v>
      </c>
      <c r="Q200" s="2" t="s">
        <v>65</v>
      </c>
      <c r="R200" s="2" t="s">
        <v>110</v>
      </c>
      <c r="S200" s="2" t="s">
        <v>111</v>
      </c>
      <c r="T200" s="2"/>
    </row>
    <row r="201" spans="1:20" ht="12.5" x14ac:dyDescent="0.25">
      <c r="A201" s="2" t="s">
        <v>849</v>
      </c>
      <c r="B201" s="2" t="s">
        <v>850</v>
      </c>
      <c r="C201" s="2" t="s">
        <v>851</v>
      </c>
      <c r="D201" s="2" t="s">
        <v>852</v>
      </c>
      <c r="E201" s="2" t="s">
        <v>37</v>
      </c>
      <c r="F201" s="2" t="s">
        <v>38</v>
      </c>
      <c r="G201" s="5">
        <v>1679</v>
      </c>
      <c r="H201" s="5">
        <v>25</v>
      </c>
      <c r="I201" s="5">
        <v>1260</v>
      </c>
      <c r="J201" s="5">
        <v>3</v>
      </c>
      <c r="K201" s="2" t="s">
        <v>56</v>
      </c>
      <c r="L201" s="2" t="s">
        <v>103</v>
      </c>
      <c r="M201" s="4">
        <v>3.5</v>
      </c>
      <c r="N201" s="5">
        <v>157</v>
      </c>
      <c r="O201" s="3">
        <v>45770</v>
      </c>
      <c r="P201" s="2" t="s">
        <v>2391</v>
      </c>
      <c r="Q201" s="2" t="s">
        <v>29</v>
      </c>
      <c r="R201" s="2" t="s">
        <v>185</v>
      </c>
      <c r="S201" s="2" t="s">
        <v>186</v>
      </c>
      <c r="T201" s="2" t="s">
        <v>50</v>
      </c>
    </row>
    <row r="202" spans="1:20" ht="12.5" x14ac:dyDescent="0.25">
      <c r="A202" s="2" t="s">
        <v>853</v>
      </c>
      <c r="B202" s="2" t="s">
        <v>854</v>
      </c>
      <c r="C202" s="2" t="s">
        <v>855</v>
      </c>
      <c r="D202" s="2" t="s">
        <v>856</v>
      </c>
      <c r="E202" s="2" t="s">
        <v>24</v>
      </c>
      <c r="F202" s="2" t="s">
        <v>25</v>
      </c>
      <c r="G202" s="5">
        <v>4049</v>
      </c>
      <c r="H202" s="5">
        <v>20</v>
      </c>
      <c r="I202" s="5">
        <v>3240</v>
      </c>
      <c r="J202" s="5">
        <v>3</v>
      </c>
      <c r="K202" s="2">
        <v>42</v>
      </c>
      <c r="L202" s="2" t="s">
        <v>209</v>
      </c>
      <c r="M202" s="4">
        <v>4.5999999999999996</v>
      </c>
      <c r="N202" s="5">
        <v>176</v>
      </c>
      <c r="O202" s="3">
        <v>45779</v>
      </c>
      <c r="P202" s="2" t="s">
        <v>2391</v>
      </c>
      <c r="Q202" s="2" t="s">
        <v>78</v>
      </c>
      <c r="R202" s="2" t="s">
        <v>58</v>
      </c>
      <c r="S202" s="2" t="s">
        <v>59</v>
      </c>
      <c r="T202" s="2"/>
    </row>
    <row r="203" spans="1:20" ht="12.5" x14ac:dyDescent="0.25">
      <c r="A203" s="2" t="s">
        <v>857</v>
      </c>
      <c r="B203" s="2" t="s">
        <v>858</v>
      </c>
      <c r="C203" s="2" t="s">
        <v>859</v>
      </c>
      <c r="D203" s="2" t="s">
        <v>860</v>
      </c>
      <c r="E203" s="2" t="s">
        <v>55</v>
      </c>
      <c r="F203" s="2" t="s">
        <v>38</v>
      </c>
      <c r="G203" s="5">
        <v>2981</v>
      </c>
      <c r="H203" s="5">
        <v>40</v>
      </c>
      <c r="I203" s="5">
        <v>1789</v>
      </c>
      <c r="J203" s="5">
        <v>3</v>
      </c>
      <c r="K203" s="2">
        <v>40</v>
      </c>
      <c r="L203" s="2" t="s">
        <v>209</v>
      </c>
      <c r="M203" s="4">
        <v>3.9</v>
      </c>
      <c r="N203" s="5">
        <v>218</v>
      </c>
      <c r="O203" s="3">
        <v>45855</v>
      </c>
      <c r="P203" s="2" t="s">
        <v>2391</v>
      </c>
      <c r="Q203" s="2" t="s">
        <v>78</v>
      </c>
      <c r="R203" s="2" t="s">
        <v>149</v>
      </c>
      <c r="S203" s="2" t="s">
        <v>150</v>
      </c>
      <c r="T203" s="2" t="s">
        <v>134</v>
      </c>
    </row>
    <row r="204" spans="1:20" ht="12.5" x14ac:dyDescent="0.25">
      <c r="A204" s="2" t="s">
        <v>861</v>
      </c>
      <c r="B204" s="2" t="s">
        <v>862</v>
      </c>
      <c r="C204" s="2" t="s">
        <v>863</v>
      </c>
      <c r="D204" s="2" t="s">
        <v>864</v>
      </c>
      <c r="E204" s="2" t="s">
        <v>116</v>
      </c>
      <c r="F204" s="2" t="s">
        <v>117</v>
      </c>
      <c r="G204" s="5">
        <v>4544</v>
      </c>
      <c r="H204" s="5">
        <v>35</v>
      </c>
      <c r="I204" s="5">
        <v>2954</v>
      </c>
      <c r="J204" s="5">
        <v>3</v>
      </c>
      <c r="K204" s="2" t="s">
        <v>26</v>
      </c>
      <c r="L204" s="2" t="s">
        <v>168</v>
      </c>
      <c r="M204" s="4">
        <v>4.3</v>
      </c>
      <c r="N204" s="5">
        <v>178</v>
      </c>
      <c r="O204" s="3">
        <v>45832</v>
      </c>
      <c r="P204" s="2" t="s">
        <v>2392</v>
      </c>
      <c r="Q204" s="2" t="s">
        <v>78</v>
      </c>
      <c r="R204" s="2" t="s">
        <v>83</v>
      </c>
      <c r="S204" s="2" t="s">
        <v>83</v>
      </c>
      <c r="T204" s="2"/>
    </row>
    <row r="205" spans="1:20" ht="12.5" x14ac:dyDescent="0.25">
      <c r="A205" s="2" t="s">
        <v>865</v>
      </c>
      <c r="B205" s="2" t="s">
        <v>61</v>
      </c>
      <c r="C205" s="2" t="s">
        <v>866</v>
      </c>
      <c r="D205" s="2" t="s">
        <v>867</v>
      </c>
      <c r="E205" s="2" t="s">
        <v>147</v>
      </c>
      <c r="F205" s="2" t="s">
        <v>148</v>
      </c>
      <c r="G205" s="5">
        <v>2781</v>
      </c>
      <c r="H205" s="5">
        <v>15</v>
      </c>
      <c r="I205" s="5">
        <v>2364</v>
      </c>
      <c r="J205" s="5">
        <v>2</v>
      </c>
      <c r="K205" s="2" t="s">
        <v>261</v>
      </c>
      <c r="L205" s="2" t="s">
        <v>133</v>
      </c>
      <c r="M205" s="4">
        <v>4.4000000000000004</v>
      </c>
      <c r="N205" s="5">
        <v>177</v>
      </c>
      <c r="O205" s="3">
        <v>45820</v>
      </c>
      <c r="P205" s="2" t="s">
        <v>2391</v>
      </c>
      <c r="Q205" s="2" t="s">
        <v>78</v>
      </c>
      <c r="R205" s="2" t="s">
        <v>83</v>
      </c>
      <c r="S205" s="2" t="s">
        <v>83</v>
      </c>
      <c r="T205" s="2" t="s">
        <v>43</v>
      </c>
    </row>
    <row r="206" spans="1:20" ht="12.5" x14ac:dyDescent="0.25">
      <c r="A206" s="2" t="s">
        <v>868</v>
      </c>
      <c r="B206" s="2" t="s">
        <v>869</v>
      </c>
      <c r="C206" s="2" t="s">
        <v>870</v>
      </c>
      <c r="D206" s="2" t="s">
        <v>871</v>
      </c>
      <c r="E206" s="2" t="s">
        <v>24</v>
      </c>
      <c r="F206" s="2" t="s">
        <v>25</v>
      </c>
      <c r="G206" s="5">
        <v>2959</v>
      </c>
      <c r="H206" s="5">
        <v>25</v>
      </c>
      <c r="I206" s="5">
        <v>2220</v>
      </c>
      <c r="J206" s="5">
        <v>1</v>
      </c>
      <c r="K206" s="2" t="s">
        <v>26</v>
      </c>
      <c r="L206" s="2" t="s">
        <v>27</v>
      </c>
      <c r="M206" s="4">
        <v>4.3</v>
      </c>
      <c r="N206" s="5">
        <v>35</v>
      </c>
      <c r="O206" s="3">
        <v>45800</v>
      </c>
      <c r="P206" s="2" t="s">
        <v>2390</v>
      </c>
      <c r="Q206" s="2" t="s">
        <v>78</v>
      </c>
      <c r="R206" s="2" t="s">
        <v>185</v>
      </c>
      <c r="S206" s="2" t="s">
        <v>186</v>
      </c>
      <c r="T206" s="2"/>
    </row>
    <row r="207" spans="1:20" ht="12.5" x14ac:dyDescent="0.25">
      <c r="A207" s="2" t="s">
        <v>872</v>
      </c>
      <c r="B207" s="2" t="s">
        <v>798</v>
      </c>
      <c r="C207" s="2" t="s">
        <v>873</v>
      </c>
      <c r="D207" s="2" t="s">
        <v>874</v>
      </c>
      <c r="E207" s="2" t="s">
        <v>48</v>
      </c>
      <c r="F207" s="2" t="s">
        <v>25</v>
      </c>
      <c r="G207" s="5">
        <v>4709</v>
      </c>
      <c r="H207" s="5">
        <v>20</v>
      </c>
      <c r="I207" s="5">
        <v>3768</v>
      </c>
      <c r="J207" s="5">
        <v>3</v>
      </c>
      <c r="K207" s="2">
        <v>42</v>
      </c>
      <c r="L207" s="2" t="s">
        <v>133</v>
      </c>
      <c r="M207" s="4">
        <v>4.0999999999999996</v>
      </c>
      <c r="N207" s="5">
        <v>216</v>
      </c>
      <c r="O207" s="3">
        <v>45779</v>
      </c>
      <c r="P207" s="2" t="s">
        <v>2390</v>
      </c>
      <c r="Q207" s="2" t="s">
        <v>78</v>
      </c>
      <c r="R207" s="2" t="s">
        <v>149</v>
      </c>
      <c r="S207" s="2" t="s">
        <v>150</v>
      </c>
      <c r="T207" s="2"/>
    </row>
    <row r="208" spans="1:20" ht="12.5" x14ac:dyDescent="0.25">
      <c r="A208" s="2" t="s">
        <v>875</v>
      </c>
      <c r="B208" s="2" t="s">
        <v>876</v>
      </c>
      <c r="C208" s="2" t="s">
        <v>877</v>
      </c>
      <c r="D208" s="2" t="s">
        <v>878</v>
      </c>
      <c r="E208" s="2" t="s">
        <v>208</v>
      </c>
      <c r="F208" s="2" t="s">
        <v>117</v>
      </c>
      <c r="G208" s="5">
        <v>3163</v>
      </c>
      <c r="H208" s="5">
        <v>40</v>
      </c>
      <c r="I208" s="5">
        <v>1898</v>
      </c>
      <c r="J208" s="5">
        <v>3</v>
      </c>
      <c r="K208" s="2">
        <v>42</v>
      </c>
      <c r="L208" s="2" t="s">
        <v>64</v>
      </c>
      <c r="M208" s="4">
        <v>4.8</v>
      </c>
      <c r="N208" s="5">
        <v>156</v>
      </c>
      <c r="O208" s="3">
        <v>45829</v>
      </c>
      <c r="P208" s="2" t="s">
        <v>2391</v>
      </c>
      <c r="Q208" s="2" t="s">
        <v>29</v>
      </c>
      <c r="R208" s="2" t="s">
        <v>104</v>
      </c>
      <c r="S208" s="2" t="s">
        <v>105</v>
      </c>
      <c r="T208" s="2" t="s">
        <v>203</v>
      </c>
    </row>
    <row r="209" spans="1:20" ht="12.5" x14ac:dyDescent="0.25">
      <c r="A209" s="2" t="s">
        <v>879</v>
      </c>
      <c r="B209" s="2" t="s">
        <v>880</v>
      </c>
      <c r="C209" s="2" t="s">
        <v>881</v>
      </c>
      <c r="D209" s="2" t="s">
        <v>882</v>
      </c>
      <c r="E209" s="2" t="s">
        <v>24</v>
      </c>
      <c r="F209" s="2" t="s">
        <v>25</v>
      </c>
      <c r="G209" s="5">
        <v>628</v>
      </c>
      <c r="H209" s="5">
        <v>15</v>
      </c>
      <c r="I209" s="5">
        <v>534</v>
      </c>
      <c r="J209" s="5">
        <v>3</v>
      </c>
      <c r="K209" s="2" t="s">
        <v>261</v>
      </c>
      <c r="L209" s="2" t="s">
        <v>49</v>
      </c>
      <c r="M209" s="4">
        <v>3.6</v>
      </c>
      <c r="N209" s="5">
        <v>28</v>
      </c>
      <c r="O209" s="3">
        <v>45807</v>
      </c>
      <c r="P209" s="2" t="s">
        <v>2391</v>
      </c>
      <c r="Q209" s="2" t="s">
        <v>78</v>
      </c>
      <c r="R209" s="2" t="s">
        <v>83</v>
      </c>
      <c r="S209" s="2" t="s">
        <v>83</v>
      </c>
      <c r="T209" s="2" t="s">
        <v>203</v>
      </c>
    </row>
    <row r="210" spans="1:20" ht="12.5" x14ac:dyDescent="0.25">
      <c r="A210" s="2" t="s">
        <v>883</v>
      </c>
      <c r="B210" s="2" t="s">
        <v>884</v>
      </c>
      <c r="C210" s="2" t="s">
        <v>885</v>
      </c>
      <c r="D210" s="2" t="s">
        <v>886</v>
      </c>
      <c r="E210" s="2" t="s">
        <v>147</v>
      </c>
      <c r="F210" s="2" t="s">
        <v>148</v>
      </c>
      <c r="G210" s="5">
        <v>2221</v>
      </c>
      <c r="H210" s="5">
        <v>20</v>
      </c>
      <c r="I210" s="5">
        <v>1777</v>
      </c>
      <c r="J210" s="5">
        <v>1</v>
      </c>
      <c r="K210" s="2" t="s">
        <v>32</v>
      </c>
      <c r="L210" s="2" t="s">
        <v>73</v>
      </c>
      <c r="M210" s="4">
        <v>4.4000000000000004</v>
      </c>
      <c r="N210" s="5">
        <v>47</v>
      </c>
      <c r="O210" s="3">
        <v>45780</v>
      </c>
      <c r="P210" s="2" t="s">
        <v>2390</v>
      </c>
      <c r="Q210" s="2" t="s">
        <v>78</v>
      </c>
      <c r="R210" s="2" t="s">
        <v>30</v>
      </c>
      <c r="S210" s="2" t="s">
        <v>31</v>
      </c>
      <c r="T210" s="2"/>
    </row>
    <row r="211" spans="1:20" ht="12.5" x14ac:dyDescent="0.25">
      <c r="A211" s="2" t="s">
        <v>887</v>
      </c>
      <c r="B211" s="2" t="s">
        <v>303</v>
      </c>
      <c r="C211" s="2" t="s">
        <v>888</v>
      </c>
      <c r="D211" s="2" t="s">
        <v>889</v>
      </c>
      <c r="E211" s="2" t="s">
        <v>116</v>
      </c>
      <c r="F211" s="2" t="s">
        <v>117</v>
      </c>
      <c r="G211" s="5">
        <v>4389</v>
      </c>
      <c r="H211" s="5">
        <v>25</v>
      </c>
      <c r="I211" s="5">
        <v>3292</v>
      </c>
      <c r="J211" s="5">
        <v>1</v>
      </c>
      <c r="K211" s="2">
        <v>44</v>
      </c>
      <c r="L211" s="2" t="s">
        <v>133</v>
      </c>
      <c r="M211" s="4">
        <v>3.8</v>
      </c>
      <c r="N211" s="5">
        <v>135</v>
      </c>
      <c r="O211" s="3">
        <v>45781</v>
      </c>
      <c r="P211" s="2" t="s">
        <v>2390</v>
      </c>
      <c r="Q211" s="2" t="s">
        <v>65</v>
      </c>
      <c r="R211" s="2" t="s">
        <v>149</v>
      </c>
      <c r="S211" s="2" t="s">
        <v>150</v>
      </c>
      <c r="T211" s="2"/>
    </row>
    <row r="212" spans="1:20" ht="12.5" x14ac:dyDescent="0.25">
      <c r="A212" s="2" t="s">
        <v>890</v>
      </c>
      <c r="B212" s="2" t="s">
        <v>891</v>
      </c>
      <c r="C212" s="2" t="s">
        <v>660</v>
      </c>
      <c r="D212" s="2" t="s">
        <v>892</v>
      </c>
      <c r="E212" s="2" t="s">
        <v>37</v>
      </c>
      <c r="F212" s="2" t="s">
        <v>38</v>
      </c>
      <c r="G212" s="5">
        <v>4136</v>
      </c>
      <c r="H212" s="5">
        <v>30</v>
      </c>
      <c r="I212" s="5">
        <v>2896</v>
      </c>
      <c r="J212" s="5">
        <v>3</v>
      </c>
      <c r="K212" s="2" t="s">
        <v>72</v>
      </c>
      <c r="L212" s="2" t="s">
        <v>73</v>
      </c>
      <c r="M212" s="4">
        <v>4.2</v>
      </c>
      <c r="N212" s="5">
        <v>166</v>
      </c>
      <c r="O212" s="3">
        <v>45777</v>
      </c>
      <c r="P212" s="2" t="s">
        <v>2391</v>
      </c>
      <c r="Q212" s="2" t="s">
        <v>78</v>
      </c>
      <c r="R212" s="2" t="s">
        <v>110</v>
      </c>
      <c r="S212" s="2" t="s">
        <v>111</v>
      </c>
      <c r="T212" s="2" t="s">
        <v>43</v>
      </c>
    </row>
    <row r="213" spans="1:20" ht="12.5" x14ac:dyDescent="0.25">
      <c r="A213" s="2" t="s">
        <v>893</v>
      </c>
      <c r="B213" s="2" t="s">
        <v>267</v>
      </c>
      <c r="C213" s="2" t="s">
        <v>894</v>
      </c>
      <c r="D213" s="2" t="s">
        <v>895</v>
      </c>
      <c r="E213" s="2" t="s">
        <v>132</v>
      </c>
      <c r="F213" s="2" t="s">
        <v>38</v>
      </c>
      <c r="G213" s="5">
        <v>3640</v>
      </c>
      <c r="H213" s="5">
        <v>35</v>
      </c>
      <c r="I213" s="5">
        <v>2366</v>
      </c>
      <c r="J213" s="5">
        <v>2</v>
      </c>
      <c r="K213" s="2">
        <v>42</v>
      </c>
      <c r="L213" s="2" t="s">
        <v>168</v>
      </c>
      <c r="M213" s="4">
        <v>4.7</v>
      </c>
      <c r="N213" s="5">
        <v>182</v>
      </c>
      <c r="O213" s="3">
        <v>45788</v>
      </c>
      <c r="P213" s="2" t="s">
        <v>2392</v>
      </c>
      <c r="Q213" s="2" t="s">
        <v>65</v>
      </c>
      <c r="R213" s="2" t="s">
        <v>58</v>
      </c>
      <c r="S213" s="2" t="s">
        <v>59</v>
      </c>
      <c r="T213" s="2"/>
    </row>
    <row r="214" spans="1:20" ht="12.5" x14ac:dyDescent="0.25">
      <c r="A214" s="2" t="s">
        <v>896</v>
      </c>
      <c r="B214" s="2" t="s">
        <v>897</v>
      </c>
      <c r="C214" s="2" t="s">
        <v>898</v>
      </c>
      <c r="D214" s="2" t="s">
        <v>899</v>
      </c>
      <c r="E214" s="2" t="s">
        <v>55</v>
      </c>
      <c r="F214" s="2" t="s">
        <v>38</v>
      </c>
      <c r="G214" s="5">
        <v>2811</v>
      </c>
      <c r="H214" s="5">
        <v>30</v>
      </c>
      <c r="I214" s="5">
        <v>1968</v>
      </c>
      <c r="J214" s="5">
        <v>2</v>
      </c>
      <c r="K214" s="2" t="s">
        <v>72</v>
      </c>
      <c r="L214" s="2" t="s">
        <v>133</v>
      </c>
      <c r="M214" s="4">
        <v>4.4000000000000004</v>
      </c>
      <c r="N214" s="5">
        <v>179</v>
      </c>
      <c r="O214" s="3">
        <v>45782</v>
      </c>
      <c r="P214" s="2" t="s">
        <v>2390</v>
      </c>
      <c r="Q214" s="2" t="s">
        <v>29</v>
      </c>
      <c r="R214" s="2" t="s">
        <v>104</v>
      </c>
      <c r="S214" s="2" t="s">
        <v>105</v>
      </c>
      <c r="T214" s="2"/>
    </row>
    <row r="215" spans="1:20" ht="12.5" x14ac:dyDescent="0.25">
      <c r="A215" s="2" t="s">
        <v>900</v>
      </c>
      <c r="B215" s="2" t="s">
        <v>901</v>
      </c>
      <c r="C215" s="2" t="s">
        <v>902</v>
      </c>
      <c r="D215" s="2" t="s">
        <v>903</v>
      </c>
      <c r="E215" s="2" t="s">
        <v>116</v>
      </c>
      <c r="F215" s="2" t="s">
        <v>117</v>
      </c>
      <c r="G215" s="5">
        <v>4508</v>
      </c>
      <c r="H215" s="5">
        <v>20</v>
      </c>
      <c r="I215" s="5">
        <v>3607</v>
      </c>
      <c r="J215" s="5">
        <v>1</v>
      </c>
      <c r="K215" s="2">
        <v>44</v>
      </c>
      <c r="L215" s="2" t="s">
        <v>133</v>
      </c>
      <c r="M215" s="4">
        <v>3.9</v>
      </c>
      <c r="N215" s="5">
        <v>98</v>
      </c>
      <c r="O215" s="3">
        <v>45778</v>
      </c>
      <c r="P215" s="2" t="s">
        <v>2391</v>
      </c>
      <c r="Q215" s="2" t="s">
        <v>29</v>
      </c>
      <c r="R215" s="2" t="s">
        <v>110</v>
      </c>
      <c r="S215" s="2" t="s">
        <v>111</v>
      </c>
      <c r="T215" s="2"/>
    </row>
    <row r="216" spans="1:20" ht="12.5" x14ac:dyDescent="0.25">
      <c r="A216" s="2" t="s">
        <v>904</v>
      </c>
      <c r="B216" s="2" t="s">
        <v>905</v>
      </c>
      <c r="C216" s="2" t="s">
        <v>906</v>
      </c>
      <c r="D216" s="2" t="s">
        <v>907</v>
      </c>
      <c r="E216" s="2" t="s">
        <v>37</v>
      </c>
      <c r="F216" s="2" t="s">
        <v>38</v>
      </c>
      <c r="G216" s="5">
        <v>4881</v>
      </c>
      <c r="H216" s="5">
        <v>40</v>
      </c>
      <c r="I216" s="5">
        <v>2929</v>
      </c>
      <c r="J216" s="5">
        <v>3</v>
      </c>
      <c r="K216" s="2" t="s">
        <v>261</v>
      </c>
      <c r="L216" s="2" t="s">
        <v>103</v>
      </c>
      <c r="M216" s="4">
        <v>4.4000000000000004</v>
      </c>
      <c r="N216" s="5">
        <v>218</v>
      </c>
      <c r="O216" s="3">
        <v>45831</v>
      </c>
      <c r="P216" s="2" t="s">
        <v>2391</v>
      </c>
      <c r="Q216" s="2" t="s">
        <v>29</v>
      </c>
      <c r="R216" s="2" t="s">
        <v>41</v>
      </c>
      <c r="S216" s="2" t="s">
        <v>42</v>
      </c>
      <c r="T216" s="2" t="s">
        <v>50</v>
      </c>
    </row>
    <row r="217" spans="1:20" ht="12.5" x14ac:dyDescent="0.25">
      <c r="A217" s="2" t="s">
        <v>908</v>
      </c>
      <c r="B217" s="2" t="s">
        <v>909</v>
      </c>
      <c r="C217" s="2" t="s">
        <v>910</v>
      </c>
      <c r="D217" s="2" t="s">
        <v>911</v>
      </c>
      <c r="E217" s="2" t="s">
        <v>147</v>
      </c>
      <c r="F217" s="2" t="s">
        <v>148</v>
      </c>
      <c r="G217" s="5">
        <v>4173</v>
      </c>
      <c r="H217" s="5">
        <v>25</v>
      </c>
      <c r="I217" s="5">
        <v>3130</v>
      </c>
      <c r="J217" s="5">
        <v>3</v>
      </c>
      <c r="K217" s="2" t="s">
        <v>163</v>
      </c>
      <c r="L217" s="2" t="s">
        <v>49</v>
      </c>
      <c r="M217" s="4">
        <v>3.9</v>
      </c>
      <c r="N217" s="5">
        <v>218</v>
      </c>
      <c r="O217" s="3">
        <v>45783</v>
      </c>
      <c r="P217" s="2" t="s">
        <v>2390</v>
      </c>
      <c r="Q217" s="2" t="s">
        <v>65</v>
      </c>
      <c r="R217" s="2" t="s">
        <v>149</v>
      </c>
      <c r="S217" s="2" t="s">
        <v>150</v>
      </c>
      <c r="T217" s="2"/>
    </row>
    <row r="218" spans="1:20" ht="12.5" x14ac:dyDescent="0.25">
      <c r="A218" s="2" t="s">
        <v>912</v>
      </c>
      <c r="B218" s="2" t="s">
        <v>913</v>
      </c>
      <c r="C218" s="2" t="s">
        <v>914</v>
      </c>
      <c r="D218" s="2" t="s">
        <v>915</v>
      </c>
      <c r="E218" s="2" t="s">
        <v>147</v>
      </c>
      <c r="F218" s="2" t="s">
        <v>148</v>
      </c>
      <c r="G218" s="5">
        <v>3866</v>
      </c>
      <c r="H218" s="5">
        <v>35</v>
      </c>
      <c r="I218" s="5">
        <v>2513</v>
      </c>
      <c r="J218" s="5">
        <v>1</v>
      </c>
      <c r="K218" s="2">
        <v>44</v>
      </c>
      <c r="L218" s="2" t="s">
        <v>27</v>
      </c>
      <c r="M218" s="4">
        <v>4.2</v>
      </c>
      <c r="N218" s="5">
        <v>299</v>
      </c>
      <c r="O218" s="3">
        <v>45812</v>
      </c>
      <c r="P218" s="2" t="s">
        <v>2390</v>
      </c>
      <c r="Q218" s="2" t="s">
        <v>65</v>
      </c>
      <c r="R218" s="2" t="s">
        <v>30</v>
      </c>
      <c r="S218" s="2" t="s">
        <v>31</v>
      </c>
      <c r="T218" s="2"/>
    </row>
    <row r="219" spans="1:20" ht="12.5" x14ac:dyDescent="0.25">
      <c r="A219" s="2" t="s">
        <v>916</v>
      </c>
      <c r="B219" s="2" t="s">
        <v>917</v>
      </c>
      <c r="C219" s="2" t="s">
        <v>918</v>
      </c>
      <c r="D219" s="2" t="s">
        <v>919</v>
      </c>
      <c r="E219" s="2" t="s">
        <v>48</v>
      </c>
      <c r="F219" s="2" t="s">
        <v>25</v>
      </c>
      <c r="G219" s="5">
        <v>4488</v>
      </c>
      <c r="H219" s="5">
        <v>35</v>
      </c>
      <c r="I219" s="5">
        <v>2918</v>
      </c>
      <c r="J219" s="5">
        <v>3</v>
      </c>
      <c r="K219" s="2" t="s">
        <v>261</v>
      </c>
      <c r="L219" s="2" t="s">
        <v>88</v>
      </c>
      <c r="M219" s="4">
        <v>3.8</v>
      </c>
      <c r="N219" s="5">
        <v>187</v>
      </c>
      <c r="O219" s="3">
        <v>45831</v>
      </c>
      <c r="P219" s="2" t="s">
        <v>2392</v>
      </c>
      <c r="Q219" s="2" t="s">
        <v>78</v>
      </c>
      <c r="R219" s="2" t="s">
        <v>58</v>
      </c>
      <c r="S219" s="2" t="s">
        <v>59</v>
      </c>
      <c r="T219" s="2"/>
    </row>
    <row r="220" spans="1:20" ht="12.5" x14ac:dyDescent="0.25">
      <c r="A220" s="2" t="s">
        <v>920</v>
      </c>
      <c r="B220" s="2" t="s">
        <v>921</v>
      </c>
      <c r="C220" s="2" t="s">
        <v>922</v>
      </c>
      <c r="D220" s="2" t="s">
        <v>923</v>
      </c>
      <c r="E220" s="2" t="s">
        <v>208</v>
      </c>
      <c r="F220" s="2" t="s">
        <v>117</v>
      </c>
      <c r="G220" s="5">
        <v>2634</v>
      </c>
      <c r="H220" s="5">
        <v>20</v>
      </c>
      <c r="I220" s="5">
        <v>2108</v>
      </c>
      <c r="J220" s="5">
        <v>1</v>
      </c>
      <c r="K220" s="2" t="s">
        <v>72</v>
      </c>
      <c r="L220" s="2" t="s">
        <v>73</v>
      </c>
      <c r="M220" s="4">
        <v>4.4000000000000004</v>
      </c>
      <c r="N220" s="5">
        <v>221</v>
      </c>
      <c r="O220" s="3">
        <v>45782</v>
      </c>
      <c r="P220" s="2" t="s">
        <v>2391</v>
      </c>
      <c r="Q220" s="2" t="s">
        <v>29</v>
      </c>
      <c r="R220" s="2" t="s">
        <v>83</v>
      </c>
      <c r="S220" s="2" t="s">
        <v>83</v>
      </c>
      <c r="T220" s="2"/>
    </row>
    <row r="221" spans="1:20" ht="12.5" x14ac:dyDescent="0.25">
      <c r="A221" s="2" t="s">
        <v>924</v>
      </c>
      <c r="B221" s="2" t="s">
        <v>925</v>
      </c>
      <c r="C221" s="2" t="s">
        <v>926</v>
      </c>
      <c r="D221" s="2" t="s">
        <v>927</v>
      </c>
      <c r="E221" s="2" t="s">
        <v>37</v>
      </c>
      <c r="F221" s="2" t="s">
        <v>38</v>
      </c>
      <c r="G221" s="5">
        <v>2915</v>
      </c>
      <c r="H221" s="5">
        <v>30</v>
      </c>
      <c r="I221" s="5">
        <v>2041</v>
      </c>
      <c r="J221" s="5">
        <v>2</v>
      </c>
      <c r="K221" s="2" t="s">
        <v>32</v>
      </c>
      <c r="L221" s="2" t="s">
        <v>133</v>
      </c>
      <c r="M221" s="4">
        <v>3.8</v>
      </c>
      <c r="N221" s="5">
        <v>12</v>
      </c>
      <c r="O221" s="3">
        <v>45775</v>
      </c>
      <c r="P221" s="2" t="s">
        <v>2390</v>
      </c>
      <c r="Q221" s="2" t="s">
        <v>65</v>
      </c>
      <c r="R221" s="2" t="s">
        <v>110</v>
      </c>
      <c r="S221" s="2" t="s">
        <v>111</v>
      </c>
      <c r="T221" s="2"/>
    </row>
    <row r="222" spans="1:20" ht="12.5" x14ac:dyDescent="0.25">
      <c r="A222" s="2" t="s">
        <v>928</v>
      </c>
      <c r="B222" s="2" t="s">
        <v>929</v>
      </c>
      <c r="C222" s="2" t="s">
        <v>930</v>
      </c>
      <c r="D222" s="2" t="s">
        <v>931</v>
      </c>
      <c r="E222" s="2" t="s">
        <v>147</v>
      </c>
      <c r="F222" s="2" t="s">
        <v>148</v>
      </c>
      <c r="G222" s="5">
        <v>4189</v>
      </c>
      <c r="H222" s="5">
        <v>15</v>
      </c>
      <c r="I222" s="5">
        <v>3561</v>
      </c>
      <c r="J222" s="5">
        <v>2</v>
      </c>
      <c r="K222" s="2" t="s">
        <v>32</v>
      </c>
      <c r="L222" s="2" t="s">
        <v>64</v>
      </c>
      <c r="M222" s="4">
        <v>3.7</v>
      </c>
      <c r="N222" s="5">
        <v>129</v>
      </c>
      <c r="O222" s="3">
        <v>45787</v>
      </c>
      <c r="P222" s="2" t="s">
        <v>2390</v>
      </c>
      <c r="Q222" s="2" t="s">
        <v>78</v>
      </c>
      <c r="R222" s="2" t="s">
        <v>58</v>
      </c>
      <c r="S222" s="2" t="s">
        <v>59</v>
      </c>
      <c r="T222" s="2"/>
    </row>
    <row r="223" spans="1:20" ht="12.5" x14ac:dyDescent="0.25">
      <c r="A223" s="2" t="s">
        <v>932</v>
      </c>
      <c r="B223" s="2" t="s">
        <v>846</v>
      </c>
      <c r="C223" s="2" t="s">
        <v>933</v>
      </c>
      <c r="D223" s="2" t="s">
        <v>934</v>
      </c>
      <c r="E223" s="2" t="s">
        <v>208</v>
      </c>
      <c r="F223" s="2" t="s">
        <v>117</v>
      </c>
      <c r="G223" s="5">
        <v>4577</v>
      </c>
      <c r="H223" s="5">
        <v>10</v>
      </c>
      <c r="I223" s="5">
        <v>4120</v>
      </c>
      <c r="J223" s="5">
        <v>2</v>
      </c>
      <c r="K223" s="2" t="s">
        <v>163</v>
      </c>
      <c r="L223" s="2" t="s">
        <v>103</v>
      </c>
      <c r="M223" s="4">
        <v>4.4000000000000004</v>
      </c>
      <c r="N223" s="5">
        <v>55</v>
      </c>
      <c r="O223" s="3">
        <v>45835</v>
      </c>
      <c r="P223" s="2" t="s">
        <v>2390</v>
      </c>
      <c r="Q223" s="2" t="s">
        <v>78</v>
      </c>
      <c r="R223" s="2" t="s">
        <v>104</v>
      </c>
      <c r="S223" s="2" t="s">
        <v>105</v>
      </c>
      <c r="T223" s="2"/>
    </row>
    <row r="224" spans="1:20" ht="12.5" x14ac:dyDescent="0.25">
      <c r="A224" s="2" t="s">
        <v>935</v>
      </c>
      <c r="B224" s="2" t="s">
        <v>254</v>
      </c>
      <c r="C224" s="2" t="s">
        <v>936</v>
      </c>
      <c r="D224" s="2" t="s">
        <v>937</v>
      </c>
      <c r="E224" s="2" t="s">
        <v>132</v>
      </c>
      <c r="F224" s="2" t="s">
        <v>38</v>
      </c>
      <c r="G224" s="5">
        <v>2042</v>
      </c>
      <c r="H224" s="5">
        <v>20</v>
      </c>
      <c r="I224" s="5">
        <v>1634</v>
      </c>
      <c r="J224" s="5">
        <v>1</v>
      </c>
      <c r="K224" s="2">
        <v>44</v>
      </c>
      <c r="L224" s="2" t="s">
        <v>39</v>
      </c>
      <c r="M224" s="4">
        <v>3.8</v>
      </c>
      <c r="N224" s="5">
        <v>102</v>
      </c>
      <c r="O224" s="3">
        <v>45803</v>
      </c>
      <c r="P224" s="2" t="s">
        <v>2391</v>
      </c>
      <c r="Q224" s="2" t="s">
        <v>65</v>
      </c>
      <c r="R224" s="2" t="s">
        <v>66</v>
      </c>
      <c r="S224" s="2" t="s">
        <v>67</v>
      </c>
      <c r="T224" s="2"/>
    </row>
    <row r="225" spans="1:20" ht="12.5" x14ac:dyDescent="0.25">
      <c r="A225" s="2" t="s">
        <v>938</v>
      </c>
      <c r="B225" s="2" t="s">
        <v>440</v>
      </c>
      <c r="C225" s="2" t="s">
        <v>939</v>
      </c>
      <c r="D225" s="2" t="s">
        <v>940</v>
      </c>
      <c r="E225" s="2" t="s">
        <v>55</v>
      </c>
      <c r="F225" s="2" t="s">
        <v>38</v>
      </c>
      <c r="G225" s="5">
        <v>3199</v>
      </c>
      <c r="H225" s="5">
        <v>20</v>
      </c>
      <c r="I225" s="5">
        <v>2560</v>
      </c>
      <c r="J225" s="5">
        <v>1</v>
      </c>
      <c r="K225" s="2">
        <v>44</v>
      </c>
      <c r="L225" s="2" t="s">
        <v>168</v>
      </c>
      <c r="M225" s="4">
        <v>4.7</v>
      </c>
      <c r="N225" s="5">
        <v>38</v>
      </c>
      <c r="O225" s="3">
        <v>45775</v>
      </c>
      <c r="P225" s="2" t="s">
        <v>2390</v>
      </c>
      <c r="Q225" s="2" t="s">
        <v>78</v>
      </c>
      <c r="R225" s="2" t="s">
        <v>185</v>
      </c>
      <c r="S225" s="2" t="s">
        <v>186</v>
      </c>
      <c r="T225" s="2"/>
    </row>
    <row r="226" spans="1:20" ht="12.5" x14ac:dyDescent="0.25">
      <c r="A226" s="2" t="s">
        <v>941</v>
      </c>
      <c r="B226" s="2" t="s">
        <v>244</v>
      </c>
      <c r="C226" s="2" t="s">
        <v>942</v>
      </c>
      <c r="D226" s="2" t="s">
        <v>943</v>
      </c>
      <c r="E226" s="2" t="s">
        <v>37</v>
      </c>
      <c r="F226" s="2" t="s">
        <v>38</v>
      </c>
      <c r="G226" s="5">
        <v>771</v>
      </c>
      <c r="H226" s="5">
        <v>40</v>
      </c>
      <c r="I226" s="5">
        <v>463</v>
      </c>
      <c r="J226" s="5">
        <v>2</v>
      </c>
      <c r="K226" s="2">
        <v>40</v>
      </c>
      <c r="L226" s="2" t="s">
        <v>209</v>
      </c>
      <c r="M226" s="4">
        <v>5</v>
      </c>
      <c r="N226" s="5">
        <v>285</v>
      </c>
      <c r="O226" s="3">
        <v>45781</v>
      </c>
      <c r="P226" s="2" t="s">
        <v>2392</v>
      </c>
      <c r="Q226" s="2" t="s">
        <v>29</v>
      </c>
      <c r="R226" s="2" t="s">
        <v>83</v>
      </c>
      <c r="S226" s="2" t="s">
        <v>83</v>
      </c>
      <c r="T226" s="2"/>
    </row>
    <row r="227" spans="1:20" ht="12.5" x14ac:dyDescent="0.25">
      <c r="A227" s="2" t="s">
        <v>944</v>
      </c>
      <c r="B227" s="2" t="s">
        <v>271</v>
      </c>
      <c r="C227" s="2" t="s">
        <v>945</v>
      </c>
      <c r="D227" s="2" t="s">
        <v>946</v>
      </c>
      <c r="E227" s="2" t="s">
        <v>147</v>
      </c>
      <c r="F227" s="2" t="s">
        <v>148</v>
      </c>
      <c r="G227" s="5">
        <v>2931</v>
      </c>
      <c r="H227" s="5">
        <v>30</v>
      </c>
      <c r="I227" s="5">
        <v>2052</v>
      </c>
      <c r="J227" s="5">
        <v>2</v>
      </c>
      <c r="K227" s="2" t="s">
        <v>163</v>
      </c>
      <c r="L227" s="2" t="s">
        <v>39</v>
      </c>
      <c r="M227" s="4">
        <v>3.9</v>
      </c>
      <c r="N227" s="5">
        <v>123</v>
      </c>
      <c r="O227" s="3">
        <v>45840</v>
      </c>
      <c r="P227" s="2" t="s">
        <v>2391</v>
      </c>
      <c r="Q227" s="2" t="s">
        <v>29</v>
      </c>
      <c r="R227" s="2" t="s">
        <v>110</v>
      </c>
      <c r="S227" s="2" t="s">
        <v>111</v>
      </c>
      <c r="T227" s="2" t="s">
        <v>134</v>
      </c>
    </row>
    <row r="228" spans="1:20" ht="12.5" x14ac:dyDescent="0.25">
      <c r="A228" s="2" t="s">
        <v>947</v>
      </c>
      <c r="B228" s="2" t="s">
        <v>948</v>
      </c>
      <c r="C228" s="2" t="s">
        <v>949</v>
      </c>
      <c r="D228" s="2" t="s">
        <v>950</v>
      </c>
      <c r="E228" s="2" t="s">
        <v>132</v>
      </c>
      <c r="F228" s="2" t="s">
        <v>38</v>
      </c>
      <c r="G228" s="5">
        <v>1509</v>
      </c>
      <c r="H228" s="5">
        <v>40</v>
      </c>
      <c r="I228" s="5">
        <v>906</v>
      </c>
      <c r="J228" s="5">
        <v>1</v>
      </c>
      <c r="K228" s="2">
        <v>42</v>
      </c>
      <c r="L228" s="2" t="s">
        <v>27</v>
      </c>
      <c r="M228" s="4">
        <v>4.3</v>
      </c>
      <c r="N228" s="5">
        <v>76</v>
      </c>
      <c r="O228" s="3">
        <v>45802</v>
      </c>
      <c r="P228" s="2" t="s">
        <v>2391</v>
      </c>
      <c r="Q228" s="2" t="s">
        <v>78</v>
      </c>
      <c r="R228" s="2" t="s">
        <v>104</v>
      </c>
      <c r="S228" s="2" t="s">
        <v>105</v>
      </c>
      <c r="T228" s="2" t="s">
        <v>203</v>
      </c>
    </row>
    <row r="229" spans="1:20" ht="12.5" x14ac:dyDescent="0.25">
      <c r="A229" s="2" t="s">
        <v>951</v>
      </c>
      <c r="B229" s="2" t="s">
        <v>952</v>
      </c>
      <c r="C229" s="2" t="s">
        <v>953</v>
      </c>
      <c r="D229" s="2" t="s">
        <v>954</v>
      </c>
      <c r="E229" s="2" t="s">
        <v>208</v>
      </c>
      <c r="F229" s="2" t="s">
        <v>117</v>
      </c>
      <c r="G229" s="5">
        <v>1797</v>
      </c>
      <c r="H229" s="5">
        <v>40</v>
      </c>
      <c r="I229" s="5">
        <v>1079</v>
      </c>
      <c r="J229" s="5">
        <v>1</v>
      </c>
      <c r="K229" s="2" t="s">
        <v>56</v>
      </c>
      <c r="L229" s="2" t="s">
        <v>133</v>
      </c>
      <c r="M229" s="4">
        <v>4</v>
      </c>
      <c r="N229" s="5">
        <v>37</v>
      </c>
      <c r="O229" s="3">
        <v>45836</v>
      </c>
      <c r="P229" s="2" t="s">
        <v>2390</v>
      </c>
      <c r="Q229" s="2" t="s">
        <v>78</v>
      </c>
      <c r="R229" s="2" t="s">
        <v>110</v>
      </c>
      <c r="S229" s="2" t="s">
        <v>111</v>
      </c>
      <c r="T229" s="2"/>
    </row>
    <row r="230" spans="1:20" ht="12.5" x14ac:dyDescent="0.25">
      <c r="A230" s="2" t="s">
        <v>955</v>
      </c>
      <c r="B230" s="2" t="s">
        <v>45</v>
      </c>
      <c r="C230" s="2" t="s">
        <v>956</v>
      </c>
      <c r="D230" s="2" t="s">
        <v>957</v>
      </c>
      <c r="E230" s="2" t="s">
        <v>208</v>
      </c>
      <c r="F230" s="2" t="s">
        <v>117</v>
      </c>
      <c r="G230" s="5">
        <v>1915</v>
      </c>
      <c r="H230" s="5">
        <v>15</v>
      </c>
      <c r="I230" s="5">
        <v>1628</v>
      </c>
      <c r="J230" s="5">
        <v>3</v>
      </c>
      <c r="K230" s="2">
        <v>44</v>
      </c>
      <c r="L230" s="2" t="s">
        <v>73</v>
      </c>
      <c r="M230" s="4">
        <v>4.9000000000000004</v>
      </c>
      <c r="N230" s="5">
        <v>35</v>
      </c>
      <c r="O230" s="3">
        <v>45798</v>
      </c>
      <c r="P230" s="2" t="s">
        <v>2390</v>
      </c>
      <c r="Q230" s="2" t="s">
        <v>29</v>
      </c>
      <c r="R230" s="2" t="s">
        <v>149</v>
      </c>
      <c r="S230" s="2" t="s">
        <v>150</v>
      </c>
      <c r="T230" s="2"/>
    </row>
    <row r="231" spans="1:20" ht="12.5" x14ac:dyDescent="0.25">
      <c r="A231" s="2" t="s">
        <v>958</v>
      </c>
      <c r="B231" s="2" t="s">
        <v>959</v>
      </c>
      <c r="C231" s="2" t="s">
        <v>960</v>
      </c>
      <c r="D231" s="2" t="s">
        <v>961</v>
      </c>
      <c r="E231" s="2" t="s">
        <v>208</v>
      </c>
      <c r="F231" s="2" t="s">
        <v>117</v>
      </c>
      <c r="G231" s="5">
        <v>4210</v>
      </c>
      <c r="H231" s="5">
        <v>15</v>
      </c>
      <c r="I231" s="5">
        <v>3579</v>
      </c>
      <c r="J231" s="5">
        <v>2</v>
      </c>
      <c r="K231" s="2">
        <v>44</v>
      </c>
      <c r="L231" s="2" t="s">
        <v>209</v>
      </c>
      <c r="M231" s="4">
        <v>4.0999999999999996</v>
      </c>
      <c r="N231" s="5">
        <v>112</v>
      </c>
      <c r="O231" s="3">
        <v>45822</v>
      </c>
      <c r="P231" s="2" t="s">
        <v>2390</v>
      </c>
      <c r="Q231" s="2" t="s">
        <v>65</v>
      </c>
      <c r="R231" s="2" t="s">
        <v>110</v>
      </c>
      <c r="S231" s="2" t="s">
        <v>111</v>
      </c>
      <c r="T231" s="2"/>
    </row>
    <row r="232" spans="1:20" ht="12.5" x14ac:dyDescent="0.25">
      <c r="A232" s="2" t="s">
        <v>962</v>
      </c>
      <c r="B232" s="2" t="s">
        <v>693</v>
      </c>
      <c r="C232" s="2" t="s">
        <v>963</v>
      </c>
      <c r="D232" s="2" t="s">
        <v>964</v>
      </c>
      <c r="E232" s="2" t="s">
        <v>247</v>
      </c>
      <c r="F232" s="2" t="s">
        <v>248</v>
      </c>
      <c r="G232" s="5">
        <v>4943</v>
      </c>
      <c r="H232" s="5">
        <v>30</v>
      </c>
      <c r="I232" s="5">
        <v>3461</v>
      </c>
      <c r="J232" s="5">
        <v>2</v>
      </c>
      <c r="K232" s="2" t="s">
        <v>56</v>
      </c>
      <c r="L232" s="2" t="s">
        <v>103</v>
      </c>
      <c r="M232" s="4">
        <v>4.5999999999999996</v>
      </c>
      <c r="N232" s="5">
        <v>145</v>
      </c>
      <c r="O232" s="3">
        <v>45811</v>
      </c>
      <c r="P232" s="2" t="s">
        <v>2392</v>
      </c>
      <c r="Q232" s="2" t="s">
        <v>65</v>
      </c>
      <c r="R232" s="2" t="s">
        <v>110</v>
      </c>
      <c r="S232" s="2" t="s">
        <v>111</v>
      </c>
      <c r="T232" s="2"/>
    </row>
    <row r="233" spans="1:20" ht="12.5" x14ac:dyDescent="0.25">
      <c r="A233" s="2" t="s">
        <v>965</v>
      </c>
      <c r="B233" s="2" t="s">
        <v>966</v>
      </c>
      <c r="C233" s="2" t="s">
        <v>967</v>
      </c>
      <c r="D233" s="2" t="s">
        <v>968</v>
      </c>
      <c r="E233" s="2" t="s">
        <v>37</v>
      </c>
      <c r="F233" s="2" t="s">
        <v>38</v>
      </c>
      <c r="G233" s="5">
        <v>4182</v>
      </c>
      <c r="H233" s="5">
        <v>40</v>
      </c>
      <c r="I233" s="5">
        <v>2510</v>
      </c>
      <c r="J233" s="5">
        <v>1</v>
      </c>
      <c r="K233" s="2" t="s">
        <v>26</v>
      </c>
      <c r="L233" s="2" t="s">
        <v>133</v>
      </c>
      <c r="M233" s="4">
        <v>4.9000000000000004</v>
      </c>
      <c r="N233" s="5">
        <v>294</v>
      </c>
      <c r="O233" s="3">
        <v>45799</v>
      </c>
      <c r="P233" s="2" t="s">
        <v>2391</v>
      </c>
      <c r="Q233" s="2" t="s">
        <v>65</v>
      </c>
      <c r="R233" s="2" t="s">
        <v>83</v>
      </c>
      <c r="S233" s="2" t="s">
        <v>83</v>
      </c>
      <c r="T233" s="2" t="s">
        <v>50</v>
      </c>
    </row>
    <row r="234" spans="1:20" ht="12.5" x14ac:dyDescent="0.25">
      <c r="A234" s="2" t="s">
        <v>969</v>
      </c>
      <c r="B234" s="2" t="s">
        <v>970</v>
      </c>
      <c r="C234" s="2" t="s">
        <v>971</v>
      </c>
      <c r="D234" s="2" t="s">
        <v>972</v>
      </c>
      <c r="E234" s="2" t="s">
        <v>247</v>
      </c>
      <c r="F234" s="2" t="s">
        <v>248</v>
      </c>
      <c r="G234" s="5">
        <v>4451</v>
      </c>
      <c r="H234" s="5">
        <v>20</v>
      </c>
      <c r="I234" s="5">
        <v>3561</v>
      </c>
      <c r="J234" s="5">
        <v>2</v>
      </c>
      <c r="K234" s="2" t="s">
        <v>163</v>
      </c>
      <c r="L234" s="2" t="s">
        <v>168</v>
      </c>
      <c r="M234" s="4">
        <v>4.0999999999999996</v>
      </c>
      <c r="N234" s="5">
        <v>18</v>
      </c>
      <c r="O234" s="3">
        <v>45824</v>
      </c>
      <c r="P234" s="2" t="s">
        <v>2392</v>
      </c>
      <c r="Q234" s="2" t="s">
        <v>29</v>
      </c>
      <c r="R234" s="2" t="s">
        <v>41</v>
      </c>
      <c r="S234" s="2" t="s">
        <v>42</v>
      </c>
      <c r="T234" s="2"/>
    </row>
    <row r="235" spans="1:20" ht="12.5" x14ac:dyDescent="0.25">
      <c r="A235" s="2" t="s">
        <v>973</v>
      </c>
      <c r="B235" s="2" t="s">
        <v>974</v>
      </c>
      <c r="C235" s="2" t="s">
        <v>975</v>
      </c>
      <c r="D235" s="2" t="s">
        <v>976</v>
      </c>
      <c r="E235" s="2" t="s">
        <v>116</v>
      </c>
      <c r="F235" s="2" t="s">
        <v>117</v>
      </c>
      <c r="G235" s="5">
        <v>4512</v>
      </c>
      <c r="H235" s="5">
        <v>10</v>
      </c>
      <c r="I235" s="5">
        <v>4061</v>
      </c>
      <c r="J235" s="5">
        <v>1</v>
      </c>
      <c r="K235" s="2" t="s">
        <v>32</v>
      </c>
      <c r="L235" s="2" t="s">
        <v>103</v>
      </c>
      <c r="M235" s="4">
        <v>4.8</v>
      </c>
      <c r="N235" s="5">
        <v>32</v>
      </c>
      <c r="O235" s="3">
        <v>45818</v>
      </c>
      <c r="P235" s="2" t="s">
        <v>2392</v>
      </c>
      <c r="Q235" s="2" t="s">
        <v>78</v>
      </c>
      <c r="R235" s="2" t="s">
        <v>185</v>
      </c>
      <c r="S235" s="2" t="s">
        <v>186</v>
      </c>
      <c r="T235" s="2"/>
    </row>
    <row r="236" spans="1:20" ht="12.5" x14ac:dyDescent="0.25">
      <c r="A236" s="2" t="s">
        <v>977</v>
      </c>
      <c r="B236" s="2" t="s">
        <v>491</v>
      </c>
      <c r="C236" s="2" t="s">
        <v>978</v>
      </c>
      <c r="D236" s="2" t="s">
        <v>979</v>
      </c>
      <c r="E236" s="2" t="s">
        <v>147</v>
      </c>
      <c r="F236" s="2" t="s">
        <v>148</v>
      </c>
      <c r="G236" s="5">
        <v>1231</v>
      </c>
      <c r="H236" s="5">
        <v>25</v>
      </c>
      <c r="I236" s="5">
        <v>924</v>
      </c>
      <c r="J236" s="5">
        <v>2</v>
      </c>
      <c r="K236" s="2" t="s">
        <v>26</v>
      </c>
      <c r="L236" s="2" t="s">
        <v>103</v>
      </c>
      <c r="M236" s="4">
        <v>4.8</v>
      </c>
      <c r="N236" s="5">
        <v>97</v>
      </c>
      <c r="O236" s="3">
        <v>45796</v>
      </c>
      <c r="P236" s="2" t="s">
        <v>2391</v>
      </c>
      <c r="Q236" s="2" t="s">
        <v>78</v>
      </c>
      <c r="R236" s="2" t="s">
        <v>110</v>
      </c>
      <c r="S236" s="2" t="s">
        <v>111</v>
      </c>
      <c r="T236" s="2" t="s">
        <v>203</v>
      </c>
    </row>
    <row r="237" spans="1:20" ht="12.5" x14ac:dyDescent="0.25">
      <c r="A237" s="2" t="s">
        <v>980</v>
      </c>
      <c r="B237" s="2" t="s">
        <v>981</v>
      </c>
      <c r="C237" s="2" t="s">
        <v>982</v>
      </c>
      <c r="D237" s="2" t="s">
        <v>983</v>
      </c>
      <c r="E237" s="2" t="s">
        <v>24</v>
      </c>
      <c r="F237" s="2" t="s">
        <v>25</v>
      </c>
      <c r="G237" s="5">
        <v>3492</v>
      </c>
      <c r="H237" s="5">
        <v>35</v>
      </c>
      <c r="I237" s="5">
        <v>2270</v>
      </c>
      <c r="J237" s="5">
        <v>2</v>
      </c>
      <c r="K237" s="2" t="s">
        <v>26</v>
      </c>
      <c r="L237" s="2" t="s">
        <v>88</v>
      </c>
      <c r="M237" s="4">
        <v>3.6</v>
      </c>
      <c r="N237" s="5">
        <v>59</v>
      </c>
      <c r="O237" s="3">
        <v>45829</v>
      </c>
      <c r="P237" s="2" t="s">
        <v>2392</v>
      </c>
      <c r="Q237" s="2" t="s">
        <v>65</v>
      </c>
      <c r="R237" s="2" t="s">
        <v>30</v>
      </c>
      <c r="S237" s="2" t="s">
        <v>31</v>
      </c>
      <c r="T237" s="2"/>
    </row>
    <row r="238" spans="1:20" ht="12.5" x14ac:dyDescent="0.25">
      <c r="A238" s="2" t="s">
        <v>984</v>
      </c>
      <c r="B238" s="2" t="s">
        <v>985</v>
      </c>
      <c r="C238" s="2" t="s">
        <v>986</v>
      </c>
      <c r="D238" s="2" t="s">
        <v>987</v>
      </c>
      <c r="E238" s="2" t="s">
        <v>208</v>
      </c>
      <c r="F238" s="2" t="s">
        <v>117</v>
      </c>
      <c r="G238" s="5">
        <v>1567</v>
      </c>
      <c r="H238" s="5">
        <v>15</v>
      </c>
      <c r="I238" s="5">
        <v>1332</v>
      </c>
      <c r="J238" s="5">
        <v>2</v>
      </c>
      <c r="K238" s="2">
        <v>40</v>
      </c>
      <c r="L238" s="2" t="s">
        <v>39</v>
      </c>
      <c r="M238" s="4">
        <v>4.7</v>
      </c>
      <c r="N238" s="5">
        <v>14</v>
      </c>
      <c r="O238" s="3">
        <v>45851</v>
      </c>
      <c r="P238" s="2" t="s">
        <v>2390</v>
      </c>
      <c r="Q238" s="2" t="s">
        <v>29</v>
      </c>
      <c r="R238" s="2" t="s">
        <v>149</v>
      </c>
      <c r="S238" s="2" t="s">
        <v>150</v>
      </c>
      <c r="T238" s="2"/>
    </row>
    <row r="239" spans="1:20" ht="12.5" x14ac:dyDescent="0.25">
      <c r="A239" s="2" t="s">
        <v>988</v>
      </c>
      <c r="B239" s="2" t="s">
        <v>989</v>
      </c>
      <c r="C239" s="2" t="s">
        <v>990</v>
      </c>
      <c r="D239" s="2" t="s">
        <v>991</v>
      </c>
      <c r="E239" s="2" t="s">
        <v>132</v>
      </c>
      <c r="F239" s="2" t="s">
        <v>38</v>
      </c>
      <c r="G239" s="5">
        <v>3234</v>
      </c>
      <c r="H239" s="5">
        <v>35</v>
      </c>
      <c r="I239" s="5">
        <v>2103</v>
      </c>
      <c r="J239" s="5">
        <v>2</v>
      </c>
      <c r="K239" s="2">
        <v>42</v>
      </c>
      <c r="L239" s="2" t="s">
        <v>168</v>
      </c>
      <c r="M239" s="4">
        <v>4.5</v>
      </c>
      <c r="N239" s="5">
        <v>135</v>
      </c>
      <c r="O239" s="3">
        <v>45780</v>
      </c>
      <c r="P239" s="2" t="s">
        <v>2392</v>
      </c>
      <c r="Q239" s="2" t="s">
        <v>65</v>
      </c>
      <c r="R239" s="2" t="s">
        <v>185</v>
      </c>
      <c r="S239" s="2" t="s">
        <v>186</v>
      </c>
      <c r="T239" s="2"/>
    </row>
    <row r="240" spans="1:20" ht="12.5" x14ac:dyDescent="0.25">
      <c r="A240" s="2" t="s">
        <v>992</v>
      </c>
      <c r="B240" s="2" t="s">
        <v>993</v>
      </c>
      <c r="C240" s="2" t="s">
        <v>994</v>
      </c>
      <c r="D240" s="2" t="s">
        <v>995</v>
      </c>
      <c r="E240" s="2" t="s">
        <v>55</v>
      </c>
      <c r="F240" s="2" t="s">
        <v>38</v>
      </c>
      <c r="G240" s="5">
        <v>4636</v>
      </c>
      <c r="H240" s="5">
        <v>35</v>
      </c>
      <c r="I240" s="5">
        <v>3014</v>
      </c>
      <c r="J240" s="5">
        <v>2</v>
      </c>
      <c r="K240" s="2" t="s">
        <v>72</v>
      </c>
      <c r="L240" s="2" t="s">
        <v>209</v>
      </c>
      <c r="M240" s="4">
        <v>4.7</v>
      </c>
      <c r="N240" s="5">
        <v>277</v>
      </c>
      <c r="O240" s="3">
        <v>45853</v>
      </c>
      <c r="P240" s="2" t="s">
        <v>2392</v>
      </c>
      <c r="Q240" s="2" t="s">
        <v>65</v>
      </c>
      <c r="R240" s="2" t="s">
        <v>149</v>
      </c>
      <c r="S240" s="2" t="s">
        <v>150</v>
      </c>
      <c r="T240" s="2"/>
    </row>
    <row r="241" spans="1:20" ht="12.5" x14ac:dyDescent="0.25">
      <c r="A241" s="2" t="s">
        <v>996</v>
      </c>
      <c r="B241" s="2" t="s">
        <v>966</v>
      </c>
      <c r="C241" s="2" t="s">
        <v>997</v>
      </c>
      <c r="D241" s="2" t="s">
        <v>998</v>
      </c>
      <c r="E241" s="2" t="s">
        <v>247</v>
      </c>
      <c r="F241" s="2" t="s">
        <v>248</v>
      </c>
      <c r="G241" s="5">
        <v>3457</v>
      </c>
      <c r="H241" s="5">
        <v>25</v>
      </c>
      <c r="I241" s="5">
        <v>2593</v>
      </c>
      <c r="J241" s="5">
        <v>1</v>
      </c>
      <c r="K241" s="2" t="s">
        <v>32</v>
      </c>
      <c r="L241" s="2" t="s">
        <v>88</v>
      </c>
      <c r="M241" s="4">
        <v>4</v>
      </c>
      <c r="N241" s="5">
        <v>290</v>
      </c>
      <c r="O241" s="3">
        <v>45839</v>
      </c>
      <c r="P241" s="2" t="s">
        <v>2391</v>
      </c>
      <c r="Q241" s="2" t="s">
        <v>29</v>
      </c>
      <c r="R241" s="2" t="s">
        <v>30</v>
      </c>
      <c r="S241" s="2" t="s">
        <v>31</v>
      </c>
      <c r="T241" s="2" t="s">
        <v>203</v>
      </c>
    </row>
    <row r="242" spans="1:20" ht="12.5" x14ac:dyDescent="0.25">
      <c r="A242" s="2" t="s">
        <v>999</v>
      </c>
      <c r="B242" s="2" t="s">
        <v>1000</v>
      </c>
      <c r="C242" s="2" t="s">
        <v>1001</v>
      </c>
      <c r="D242" s="2" t="s">
        <v>1002</v>
      </c>
      <c r="E242" s="2" t="s">
        <v>55</v>
      </c>
      <c r="F242" s="2" t="s">
        <v>38</v>
      </c>
      <c r="G242" s="5">
        <v>3661</v>
      </c>
      <c r="H242" s="5">
        <v>25</v>
      </c>
      <c r="I242" s="5">
        <v>2746</v>
      </c>
      <c r="J242" s="5">
        <v>1</v>
      </c>
      <c r="K242" s="2">
        <v>44</v>
      </c>
      <c r="L242" s="2" t="s">
        <v>133</v>
      </c>
      <c r="M242" s="4">
        <v>4.5</v>
      </c>
      <c r="N242" s="5">
        <v>237</v>
      </c>
      <c r="O242" s="3">
        <v>45827</v>
      </c>
      <c r="P242" s="2" t="s">
        <v>2392</v>
      </c>
      <c r="Q242" s="2" t="s">
        <v>29</v>
      </c>
      <c r="R242" s="2" t="s">
        <v>104</v>
      </c>
      <c r="S242" s="2" t="s">
        <v>105</v>
      </c>
      <c r="T242" s="2"/>
    </row>
    <row r="243" spans="1:20" ht="12.5" x14ac:dyDescent="0.25">
      <c r="A243" s="2" t="s">
        <v>1003</v>
      </c>
      <c r="B243" s="2" t="s">
        <v>876</v>
      </c>
      <c r="C243" s="2" t="s">
        <v>1004</v>
      </c>
      <c r="D243" s="2" t="s">
        <v>1005</v>
      </c>
      <c r="E243" s="2" t="s">
        <v>132</v>
      </c>
      <c r="F243" s="2" t="s">
        <v>38</v>
      </c>
      <c r="G243" s="5">
        <v>2136</v>
      </c>
      <c r="H243" s="5">
        <v>35</v>
      </c>
      <c r="I243" s="5">
        <v>1389</v>
      </c>
      <c r="J243" s="5">
        <v>3</v>
      </c>
      <c r="K243" s="2" t="s">
        <v>261</v>
      </c>
      <c r="L243" s="2" t="s">
        <v>168</v>
      </c>
      <c r="M243" s="4">
        <v>4</v>
      </c>
      <c r="N243" s="5">
        <v>21</v>
      </c>
      <c r="O243" s="3">
        <v>45830</v>
      </c>
      <c r="P243" s="2" t="s">
        <v>2390</v>
      </c>
      <c r="Q243" s="2" t="s">
        <v>65</v>
      </c>
      <c r="R243" s="2" t="s">
        <v>83</v>
      </c>
      <c r="S243" s="2" t="s">
        <v>83</v>
      </c>
      <c r="T243" s="2"/>
    </row>
    <row r="244" spans="1:20" ht="12.5" x14ac:dyDescent="0.25">
      <c r="A244" s="2" t="s">
        <v>1006</v>
      </c>
      <c r="B244" s="2" t="s">
        <v>1007</v>
      </c>
      <c r="C244" s="2" t="s">
        <v>1008</v>
      </c>
      <c r="D244" s="2" t="s">
        <v>1009</v>
      </c>
      <c r="E244" s="2" t="s">
        <v>24</v>
      </c>
      <c r="F244" s="2" t="s">
        <v>25</v>
      </c>
      <c r="G244" s="5">
        <v>3396</v>
      </c>
      <c r="H244" s="5">
        <v>25</v>
      </c>
      <c r="I244" s="5">
        <v>2547</v>
      </c>
      <c r="J244" s="5">
        <v>2</v>
      </c>
      <c r="K244" s="2">
        <v>42</v>
      </c>
      <c r="L244" s="2" t="s">
        <v>168</v>
      </c>
      <c r="M244" s="4">
        <v>4.3</v>
      </c>
      <c r="N244" s="5">
        <v>230</v>
      </c>
      <c r="O244" s="3">
        <v>45818</v>
      </c>
      <c r="P244" s="2" t="s">
        <v>2390</v>
      </c>
      <c r="Q244" s="2" t="s">
        <v>29</v>
      </c>
      <c r="R244" s="2" t="s">
        <v>41</v>
      </c>
      <c r="S244" s="2" t="s">
        <v>42</v>
      </c>
      <c r="T244" s="2"/>
    </row>
    <row r="245" spans="1:20" ht="12.5" x14ac:dyDescent="0.25">
      <c r="A245" s="2" t="s">
        <v>1010</v>
      </c>
      <c r="B245" s="2" t="s">
        <v>1011</v>
      </c>
      <c r="C245" s="2" t="s">
        <v>1012</v>
      </c>
      <c r="D245" s="2" t="s">
        <v>1013</v>
      </c>
      <c r="E245" s="2" t="s">
        <v>48</v>
      </c>
      <c r="F245" s="2" t="s">
        <v>25</v>
      </c>
      <c r="G245" s="5">
        <v>3268</v>
      </c>
      <c r="H245" s="5">
        <v>20</v>
      </c>
      <c r="I245" s="5">
        <v>2615</v>
      </c>
      <c r="J245" s="5">
        <v>2</v>
      </c>
      <c r="K245" s="2" t="s">
        <v>261</v>
      </c>
      <c r="L245" s="2" t="s">
        <v>27</v>
      </c>
      <c r="M245" s="4">
        <v>4.9000000000000004</v>
      </c>
      <c r="N245" s="5">
        <v>266</v>
      </c>
      <c r="O245" s="3">
        <v>45817</v>
      </c>
      <c r="P245" s="2" t="s">
        <v>2392</v>
      </c>
      <c r="Q245" s="2" t="s">
        <v>65</v>
      </c>
      <c r="R245" s="2" t="s">
        <v>30</v>
      </c>
      <c r="S245" s="2" t="s">
        <v>31</v>
      </c>
      <c r="T245" s="2"/>
    </row>
    <row r="246" spans="1:20" ht="12.5" x14ac:dyDescent="0.25">
      <c r="A246" s="2" t="s">
        <v>1014</v>
      </c>
      <c r="B246" s="2" t="s">
        <v>618</v>
      </c>
      <c r="C246" s="2" t="s">
        <v>1015</v>
      </c>
      <c r="D246" s="2" t="s">
        <v>1016</v>
      </c>
      <c r="E246" s="2" t="s">
        <v>55</v>
      </c>
      <c r="F246" s="2" t="s">
        <v>38</v>
      </c>
      <c r="G246" s="5">
        <v>3463</v>
      </c>
      <c r="H246" s="5">
        <v>25</v>
      </c>
      <c r="I246" s="5">
        <v>2598</v>
      </c>
      <c r="J246" s="5">
        <v>2</v>
      </c>
      <c r="K246" s="2" t="s">
        <v>26</v>
      </c>
      <c r="L246" s="2" t="s">
        <v>103</v>
      </c>
      <c r="M246" s="4">
        <v>4.9000000000000004</v>
      </c>
      <c r="N246" s="5">
        <v>204</v>
      </c>
      <c r="O246" s="3">
        <v>45803</v>
      </c>
      <c r="P246" s="2" t="s">
        <v>2392</v>
      </c>
      <c r="Q246" s="2" t="s">
        <v>65</v>
      </c>
      <c r="R246" s="2" t="s">
        <v>185</v>
      </c>
      <c r="S246" s="2" t="s">
        <v>186</v>
      </c>
      <c r="T246" s="2"/>
    </row>
    <row r="247" spans="1:20" ht="12.5" x14ac:dyDescent="0.25">
      <c r="A247" s="2" t="s">
        <v>1017</v>
      </c>
      <c r="B247" s="2" t="s">
        <v>1018</v>
      </c>
      <c r="C247" s="2" t="s">
        <v>1019</v>
      </c>
      <c r="D247" s="2" t="s">
        <v>1020</v>
      </c>
      <c r="E247" s="2" t="s">
        <v>132</v>
      </c>
      <c r="F247" s="2" t="s">
        <v>38</v>
      </c>
      <c r="G247" s="5">
        <v>2366</v>
      </c>
      <c r="H247" s="5">
        <v>15</v>
      </c>
      <c r="I247" s="5">
        <v>2012</v>
      </c>
      <c r="J247" s="5">
        <v>1</v>
      </c>
      <c r="K247" s="2">
        <v>42</v>
      </c>
      <c r="L247" s="2" t="s">
        <v>133</v>
      </c>
      <c r="M247" s="4">
        <v>3.7</v>
      </c>
      <c r="N247" s="5">
        <v>233</v>
      </c>
      <c r="O247" s="3">
        <v>45809</v>
      </c>
      <c r="P247" s="2" t="s">
        <v>2392</v>
      </c>
      <c r="Q247" s="2" t="s">
        <v>29</v>
      </c>
      <c r="R247" s="2" t="s">
        <v>104</v>
      </c>
      <c r="S247" s="2" t="s">
        <v>105</v>
      </c>
      <c r="T247" s="2"/>
    </row>
    <row r="248" spans="1:20" ht="12.5" x14ac:dyDescent="0.25">
      <c r="A248" s="2" t="s">
        <v>1021</v>
      </c>
      <c r="B248" s="2" t="s">
        <v>1022</v>
      </c>
      <c r="C248" s="2" t="s">
        <v>1023</v>
      </c>
      <c r="D248" s="2" t="s">
        <v>1024</v>
      </c>
      <c r="E248" s="2" t="s">
        <v>247</v>
      </c>
      <c r="F248" s="2" t="s">
        <v>248</v>
      </c>
      <c r="G248" s="5">
        <v>1207</v>
      </c>
      <c r="H248" s="5">
        <v>25</v>
      </c>
      <c r="I248" s="5">
        <v>906</v>
      </c>
      <c r="J248" s="5">
        <v>2</v>
      </c>
      <c r="K248" s="2">
        <v>44</v>
      </c>
      <c r="L248" s="2" t="s">
        <v>39</v>
      </c>
      <c r="M248" s="4">
        <v>4.2</v>
      </c>
      <c r="N248" s="5">
        <v>284</v>
      </c>
      <c r="O248" s="3">
        <v>45856</v>
      </c>
      <c r="P248" s="2" t="s">
        <v>2392</v>
      </c>
      <c r="Q248" s="2" t="s">
        <v>29</v>
      </c>
      <c r="R248" s="2" t="s">
        <v>41</v>
      </c>
      <c r="S248" s="2" t="s">
        <v>42</v>
      </c>
      <c r="T248" s="2"/>
    </row>
    <row r="249" spans="1:20" ht="12.5" x14ac:dyDescent="0.25">
      <c r="A249" s="2" t="s">
        <v>1025</v>
      </c>
      <c r="B249" s="2" t="s">
        <v>1026</v>
      </c>
      <c r="C249" s="2" t="s">
        <v>1027</v>
      </c>
      <c r="D249" s="2" t="s">
        <v>1028</v>
      </c>
      <c r="E249" s="2" t="s">
        <v>132</v>
      </c>
      <c r="F249" s="2" t="s">
        <v>38</v>
      </c>
      <c r="G249" s="5">
        <v>4662</v>
      </c>
      <c r="H249" s="5">
        <v>15</v>
      </c>
      <c r="I249" s="5">
        <v>3963</v>
      </c>
      <c r="J249" s="5">
        <v>2</v>
      </c>
      <c r="K249" s="2" t="s">
        <v>72</v>
      </c>
      <c r="L249" s="2" t="s">
        <v>73</v>
      </c>
      <c r="M249" s="4">
        <v>4.2</v>
      </c>
      <c r="N249" s="5">
        <v>137</v>
      </c>
      <c r="O249" s="3">
        <v>45782</v>
      </c>
      <c r="P249" s="2" t="s">
        <v>2391</v>
      </c>
      <c r="Q249" s="2" t="s">
        <v>29</v>
      </c>
      <c r="R249" s="2" t="s">
        <v>89</v>
      </c>
      <c r="S249" s="2" t="s">
        <v>90</v>
      </c>
      <c r="T249" s="2"/>
    </row>
    <row r="250" spans="1:20" ht="12.5" x14ac:dyDescent="0.25">
      <c r="A250" s="2" t="s">
        <v>1029</v>
      </c>
      <c r="B250" s="2" t="s">
        <v>1030</v>
      </c>
      <c r="C250" s="2" t="s">
        <v>1031</v>
      </c>
      <c r="D250" s="2" t="s">
        <v>1032</v>
      </c>
      <c r="E250" s="2" t="s">
        <v>24</v>
      </c>
      <c r="F250" s="2" t="s">
        <v>25</v>
      </c>
      <c r="G250" s="5">
        <v>4035</v>
      </c>
      <c r="H250" s="5">
        <v>15</v>
      </c>
      <c r="I250" s="5">
        <v>3430</v>
      </c>
      <c r="J250" s="5">
        <v>1</v>
      </c>
      <c r="K250" s="2" t="s">
        <v>26</v>
      </c>
      <c r="L250" s="2" t="s">
        <v>64</v>
      </c>
      <c r="M250" s="4">
        <v>4</v>
      </c>
      <c r="N250" s="5">
        <v>56</v>
      </c>
      <c r="O250" s="3">
        <v>45772</v>
      </c>
      <c r="P250" s="2" t="s">
        <v>2390</v>
      </c>
      <c r="Q250" s="2" t="s">
        <v>29</v>
      </c>
      <c r="R250" s="2" t="s">
        <v>104</v>
      </c>
      <c r="S250" s="2" t="s">
        <v>105</v>
      </c>
      <c r="T250" s="2"/>
    </row>
    <row r="251" spans="1:20" ht="12.5" x14ac:dyDescent="0.25">
      <c r="A251" s="2" t="s">
        <v>1033</v>
      </c>
      <c r="B251" s="2" t="s">
        <v>1034</v>
      </c>
      <c r="C251" s="2" t="s">
        <v>1035</v>
      </c>
      <c r="D251" s="2" t="s">
        <v>1036</v>
      </c>
      <c r="E251" s="2" t="s">
        <v>48</v>
      </c>
      <c r="F251" s="2" t="s">
        <v>25</v>
      </c>
      <c r="G251" s="5">
        <v>2661</v>
      </c>
      <c r="H251" s="5">
        <v>40</v>
      </c>
      <c r="I251" s="5">
        <v>1597</v>
      </c>
      <c r="J251" s="5">
        <v>1</v>
      </c>
      <c r="K251" s="2" t="s">
        <v>72</v>
      </c>
      <c r="L251" s="2" t="s">
        <v>168</v>
      </c>
      <c r="M251" s="4">
        <v>4.9000000000000004</v>
      </c>
      <c r="N251" s="5">
        <v>36</v>
      </c>
      <c r="O251" s="3">
        <v>45809</v>
      </c>
      <c r="P251" s="2" t="s">
        <v>2390</v>
      </c>
      <c r="Q251" s="2" t="s">
        <v>29</v>
      </c>
      <c r="R251" s="2" t="s">
        <v>104</v>
      </c>
      <c r="S251" s="2" t="s">
        <v>105</v>
      </c>
      <c r="T251" s="2"/>
    </row>
    <row r="252" spans="1:20" ht="12.5" x14ac:dyDescent="0.25">
      <c r="A252" s="2" t="s">
        <v>1037</v>
      </c>
      <c r="B252" s="2" t="s">
        <v>1038</v>
      </c>
      <c r="C252" s="2" t="s">
        <v>1039</v>
      </c>
      <c r="D252" s="2" t="s">
        <v>1040</v>
      </c>
      <c r="E252" s="2" t="s">
        <v>208</v>
      </c>
      <c r="F252" s="2" t="s">
        <v>117</v>
      </c>
      <c r="G252" s="5">
        <v>1342</v>
      </c>
      <c r="H252" s="5">
        <v>30</v>
      </c>
      <c r="I252" s="5">
        <v>940</v>
      </c>
      <c r="J252" s="5">
        <v>1</v>
      </c>
      <c r="K252" s="2">
        <v>40</v>
      </c>
      <c r="L252" s="2" t="s">
        <v>64</v>
      </c>
      <c r="M252" s="4">
        <v>4.2</v>
      </c>
      <c r="N252" s="5">
        <v>184</v>
      </c>
      <c r="O252" s="3">
        <v>45827</v>
      </c>
      <c r="P252" s="2" t="s">
        <v>2390</v>
      </c>
      <c r="Q252" s="2" t="s">
        <v>78</v>
      </c>
      <c r="R252" s="2" t="s">
        <v>185</v>
      </c>
      <c r="S252" s="2" t="s">
        <v>186</v>
      </c>
      <c r="T252" s="2"/>
    </row>
    <row r="253" spans="1:20" ht="12.5" x14ac:dyDescent="0.25">
      <c r="A253" s="2" t="s">
        <v>1041</v>
      </c>
      <c r="B253" s="2" t="s">
        <v>1042</v>
      </c>
      <c r="C253" s="2" t="s">
        <v>1043</v>
      </c>
      <c r="D253" s="2" t="s">
        <v>1044</v>
      </c>
      <c r="E253" s="2" t="s">
        <v>116</v>
      </c>
      <c r="F253" s="2" t="s">
        <v>117</v>
      </c>
      <c r="G253" s="5">
        <v>1841</v>
      </c>
      <c r="H253" s="5">
        <v>35</v>
      </c>
      <c r="I253" s="5">
        <v>1197</v>
      </c>
      <c r="J253" s="5">
        <v>2</v>
      </c>
      <c r="K253" s="2">
        <v>42</v>
      </c>
      <c r="L253" s="2" t="s">
        <v>88</v>
      </c>
      <c r="M253" s="4">
        <v>3.9</v>
      </c>
      <c r="N253" s="5">
        <v>102</v>
      </c>
      <c r="O253" s="3">
        <v>45807</v>
      </c>
      <c r="P253" s="2" t="s">
        <v>2391</v>
      </c>
      <c r="Q253" s="2" t="s">
        <v>78</v>
      </c>
      <c r="R253" s="2" t="s">
        <v>149</v>
      </c>
      <c r="S253" s="2" t="s">
        <v>150</v>
      </c>
      <c r="T253" s="2" t="s">
        <v>134</v>
      </c>
    </row>
    <row r="254" spans="1:20" ht="12.5" x14ac:dyDescent="0.25">
      <c r="A254" s="2" t="s">
        <v>1045</v>
      </c>
      <c r="B254" s="2" t="s">
        <v>1046</v>
      </c>
      <c r="C254" s="2" t="s">
        <v>1047</v>
      </c>
      <c r="D254" s="2" t="s">
        <v>1048</v>
      </c>
      <c r="E254" s="2" t="s">
        <v>122</v>
      </c>
      <c r="F254" s="2" t="s">
        <v>123</v>
      </c>
      <c r="G254" s="5">
        <v>3866</v>
      </c>
      <c r="H254" s="5">
        <v>15</v>
      </c>
      <c r="I254" s="5">
        <v>3287</v>
      </c>
      <c r="J254" s="5">
        <v>3</v>
      </c>
      <c r="K254" s="2" t="s">
        <v>56</v>
      </c>
      <c r="L254" s="2" t="s">
        <v>133</v>
      </c>
      <c r="M254" s="4">
        <v>3.8</v>
      </c>
      <c r="N254" s="5">
        <v>291</v>
      </c>
      <c r="O254" s="3">
        <v>45826</v>
      </c>
      <c r="P254" s="2" t="s">
        <v>2390</v>
      </c>
      <c r="Q254" s="2" t="s">
        <v>65</v>
      </c>
      <c r="R254" s="2" t="s">
        <v>110</v>
      </c>
      <c r="S254" s="2" t="s">
        <v>111</v>
      </c>
      <c r="T254" s="2"/>
    </row>
    <row r="255" spans="1:20" ht="12.5" x14ac:dyDescent="0.25">
      <c r="A255" s="2" t="s">
        <v>1049</v>
      </c>
      <c r="B255" s="2" t="s">
        <v>1050</v>
      </c>
      <c r="C255" s="2" t="s">
        <v>1051</v>
      </c>
      <c r="D255" s="2" t="s">
        <v>1052</v>
      </c>
      <c r="E255" s="2" t="s">
        <v>37</v>
      </c>
      <c r="F255" s="2" t="s">
        <v>38</v>
      </c>
      <c r="G255" s="5">
        <v>2558</v>
      </c>
      <c r="H255" s="5">
        <v>15</v>
      </c>
      <c r="I255" s="5">
        <v>2175</v>
      </c>
      <c r="J255" s="5">
        <v>3</v>
      </c>
      <c r="K255" s="2">
        <v>42</v>
      </c>
      <c r="L255" s="2" t="s">
        <v>27</v>
      </c>
      <c r="M255" s="4">
        <v>4.8</v>
      </c>
      <c r="N255" s="5">
        <v>124</v>
      </c>
      <c r="O255" s="3">
        <v>45828</v>
      </c>
      <c r="P255" s="2" t="s">
        <v>2391</v>
      </c>
      <c r="Q255" s="2" t="s">
        <v>78</v>
      </c>
      <c r="R255" s="2" t="s">
        <v>58</v>
      </c>
      <c r="S255" s="2" t="s">
        <v>59</v>
      </c>
      <c r="T255" s="2" t="s">
        <v>50</v>
      </c>
    </row>
    <row r="256" spans="1:20" ht="12.5" x14ac:dyDescent="0.25">
      <c r="A256" s="2" t="s">
        <v>1053</v>
      </c>
      <c r="B256" s="2" t="s">
        <v>1054</v>
      </c>
      <c r="C256" s="2" t="s">
        <v>1055</v>
      </c>
      <c r="D256" s="2" t="s">
        <v>1056</v>
      </c>
      <c r="E256" s="2" t="s">
        <v>208</v>
      </c>
      <c r="F256" s="2" t="s">
        <v>117</v>
      </c>
      <c r="G256" s="5">
        <v>3187</v>
      </c>
      <c r="H256" s="5">
        <v>30</v>
      </c>
      <c r="I256" s="5">
        <v>2231</v>
      </c>
      <c r="J256" s="5">
        <v>1</v>
      </c>
      <c r="K256" s="2">
        <v>42</v>
      </c>
      <c r="L256" s="2" t="s">
        <v>88</v>
      </c>
      <c r="M256" s="4">
        <v>4.5</v>
      </c>
      <c r="N256" s="5">
        <v>53</v>
      </c>
      <c r="O256" s="3">
        <v>45783</v>
      </c>
      <c r="P256" s="2" t="s">
        <v>2391</v>
      </c>
      <c r="Q256" s="2" t="s">
        <v>78</v>
      </c>
      <c r="R256" s="2" t="s">
        <v>104</v>
      </c>
      <c r="S256" s="2" t="s">
        <v>105</v>
      </c>
      <c r="T256" s="2" t="s">
        <v>43</v>
      </c>
    </row>
    <row r="257" spans="1:20" ht="12.5" x14ac:dyDescent="0.25">
      <c r="A257" s="2" t="s">
        <v>1057</v>
      </c>
      <c r="B257" s="2" t="s">
        <v>1058</v>
      </c>
      <c r="C257" s="2" t="s">
        <v>1059</v>
      </c>
      <c r="D257" s="2" t="s">
        <v>1060</v>
      </c>
      <c r="E257" s="2" t="s">
        <v>208</v>
      </c>
      <c r="F257" s="2" t="s">
        <v>117</v>
      </c>
      <c r="G257" s="5">
        <v>4741</v>
      </c>
      <c r="H257" s="5">
        <v>25</v>
      </c>
      <c r="I257" s="5">
        <v>3556</v>
      </c>
      <c r="J257" s="5">
        <v>1</v>
      </c>
      <c r="K257" s="2" t="s">
        <v>163</v>
      </c>
      <c r="L257" s="2" t="s">
        <v>209</v>
      </c>
      <c r="M257" s="4">
        <v>4.9000000000000004</v>
      </c>
      <c r="N257" s="5">
        <v>182</v>
      </c>
      <c r="O257" s="3">
        <v>45806</v>
      </c>
      <c r="P257" s="2" t="s">
        <v>2391</v>
      </c>
      <c r="Q257" s="2" t="s">
        <v>29</v>
      </c>
      <c r="R257" s="2" t="s">
        <v>66</v>
      </c>
      <c r="S257" s="2" t="s">
        <v>67</v>
      </c>
      <c r="T257" s="2" t="s">
        <v>43</v>
      </c>
    </row>
    <row r="258" spans="1:20" ht="12.5" x14ac:dyDescent="0.25">
      <c r="A258" s="2" t="s">
        <v>1061</v>
      </c>
      <c r="B258" s="2" t="s">
        <v>1062</v>
      </c>
      <c r="C258" s="2" t="s">
        <v>1063</v>
      </c>
      <c r="D258" s="2" t="s">
        <v>1064</v>
      </c>
      <c r="E258" s="2" t="s">
        <v>55</v>
      </c>
      <c r="F258" s="2" t="s">
        <v>38</v>
      </c>
      <c r="G258" s="5">
        <v>682</v>
      </c>
      <c r="H258" s="5">
        <v>10</v>
      </c>
      <c r="I258" s="5">
        <v>614</v>
      </c>
      <c r="J258" s="5">
        <v>3</v>
      </c>
      <c r="K258" s="2" t="s">
        <v>32</v>
      </c>
      <c r="L258" s="2" t="s">
        <v>168</v>
      </c>
      <c r="M258" s="4">
        <v>3.6</v>
      </c>
      <c r="N258" s="5">
        <v>232</v>
      </c>
      <c r="O258" s="3">
        <v>45847</v>
      </c>
      <c r="P258" s="2" t="s">
        <v>2391</v>
      </c>
      <c r="Q258" s="2" t="s">
        <v>29</v>
      </c>
      <c r="R258" s="2" t="s">
        <v>89</v>
      </c>
      <c r="S258" s="2" t="s">
        <v>90</v>
      </c>
      <c r="T258" s="2"/>
    </row>
    <row r="259" spans="1:20" ht="12.5" x14ac:dyDescent="0.25">
      <c r="A259" s="2" t="s">
        <v>1065</v>
      </c>
      <c r="B259" s="2" t="s">
        <v>816</v>
      </c>
      <c r="C259" s="2" t="s">
        <v>1066</v>
      </c>
      <c r="D259" s="2" t="s">
        <v>1067</v>
      </c>
      <c r="E259" s="2" t="s">
        <v>48</v>
      </c>
      <c r="F259" s="2" t="s">
        <v>25</v>
      </c>
      <c r="G259" s="5">
        <v>716</v>
      </c>
      <c r="H259" s="5">
        <v>40</v>
      </c>
      <c r="I259" s="5">
        <v>430</v>
      </c>
      <c r="J259" s="5">
        <v>1</v>
      </c>
      <c r="K259" s="2">
        <v>42</v>
      </c>
      <c r="L259" s="2" t="s">
        <v>39</v>
      </c>
      <c r="M259" s="4">
        <v>3.6</v>
      </c>
      <c r="N259" s="5">
        <v>105</v>
      </c>
      <c r="O259" s="3">
        <v>45856</v>
      </c>
      <c r="P259" s="2" t="s">
        <v>2390</v>
      </c>
      <c r="Q259" s="2" t="s">
        <v>65</v>
      </c>
      <c r="R259" s="2" t="s">
        <v>83</v>
      </c>
      <c r="S259" s="2" t="s">
        <v>83</v>
      </c>
      <c r="T259" s="2"/>
    </row>
    <row r="260" spans="1:20" ht="12.5" x14ac:dyDescent="0.25">
      <c r="A260" s="2" t="s">
        <v>1068</v>
      </c>
      <c r="B260" s="2" t="s">
        <v>1069</v>
      </c>
      <c r="C260" s="2" t="s">
        <v>1070</v>
      </c>
      <c r="D260" s="2" t="s">
        <v>1071</v>
      </c>
      <c r="E260" s="2" t="s">
        <v>147</v>
      </c>
      <c r="F260" s="2" t="s">
        <v>148</v>
      </c>
      <c r="G260" s="5">
        <v>4526</v>
      </c>
      <c r="H260" s="5">
        <v>20</v>
      </c>
      <c r="I260" s="5">
        <v>3621</v>
      </c>
      <c r="J260" s="5">
        <v>2</v>
      </c>
      <c r="K260" s="2">
        <v>40</v>
      </c>
      <c r="L260" s="2" t="s">
        <v>39</v>
      </c>
      <c r="M260" s="4">
        <v>4.3</v>
      </c>
      <c r="N260" s="5">
        <v>218</v>
      </c>
      <c r="O260" s="3">
        <v>45779</v>
      </c>
      <c r="P260" s="2" t="s">
        <v>2390</v>
      </c>
      <c r="Q260" s="2" t="s">
        <v>65</v>
      </c>
      <c r="R260" s="2" t="s">
        <v>110</v>
      </c>
      <c r="S260" s="2" t="s">
        <v>111</v>
      </c>
      <c r="T260" s="2"/>
    </row>
    <row r="261" spans="1:20" ht="12.5" x14ac:dyDescent="0.25">
      <c r="A261" s="2" t="s">
        <v>1072</v>
      </c>
      <c r="B261" s="2" t="s">
        <v>1073</v>
      </c>
      <c r="C261" s="2" t="s">
        <v>1074</v>
      </c>
      <c r="D261" s="2" t="s">
        <v>1075</v>
      </c>
      <c r="E261" s="2" t="s">
        <v>247</v>
      </c>
      <c r="F261" s="2" t="s">
        <v>248</v>
      </c>
      <c r="G261" s="5">
        <v>3434</v>
      </c>
      <c r="H261" s="5">
        <v>35</v>
      </c>
      <c r="I261" s="5">
        <v>2233</v>
      </c>
      <c r="J261" s="5">
        <v>1</v>
      </c>
      <c r="K261" s="2">
        <v>42</v>
      </c>
      <c r="L261" s="2" t="s">
        <v>73</v>
      </c>
      <c r="M261" s="4">
        <v>4.5</v>
      </c>
      <c r="N261" s="5">
        <v>61</v>
      </c>
      <c r="O261" s="3">
        <v>45795</v>
      </c>
      <c r="P261" s="2" t="s">
        <v>2391</v>
      </c>
      <c r="Q261" s="2" t="s">
        <v>78</v>
      </c>
      <c r="R261" s="2" t="s">
        <v>66</v>
      </c>
      <c r="S261" s="2" t="s">
        <v>67</v>
      </c>
      <c r="T261" s="2" t="s">
        <v>50</v>
      </c>
    </row>
    <row r="262" spans="1:20" ht="12.5" x14ac:dyDescent="0.25">
      <c r="A262" s="2" t="s">
        <v>1076</v>
      </c>
      <c r="B262" s="2" t="s">
        <v>1077</v>
      </c>
      <c r="C262" s="2" t="s">
        <v>1078</v>
      </c>
      <c r="D262" s="2" t="s">
        <v>1079</v>
      </c>
      <c r="E262" s="2" t="s">
        <v>116</v>
      </c>
      <c r="F262" s="2" t="s">
        <v>117</v>
      </c>
      <c r="G262" s="5">
        <v>971</v>
      </c>
      <c r="H262" s="5">
        <v>40</v>
      </c>
      <c r="I262" s="5">
        <v>583</v>
      </c>
      <c r="J262" s="5">
        <v>1</v>
      </c>
      <c r="K262" s="2">
        <v>42</v>
      </c>
      <c r="L262" s="2" t="s">
        <v>39</v>
      </c>
      <c r="M262" s="4">
        <v>4.0999999999999996</v>
      </c>
      <c r="N262" s="5">
        <v>28</v>
      </c>
      <c r="O262" s="3">
        <v>45790</v>
      </c>
      <c r="P262" s="2" t="s">
        <v>2390</v>
      </c>
      <c r="Q262" s="2" t="s">
        <v>65</v>
      </c>
      <c r="R262" s="2" t="s">
        <v>41</v>
      </c>
      <c r="S262" s="2" t="s">
        <v>42</v>
      </c>
      <c r="T262" s="2"/>
    </row>
    <row r="263" spans="1:20" ht="12.5" x14ac:dyDescent="0.25">
      <c r="A263" s="2" t="s">
        <v>1080</v>
      </c>
      <c r="B263" s="2" t="s">
        <v>1081</v>
      </c>
      <c r="C263" s="2" t="s">
        <v>1082</v>
      </c>
      <c r="D263" s="2" t="s">
        <v>1083</v>
      </c>
      <c r="E263" s="2" t="s">
        <v>122</v>
      </c>
      <c r="F263" s="2" t="s">
        <v>123</v>
      </c>
      <c r="G263" s="5">
        <v>747</v>
      </c>
      <c r="H263" s="5">
        <v>10</v>
      </c>
      <c r="I263" s="5">
        <v>673</v>
      </c>
      <c r="J263" s="5">
        <v>3</v>
      </c>
      <c r="K263" s="2" t="s">
        <v>163</v>
      </c>
      <c r="L263" s="2" t="s">
        <v>73</v>
      </c>
      <c r="M263" s="4">
        <v>3.8</v>
      </c>
      <c r="N263" s="5">
        <v>278</v>
      </c>
      <c r="O263" s="3">
        <v>45842</v>
      </c>
      <c r="P263" s="2" t="s">
        <v>2392</v>
      </c>
      <c r="Q263" s="2" t="s">
        <v>29</v>
      </c>
      <c r="R263" s="2" t="s">
        <v>41</v>
      </c>
      <c r="S263" s="2" t="s">
        <v>42</v>
      </c>
      <c r="T263" s="2"/>
    </row>
    <row r="264" spans="1:20" ht="12.5" x14ac:dyDescent="0.25">
      <c r="A264" s="2" t="s">
        <v>1084</v>
      </c>
      <c r="B264" s="2" t="s">
        <v>244</v>
      </c>
      <c r="C264" s="2" t="s">
        <v>1085</v>
      </c>
      <c r="D264" s="2" t="s">
        <v>1086</v>
      </c>
      <c r="E264" s="2" t="s">
        <v>37</v>
      </c>
      <c r="F264" s="2" t="s">
        <v>38</v>
      </c>
      <c r="G264" s="5">
        <v>2286</v>
      </c>
      <c r="H264" s="5">
        <v>15</v>
      </c>
      <c r="I264" s="5">
        <v>1944</v>
      </c>
      <c r="J264" s="5">
        <v>3</v>
      </c>
      <c r="K264" s="2" t="s">
        <v>261</v>
      </c>
      <c r="L264" s="2" t="s">
        <v>27</v>
      </c>
      <c r="M264" s="4">
        <v>4.4000000000000004</v>
      </c>
      <c r="N264" s="5">
        <v>174</v>
      </c>
      <c r="O264" s="3">
        <v>45784</v>
      </c>
      <c r="P264" s="2" t="s">
        <v>2391</v>
      </c>
      <c r="Q264" s="2" t="s">
        <v>78</v>
      </c>
      <c r="R264" s="2" t="s">
        <v>89</v>
      </c>
      <c r="S264" s="2" t="s">
        <v>90</v>
      </c>
      <c r="T264" s="2"/>
    </row>
    <row r="265" spans="1:20" ht="12.5" x14ac:dyDescent="0.25">
      <c r="A265" s="2" t="s">
        <v>1087</v>
      </c>
      <c r="B265" s="2" t="s">
        <v>1018</v>
      </c>
      <c r="C265" s="2" t="s">
        <v>1088</v>
      </c>
      <c r="D265" s="2" t="s">
        <v>1089</v>
      </c>
      <c r="E265" s="2" t="s">
        <v>48</v>
      </c>
      <c r="F265" s="2" t="s">
        <v>25</v>
      </c>
      <c r="G265" s="5">
        <v>940</v>
      </c>
      <c r="H265" s="5">
        <v>15</v>
      </c>
      <c r="I265" s="5">
        <v>799</v>
      </c>
      <c r="J265" s="5">
        <v>1</v>
      </c>
      <c r="K265" s="2">
        <v>42</v>
      </c>
      <c r="L265" s="2" t="s">
        <v>209</v>
      </c>
      <c r="M265" s="4">
        <v>4.0999999999999996</v>
      </c>
      <c r="N265" s="5">
        <v>224</v>
      </c>
      <c r="O265" s="3">
        <v>45844</v>
      </c>
      <c r="P265" s="2" t="s">
        <v>2392</v>
      </c>
      <c r="Q265" s="2" t="s">
        <v>29</v>
      </c>
      <c r="R265" s="2" t="s">
        <v>149</v>
      </c>
      <c r="S265" s="2" t="s">
        <v>150</v>
      </c>
      <c r="T265" s="2"/>
    </row>
    <row r="266" spans="1:20" ht="12.5" x14ac:dyDescent="0.25">
      <c r="A266" s="2" t="s">
        <v>1090</v>
      </c>
      <c r="B266" s="2" t="s">
        <v>1091</v>
      </c>
      <c r="C266" s="2" t="s">
        <v>1092</v>
      </c>
      <c r="D266" s="2" t="s">
        <v>1093</v>
      </c>
      <c r="E266" s="2" t="s">
        <v>37</v>
      </c>
      <c r="F266" s="2" t="s">
        <v>38</v>
      </c>
      <c r="G266" s="5">
        <v>3219</v>
      </c>
      <c r="H266" s="5">
        <v>35</v>
      </c>
      <c r="I266" s="5">
        <v>2093</v>
      </c>
      <c r="J266" s="5">
        <v>1</v>
      </c>
      <c r="K266" s="2">
        <v>42</v>
      </c>
      <c r="L266" s="2" t="s">
        <v>209</v>
      </c>
      <c r="M266" s="4">
        <v>4.9000000000000004</v>
      </c>
      <c r="N266" s="5">
        <v>256</v>
      </c>
      <c r="O266" s="3">
        <v>45844</v>
      </c>
      <c r="P266" s="2" t="s">
        <v>2391</v>
      </c>
      <c r="Q266" s="2" t="s">
        <v>78</v>
      </c>
      <c r="R266" s="2" t="s">
        <v>110</v>
      </c>
      <c r="S266" s="2" t="s">
        <v>111</v>
      </c>
      <c r="T266" s="2" t="s">
        <v>203</v>
      </c>
    </row>
    <row r="267" spans="1:20" ht="12.5" x14ac:dyDescent="0.25">
      <c r="A267" s="2" t="s">
        <v>1094</v>
      </c>
      <c r="B267" s="2" t="s">
        <v>566</v>
      </c>
      <c r="C267" s="2" t="s">
        <v>1095</v>
      </c>
      <c r="D267" s="2" t="s">
        <v>1096</v>
      </c>
      <c r="E267" s="2" t="s">
        <v>147</v>
      </c>
      <c r="F267" s="2" t="s">
        <v>148</v>
      </c>
      <c r="G267" s="5">
        <v>4537</v>
      </c>
      <c r="H267" s="5">
        <v>30</v>
      </c>
      <c r="I267" s="5">
        <v>3176</v>
      </c>
      <c r="J267" s="5">
        <v>3</v>
      </c>
      <c r="K267" s="2" t="s">
        <v>163</v>
      </c>
      <c r="L267" s="2" t="s">
        <v>88</v>
      </c>
      <c r="M267" s="4">
        <v>3.9</v>
      </c>
      <c r="N267" s="5">
        <v>278</v>
      </c>
      <c r="O267" s="3">
        <v>45779</v>
      </c>
      <c r="P267" s="2" t="s">
        <v>2391</v>
      </c>
      <c r="Q267" s="2" t="s">
        <v>65</v>
      </c>
      <c r="R267" s="2" t="s">
        <v>58</v>
      </c>
      <c r="S267" s="2" t="s">
        <v>59</v>
      </c>
      <c r="T267" s="2" t="s">
        <v>43</v>
      </c>
    </row>
    <row r="268" spans="1:20" ht="12.5" x14ac:dyDescent="0.25">
      <c r="A268" s="2" t="s">
        <v>1097</v>
      </c>
      <c r="B268" s="2" t="s">
        <v>1098</v>
      </c>
      <c r="C268" s="2" t="s">
        <v>1099</v>
      </c>
      <c r="D268" s="2" t="s">
        <v>1100</v>
      </c>
      <c r="E268" s="2" t="s">
        <v>247</v>
      </c>
      <c r="F268" s="2" t="s">
        <v>248</v>
      </c>
      <c r="G268" s="5">
        <v>2554</v>
      </c>
      <c r="H268" s="5">
        <v>20</v>
      </c>
      <c r="I268" s="5">
        <v>2044</v>
      </c>
      <c r="J268" s="5">
        <v>1</v>
      </c>
      <c r="K268" s="2">
        <v>44</v>
      </c>
      <c r="L268" s="2" t="s">
        <v>133</v>
      </c>
      <c r="M268" s="4">
        <v>4.3</v>
      </c>
      <c r="N268" s="5">
        <v>289</v>
      </c>
      <c r="O268" s="3">
        <v>45823</v>
      </c>
      <c r="P268" s="2" t="s">
        <v>2392</v>
      </c>
      <c r="Q268" s="2" t="s">
        <v>65</v>
      </c>
      <c r="R268" s="2" t="s">
        <v>104</v>
      </c>
      <c r="S268" s="2" t="s">
        <v>105</v>
      </c>
      <c r="T268" s="2"/>
    </row>
    <row r="269" spans="1:20" ht="12.5" x14ac:dyDescent="0.25">
      <c r="A269" s="2" t="s">
        <v>1101</v>
      </c>
      <c r="B269" s="2" t="s">
        <v>1102</v>
      </c>
      <c r="C269" s="2" t="s">
        <v>1103</v>
      </c>
      <c r="D269" s="2" t="s">
        <v>1104</v>
      </c>
      <c r="E269" s="2" t="s">
        <v>208</v>
      </c>
      <c r="F269" s="2" t="s">
        <v>117</v>
      </c>
      <c r="G269" s="5">
        <v>1899</v>
      </c>
      <c r="H269" s="5">
        <v>10</v>
      </c>
      <c r="I269" s="5">
        <v>1710</v>
      </c>
      <c r="J269" s="5">
        <v>2</v>
      </c>
      <c r="K269" s="2" t="s">
        <v>226</v>
      </c>
      <c r="L269" s="2" t="s">
        <v>27</v>
      </c>
      <c r="M269" s="4">
        <v>4</v>
      </c>
      <c r="N269" s="5">
        <v>211</v>
      </c>
      <c r="O269" s="3">
        <v>45794</v>
      </c>
      <c r="P269" s="2" t="s">
        <v>2390</v>
      </c>
      <c r="Q269" s="2" t="s">
        <v>78</v>
      </c>
      <c r="R269" s="2" t="s">
        <v>83</v>
      </c>
      <c r="S269" s="2" t="s">
        <v>83</v>
      </c>
      <c r="T269" s="2"/>
    </row>
    <row r="270" spans="1:20" ht="12.5" x14ac:dyDescent="0.25">
      <c r="A270" s="2" t="s">
        <v>1105</v>
      </c>
      <c r="B270" s="2" t="s">
        <v>761</v>
      </c>
      <c r="C270" s="2" t="s">
        <v>1106</v>
      </c>
      <c r="D270" s="2" t="s">
        <v>1107</v>
      </c>
      <c r="E270" s="2" t="s">
        <v>48</v>
      </c>
      <c r="F270" s="2" t="s">
        <v>25</v>
      </c>
      <c r="G270" s="5">
        <v>4533</v>
      </c>
      <c r="H270" s="5">
        <v>20</v>
      </c>
      <c r="I270" s="5">
        <v>3627</v>
      </c>
      <c r="J270" s="5">
        <v>1</v>
      </c>
      <c r="K270" s="2">
        <v>44</v>
      </c>
      <c r="L270" s="2" t="s">
        <v>64</v>
      </c>
      <c r="M270" s="4">
        <v>4.3</v>
      </c>
      <c r="N270" s="5">
        <v>276</v>
      </c>
      <c r="O270" s="3">
        <v>45827</v>
      </c>
      <c r="P270" s="2" t="s">
        <v>2392</v>
      </c>
      <c r="Q270" s="2" t="s">
        <v>78</v>
      </c>
      <c r="R270" s="2" t="s">
        <v>83</v>
      </c>
      <c r="S270" s="2" t="s">
        <v>83</v>
      </c>
      <c r="T270" s="2"/>
    </row>
    <row r="271" spans="1:20" ht="12.5" x14ac:dyDescent="0.25">
      <c r="A271" s="2" t="s">
        <v>1108</v>
      </c>
      <c r="B271" s="2" t="s">
        <v>1109</v>
      </c>
      <c r="C271" s="2" t="s">
        <v>1110</v>
      </c>
      <c r="D271" s="2" t="s">
        <v>1111</v>
      </c>
      <c r="E271" s="2" t="s">
        <v>122</v>
      </c>
      <c r="F271" s="2" t="s">
        <v>123</v>
      </c>
      <c r="G271" s="5">
        <v>3743</v>
      </c>
      <c r="H271" s="5">
        <v>20</v>
      </c>
      <c r="I271" s="5">
        <v>2995</v>
      </c>
      <c r="J271" s="5">
        <v>3</v>
      </c>
      <c r="K271" s="2" t="s">
        <v>26</v>
      </c>
      <c r="L271" s="2" t="s">
        <v>49</v>
      </c>
      <c r="M271" s="4">
        <v>3.9</v>
      </c>
      <c r="N271" s="5">
        <v>259</v>
      </c>
      <c r="O271" s="3">
        <v>45775</v>
      </c>
      <c r="P271" s="2" t="s">
        <v>2391</v>
      </c>
      <c r="Q271" s="2" t="s">
        <v>78</v>
      </c>
      <c r="R271" s="2" t="s">
        <v>149</v>
      </c>
      <c r="S271" s="2" t="s">
        <v>150</v>
      </c>
      <c r="T271" s="2" t="s">
        <v>134</v>
      </c>
    </row>
    <row r="272" spans="1:20" ht="12.5" x14ac:dyDescent="0.25">
      <c r="A272" s="2" t="s">
        <v>1112</v>
      </c>
      <c r="B272" s="2" t="s">
        <v>412</v>
      </c>
      <c r="C272" s="2" t="s">
        <v>1113</v>
      </c>
      <c r="D272" s="2" t="s">
        <v>1114</v>
      </c>
      <c r="E272" s="2" t="s">
        <v>55</v>
      </c>
      <c r="F272" s="2" t="s">
        <v>38</v>
      </c>
      <c r="G272" s="5">
        <v>4585</v>
      </c>
      <c r="H272" s="5">
        <v>15</v>
      </c>
      <c r="I272" s="5">
        <v>3898</v>
      </c>
      <c r="J272" s="5">
        <v>1</v>
      </c>
      <c r="K272" s="2" t="s">
        <v>26</v>
      </c>
      <c r="L272" s="2" t="s">
        <v>103</v>
      </c>
      <c r="M272" s="4">
        <v>4.5999999999999996</v>
      </c>
      <c r="N272" s="5">
        <v>54</v>
      </c>
      <c r="O272" s="3">
        <v>45783</v>
      </c>
      <c r="P272" s="2" t="s">
        <v>2392</v>
      </c>
      <c r="Q272" s="2" t="s">
        <v>78</v>
      </c>
      <c r="R272" s="2" t="s">
        <v>104</v>
      </c>
      <c r="S272" s="2" t="s">
        <v>105</v>
      </c>
      <c r="T272" s="2"/>
    </row>
    <row r="273" spans="1:20" ht="12.5" x14ac:dyDescent="0.25">
      <c r="A273" s="2" t="s">
        <v>1115</v>
      </c>
      <c r="B273" s="2" t="s">
        <v>1116</v>
      </c>
      <c r="C273" s="2" t="s">
        <v>1117</v>
      </c>
      <c r="D273" s="2" t="s">
        <v>1118</v>
      </c>
      <c r="E273" s="2" t="s">
        <v>147</v>
      </c>
      <c r="F273" s="2" t="s">
        <v>148</v>
      </c>
      <c r="G273" s="5">
        <v>2298</v>
      </c>
      <c r="H273" s="5">
        <v>40</v>
      </c>
      <c r="I273" s="5">
        <v>1379</v>
      </c>
      <c r="J273" s="5">
        <v>2</v>
      </c>
      <c r="K273" s="2">
        <v>44</v>
      </c>
      <c r="L273" s="2" t="s">
        <v>88</v>
      </c>
      <c r="M273" s="4">
        <v>4.7</v>
      </c>
      <c r="N273" s="5">
        <v>151</v>
      </c>
      <c r="O273" s="3">
        <v>45828</v>
      </c>
      <c r="P273" s="2" t="s">
        <v>2392</v>
      </c>
      <c r="Q273" s="2" t="s">
        <v>29</v>
      </c>
      <c r="R273" s="2" t="s">
        <v>104</v>
      </c>
      <c r="S273" s="2" t="s">
        <v>105</v>
      </c>
      <c r="T273" s="2"/>
    </row>
    <row r="274" spans="1:20" ht="12.5" x14ac:dyDescent="0.25">
      <c r="A274" s="2" t="s">
        <v>1119</v>
      </c>
      <c r="B274" s="2" t="s">
        <v>905</v>
      </c>
      <c r="C274" s="2" t="s">
        <v>1120</v>
      </c>
      <c r="D274" s="2" t="s">
        <v>1121</v>
      </c>
      <c r="E274" s="2" t="s">
        <v>48</v>
      </c>
      <c r="F274" s="2" t="s">
        <v>25</v>
      </c>
      <c r="G274" s="5">
        <v>2967</v>
      </c>
      <c r="H274" s="5">
        <v>10</v>
      </c>
      <c r="I274" s="5">
        <v>2671</v>
      </c>
      <c r="J274" s="5">
        <v>1</v>
      </c>
      <c r="K274" s="2">
        <v>44</v>
      </c>
      <c r="L274" s="2" t="s">
        <v>133</v>
      </c>
      <c r="M274" s="4">
        <v>4.0999999999999996</v>
      </c>
      <c r="N274" s="5">
        <v>25</v>
      </c>
      <c r="O274" s="3">
        <v>45807</v>
      </c>
      <c r="P274" s="2" t="s">
        <v>2391</v>
      </c>
      <c r="Q274" s="2" t="s">
        <v>65</v>
      </c>
      <c r="R274" s="2" t="s">
        <v>89</v>
      </c>
      <c r="S274" s="2" t="s">
        <v>90</v>
      </c>
      <c r="T274" s="2" t="s">
        <v>50</v>
      </c>
    </row>
    <row r="275" spans="1:20" ht="12.5" x14ac:dyDescent="0.25">
      <c r="A275" s="2" t="s">
        <v>1122</v>
      </c>
      <c r="B275" s="2" t="s">
        <v>1007</v>
      </c>
      <c r="C275" s="2" t="s">
        <v>1123</v>
      </c>
      <c r="D275" s="2" t="s">
        <v>1124</v>
      </c>
      <c r="E275" s="2" t="s">
        <v>48</v>
      </c>
      <c r="F275" s="2" t="s">
        <v>25</v>
      </c>
      <c r="G275" s="5">
        <v>2974</v>
      </c>
      <c r="H275" s="5">
        <v>35</v>
      </c>
      <c r="I275" s="5">
        <v>1934</v>
      </c>
      <c r="J275" s="5">
        <v>1</v>
      </c>
      <c r="K275" s="2" t="s">
        <v>26</v>
      </c>
      <c r="L275" s="2" t="s">
        <v>73</v>
      </c>
      <c r="M275" s="4">
        <v>5</v>
      </c>
      <c r="N275" s="5">
        <v>258</v>
      </c>
      <c r="O275" s="3">
        <v>45856</v>
      </c>
      <c r="P275" s="2" t="s">
        <v>2390</v>
      </c>
      <c r="Q275" s="2" t="s">
        <v>65</v>
      </c>
      <c r="R275" s="2" t="s">
        <v>41</v>
      </c>
      <c r="S275" s="2" t="s">
        <v>42</v>
      </c>
      <c r="T275" s="2"/>
    </row>
    <row r="276" spans="1:20" ht="12.5" x14ac:dyDescent="0.25">
      <c r="A276" s="2" t="s">
        <v>1125</v>
      </c>
      <c r="B276" s="2" t="s">
        <v>648</v>
      </c>
      <c r="C276" s="2" t="s">
        <v>1126</v>
      </c>
      <c r="D276" s="2" t="s">
        <v>1127</v>
      </c>
      <c r="E276" s="2" t="s">
        <v>132</v>
      </c>
      <c r="F276" s="2" t="s">
        <v>38</v>
      </c>
      <c r="G276" s="5">
        <v>4386</v>
      </c>
      <c r="H276" s="5">
        <v>10</v>
      </c>
      <c r="I276" s="5">
        <v>3948</v>
      </c>
      <c r="J276" s="5">
        <v>3</v>
      </c>
      <c r="K276" s="2" t="s">
        <v>26</v>
      </c>
      <c r="L276" s="2" t="s">
        <v>88</v>
      </c>
      <c r="M276" s="4">
        <v>3.9</v>
      </c>
      <c r="N276" s="5">
        <v>100</v>
      </c>
      <c r="O276" s="3">
        <v>45835</v>
      </c>
      <c r="P276" s="2" t="s">
        <v>2392</v>
      </c>
      <c r="Q276" s="2" t="s">
        <v>29</v>
      </c>
      <c r="R276" s="2" t="s">
        <v>83</v>
      </c>
      <c r="S276" s="2" t="s">
        <v>83</v>
      </c>
      <c r="T276" s="2"/>
    </row>
    <row r="277" spans="1:20" ht="12.5" x14ac:dyDescent="0.25">
      <c r="A277" s="2" t="s">
        <v>1128</v>
      </c>
      <c r="B277" s="2" t="s">
        <v>736</v>
      </c>
      <c r="C277" s="2" t="s">
        <v>1129</v>
      </c>
      <c r="D277" s="2" t="s">
        <v>1130</v>
      </c>
      <c r="E277" s="2" t="s">
        <v>147</v>
      </c>
      <c r="F277" s="2" t="s">
        <v>148</v>
      </c>
      <c r="G277" s="5">
        <v>3509</v>
      </c>
      <c r="H277" s="5">
        <v>40</v>
      </c>
      <c r="I277" s="5">
        <v>2106</v>
      </c>
      <c r="J277" s="5">
        <v>1</v>
      </c>
      <c r="K277" s="2" t="s">
        <v>32</v>
      </c>
      <c r="L277" s="2" t="s">
        <v>49</v>
      </c>
      <c r="M277" s="4">
        <v>4</v>
      </c>
      <c r="N277" s="5">
        <v>269</v>
      </c>
      <c r="O277" s="3">
        <v>45851</v>
      </c>
      <c r="P277" s="2" t="s">
        <v>2391</v>
      </c>
      <c r="Q277" s="2" t="s">
        <v>65</v>
      </c>
      <c r="R277" s="2" t="s">
        <v>66</v>
      </c>
      <c r="S277" s="2" t="s">
        <v>67</v>
      </c>
      <c r="T277" s="2" t="s">
        <v>134</v>
      </c>
    </row>
    <row r="278" spans="1:20" ht="12.5" x14ac:dyDescent="0.25">
      <c r="A278" s="2" t="s">
        <v>1131</v>
      </c>
      <c r="B278" s="2" t="s">
        <v>1132</v>
      </c>
      <c r="C278" s="2" t="s">
        <v>1133</v>
      </c>
      <c r="D278" s="2" t="s">
        <v>1134</v>
      </c>
      <c r="E278" s="2" t="s">
        <v>208</v>
      </c>
      <c r="F278" s="2" t="s">
        <v>117</v>
      </c>
      <c r="G278" s="5">
        <v>2481</v>
      </c>
      <c r="H278" s="5">
        <v>20</v>
      </c>
      <c r="I278" s="5">
        <v>1985</v>
      </c>
      <c r="J278" s="5">
        <v>2</v>
      </c>
      <c r="K278" s="2" t="s">
        <v>32</v>
      </c>
      <c r="L278" s="2" t="s">
        <v>39</v>
      </c>
      <c r="M278" s="4">
        <v>4.2</v>
      </c>
      <c r="N278" s="5">
        <v>35</v>
      </c>
      <c r="O278" s="3">
        <v>45813</v>
      </c>
      <c r="P278" s="2" t="s">
        <v>2392</v>
      </c>
      <c r="Q278" s="2" t="s">
        <v>78</v>
      </c>
      <c r="R278" s="2" t="s">
        <v>185</v>
      </c>
      <c r="S278" s="2" t="s">
        <v>186</v>
      </c>
      <c r="T278" s="2"/>
    </row>
    <row r="279" spans="1:20" ht="12.5" x14ac:dyDescent="0.25">
      <c r="A279" s="2" t="s">
        <v>1135</v>
      </c>
      <c r="B279" s="2" t="s">
        <v>1136</v>
      </c>
      <c r="C279" s="2" t="s">
        <v>1137</v>
      </c>
      <c r="D279" s="2" t="s">
        <v>1138</v>
      </c>
      <c r="E279" s="2" t="s">
        <v>116</v>
      </c>
      <c r="F279" s="2" t="s">
        <v>117</v>
      </c>
      <c r="G279" s="5">
        <v>3198</v>
      </c>
      <c r="H279" s="5">
        <v>20</v>
      </c>
      <c r="I279" s="5">
        <v>2559</v>
      </c>
      <c r="J279" s="5">
        <v>1</v>
      </c>
      <c r="K279" s="2" t="s">
        <v>26</v>
      </c>
      <c r="L279" s="2" t="s">
        <v>209</v>
      </c>
      <c r="M279" s="4">
        <v>5</v>
      </c>
      <c r="N279" s="5">
        <v>240</v>
      </c>
      <c r="O279" s="3">
        <v>45852</v>
      </c>
      <c r="P279" s="2" t="s">
        <v>2391</v>
      </c>
      <c r="Q279" s="2" t="s">
        <v>65</v>
      </c>
      <c r="R279" s="2" t="s">
        <v>66</v>
      </c>
      <c r="S279" s="2" t="s">
        <v>67</v>
      </c>
      <c r="T279" s="2" t="s">
        <v>134</v>
      </c>
    </row>
    <row r="280" spans="1:20" ht="12.5" x14ac:dyDescent="0.25">
      <c r="A280" s="2" t="s">
        <v>1139</v>
      </c>
      <c r="B280" s="2" t="s">
        <v>1140</v>
      </c>
      <c r="C280" s="2" t="s">
        <v>1141</v>
      </c>
      <c r="D280" s="2" t="s">
        <v>1142</v>
      </c>
      <c r="E280" s="2" t="s">
        <v>24</v>
      </c>
      <c r="F280" s="2" t="s">
        <v>25</v>
      </c>
      <c r="G280" s="5">
        <v>1964</v>
      </c>
      <c r="H280" s="5">
        <v>10</v>
      </c>
      <c r="I280" s="5">
        <v>1768</v>
      </c>
      <c r="J280" s="5">
        <v>1</v>
      </c>
      <c r="K280" s="2" t="s">
        <v>72</v>
      </c>
      <c r="L280" s="2" t="s">
        <v>49</v>
      </c>
      <c r="M280" s="4">
        <v>4.2</v>
      </c>
      <c r="N280" s="5">
        <v>246</v>
      </c>
      <c r="O280" s="3">
        <v>45783</v>
      </c>
      <c r="P280" s="2" t="s">
        <v>2392</v>
      </c>
      <c r="Q280" s="2" t="s">
        <v>29</v>
      </c>
      <c r="R280" s="2" t="s">
        <v>41</v>
      </c>
      <c r="S280" s="2" t="s">
        <v>42</v>
      </c>
      <c r="T280" s="2"/>
    </row>
    <row r="281" spans="1:20" ht="12.5" x14ac:dyDescent="0.25">
      <c r="A281" s="2" t="s">
        <v>1143</v>
      </c>
      <c r="B281" s="2" t="s">
        <v>736</v>
      </c>
      <c r="C281" s="2" t="s">
        <v>1144</v>
      </c>
      <c r="D281" s="2" t="s">
        <v>1145</v>
      </c>
      <c r="E281" s="2" t="s">
        <v>48</v>
      </c>
      <c r="F281" s="2" t="s">
        <v>25</v>
      </c>
      <c r="G281" s="5">
        <v>2326</v>
      </c>
      <c r="H281" s="5">
        <v>20</v>
      </c>
      <c r="I281" s="5">
        <v>1861</v>
      </c>
      <c r="J281" s="5">
        <v>3</v>
      </c>
      <c r="K281" s="2">
        <v>40</v>
      </c>
      <c r="L281" s="2" t="s">
        <v>73</v>
      </c>
      <c r="M281" s="4">
        <v>4.5999999999999996</v>
      </c>
      <c r="N281" s="5">
        <v>72</v>
      </c>
      <c r="O281" s="3">
        <v>45823</v>
      </c>
      <c r="P281" s="2" t="s">
        <v>2390</v>
      </c>
      <c r="Q281" s="2" t="s">
        <v>78</v>
      </c>
      <c r="R281" s="2" t="s">
        <v>89</v>
      </c>
      <c r="S281" s="2" t="s">
        <v>90</v>
      </c>
      <c r="T281" s="2"/>
    </row>
    <row r="282" spans="1:20" ht="12.5" x14ac:dyDescent="0.25">
      <c r="A282" s="2" t="s">
        <v>1146</v>
      </c>
      <c r="B282" s="2" t="s">
        <v>1147</v>
      </c>
      <c r="C282" s="2" t="s">
        <v>1148</v>
      </c>
      <c r="D282" s="2" t="s">
        <v>1149</v>
      </c>
      <c r="E282" s="2" t="s">
        <v>122</v>
      </c>
      <c r="F282" s="2" t="s">
        <v>123</v>
      </c>
      <c r="G282" s="5">
        <v>1729</v>
      </c>
      <c r="H282" s="5">
        <v>25</v>
      </c>
      <c r="I282" s="5">
        <v>1297</v>
      </c>
      <c r="J282" s="5">
        <v>1</v>
      </c>
      <c r="K282" s="2" t="s">
        <v>72</v>
      </c>
      <c r="L282" s="2" t="s">
        <v>64</v>
      </c>
      <c r="M282" s="4">
        <v>4.7</v>
      </c>
      <c r="N282" s="5">
        <v>81</v>
      </c>
      <c r="O282" s="3">
        <v>45799</v>
      </c>
      <c r="P282" s="2" t="s">
        <v>2392</v>
      </c>
      <c r="Q282" s="2" t="s">
        <v>29</v>
      </c>
      <c r="R282" s="2" t="s">
        <v>30</v>
      </c>
      <c r="S282" s="2" t="s">
        <v>31</v>
      </c>
      <c r="T282" s="2"/>
    </row>
    <row r="283" spans="1:20" ht="12.5" x14ac:dyDescent="0.25">
      <c r="A283" s="2" t="s">
        <v>1150</v>
      </c>
      <c r="B283" s="2" t="s">
        <v>1151</v>
      </c>
      <c r="C283" s="2" t="s">
        <v>1152</v>
      </c>
      <c r="D283" s="2" t="s">
        <v>1153</v>
      </c>
      <c r="E283" s="2" t="s">
        <v>48</v>
      </c>
      <c r="F283" s="2" t="s">
        <v>25</v>
      </c>
      <c r="G283" s="5">
        <v>2112</v>
      </c>
      <c r="H283" s="5">
        <v>40</v>
      </c>
      <c r="I283" s="5">
        <v>1268</v>
      </c>
      <c r="J283" s="5">
        <v>2</v>
      </c>
      <c r="K283" s="2" t="s">
        <v>261</v>
      </c>
      <c r="L283" s="2" t="s">
        <v>27</v>
      </c>
      <c r="M283" s="4">
        <v>4.4000000000000004</v>
      </c>
      <c r="N283" s="5">
        <v>90</v>
      </c>
      <c r="O283" s="3">
        <v>45816</v>
      </c>
      <c r="P283" s="2" t="s">
        <v>2390</v>
      </c>
      <c r="Q283" s="2" t="s">
        <v>65</v>
      </c>
      <c r="R283" s="2" t="s">
        <v>149</v>
      </c>
      <c r="S283" s="2" t="s">
        <v>150</v>
      </c>
      <c r="T283" s="2"/>
    </row>
    <row r="284" spans="1:20" ht="12.5" x14ac:dyDescent="0.25">
      <c r="A284" s="2" t="s">
        <v>1154</v>
      </c>
      <c r="B284" s="2" t="s">
        <v>258</v>
      </c>
      <c r="C284" s="2" t="s">
        <v>1155</v>
      </c>
      <c r="D284" s="2" t="s">
        <v>1156</v>
      </c>
      <c r="E284" s="2" t="s">
        <v>122</v>
      </c>
      <c r="F284" s="2" t="s">
        <v>123</v>
      </c>
      <c r="G284" s="5">
        <v>4285</v>
      </c>
      <c r="H284" s="5">
        <v>30</v>
      </c>
      <c r="I284" s="5">
        <v>3000</v>
      </c>
      <c r="J284" s="5">
        <v>1</v>
      </c>
      <c r="K284" s="2" t="s">
        <v>56</v>
      </c>
      <c r="L284" s="2" t="s">
        <v>64</v>
      </c>
      <c r="M284" s="4">
        <v>4.3</v>
      </c>
      <c r="N284" s="5">
        <v>239</v>
      </c>
      <c r="O284" s="3">
        <v>45802</v>
      </c>
      <c r="P284" s="2" t="s">
        <v>2390</v>
      </c>
      <c r="Q284" s="2" t="s">
        <v>78</v>
      </c>
      <c r="R284" s="2" t="s">
        <v>104</v>
      </c>
      <c r="S284" s="2" t="s">
        <v>105</v>
      </c>
      <c r="T284" s="2"/>
    </row>
    <row r="285" spans="1:20" ht="12.5" x14ac:dyDescent="0.25">
      <c r="A285" s="2" t="s">
        <v>1157</v>
      </c>
      <c r="B285" s="2" t="s">
        <v>1046</v>
      </c>
      <c r="C285" s="2" t="s">
        <v>1158</v>
      </c>
      <c r="D285" s="2" t="s">
        <v>1159</v>
      </c>
      <c r="E285" s="2" t="s">
        <v>37</v>
      </c>
      <c r="F285" s="2" t="s">
        <v>38</v>
      </c>
      <c r="G285" s="5">
        <v>3332</v>
      </c>
      <c r="H285" s="5">
        <v>20</v>
      </c>
      <c r="I285" s="5">
        <v>2666</v>
      </c>
      <c r="J285" s="5">
        <v>3</v>
      </c>
      <c r="K285" s="2" t="s">
        <v>56</v>
      </c>
      <c r="L285" s="2" t="s">
        <v>73</v>
      </c>
      <c r="M285" s="4">
        <v>4.5999999999999996</v>
      </c>
      <c r="N285" s="5">
        <v>139</v>
      </c>
      <c r="O285" s="3">
        <v>45773</v>
      </c>
      <c r="P285" s="2" t="s">
        <v>2390</v>
      </c>
      <c r="Q285" s="2" t="s">
        <v>29</v>
      </c>
      <c r="R285" s="2" t="s">
        <v>30</v>
      </c>
      <c r="S285" s="2" t="s">
        <v>31</v>
      </c>
      <c r="T285" s="2"/>
    </row>
    <row r="286" spans="1:20" ht="12.5" x14ac:dyDescent="0.25">
      <c r="A286" s="2" t="s">
        <v>1160</v>
      </c>
      <c r="B286" s="2" t="s">
        <v>1161</v>
      </c>
      <c r="C286" s="2" t="s">
        <v>1162</v>
      </c>
      <c r="D286" s="2" t="s">
        <v>1163</v>
      </c>
      <c r="E286" s="2" t="s">
        <v>247</v>
      </c>
      <c r="F286" s="2" t="s">
        <v>248</v>
      </c>
      <c r="G286" s="5">
        <v>3213</v>
      </c>
      <c r="H286" s="5">
        <v>10</v>
      </c>
      <c r="I286" s="5">
        <v>2892</v>
      </c>
      <c r="J286" s="5">
        <v>1</v>
      </c>
      <c r="K286" s="2" t="s">
        <v>261</v>
      </c>
      <c r="L286" s="2" t="s">
        <v>103</v>
      </c>
      <c r="M286" s="4">
        <v>4</v>
      </c>
      <c r="N286" s="5">
        <v>239</v>
      </c>
      <c r="O286" s="3">
        <v>45779</v>
      </c>
      <c r="P286" s="2" t="s">
        <v>2392</v>
      </c>
      <c r="Q286" s="2" t="s">
        <v>65</v>
      </c>
      <c r="R286" s="2" t="s">
        <v>58</v>
      </c>
      <c r="S286" s="2" t="s">
        <v>59</v>
      </c>
      <c r="T286" s="2"/>
    </row>
    <row r="287" spans="1:20" ht="12.5" x14ac:dyDescent="0.25">
      <c r="A287" s="2" t="s">
        <v>1164</v>
      </c>
      <c r="B287" s="2" t="s">
        <v>1165</v>
      </c>
      <c r="C287" s="2" t="s">
        <v>1166</v>
      </c>
      <c r="D287" s="2" t="s">
        <v>1167</v>
      </c>
      <c r="E287" s="2" t="s">
        <v>132</v>
      </c>
      <c r="F287" s="2" t="s">
        <v>38</v>
      </c>
      <c r="G287" s="5">
        <v>3859</v>
      </c>
      <c r="H287" s="5">
        <v>30</v>
      </c>
      <c r="I287" s="5">
        <v>2702</v>
      </c>
      <c r="J287" s="5">
        <v>1</v>
      </c>
      <c r="K287" s="2" t="s">
        <v>32</v>
      </c>
      <c r="L287" s="2" t="s">
        <v>27</v>
      </c>
      <c r="M287" s="4">
        <v>3.6</v>
      </c>
      <c r="N287" s="5">
        <v>59</v>
      </c>
      <c r="O287" s="3">
        <v>45858</v>
      </c>
      <c r="P287" s="2" t="s">
        <v>2390</v>
      </c>
      <c r="Q287" s="2" t="s">
        <v>65</v>
      </c>
      <c r="R287" s="2" t="s">
        <v>104</v>
      </c>
      <c r="S287" s="2" t="s">
        <v>105</v>
      </c>
      <c r="T287" s="2"/>
    </row>
    <row r="288" spans="1:20" ht="12.5" x14ac:dyDescent="0.25">
      <c r="A288" s="2" t="s">
        <v>1168</v>
      </c>
      <c r="B288" s="2" t="s">
        <v>1169</v>
      </c>
      <c r="C288" s="2" t="s">
        <v>264</v>
      </c>
      <c r="D288" s="2" t="s">
        <v>1170</v>
      </c>
      <c r="E288" s="2" t="s">
        <v>208</v>
      </c>
      <c r="F288" s="2" t="s">
        <v>117</v>
      </c>
      <c r="G288" s="5">
        <v>1845</v>
      </c>
      <c r="H288" s="5">
        <v>10</v>
      </c>
      <c r="I288" s="5">
        <v>1661</v>
      </c>
      <c r="J288" s="5">
        <v>1</v>
      </c>
      <c r="K288" s="2">
        <v>40</v>
      </c>
      <c r="L288" s="2" t="s">
        <v>88</v>
      </c>
      <c r="M288" s="4">
        <v>3.5</v>
      </c>
      <c r="N288" s="5">
        <v>32</v>
      </c>
      <c r="O288" s="3">
        <v>45790</v>
      </c>
      <c r="P288" s="2" t="s">
        <v>2392</v>
      </c>
      <c r="Q288" s="2" t="s">
        <v>29</v>
      </c>
      <c r="R288" s="2" t="s">
        <v>66</v>
      </c>
      <c r="S288" s="2" t="s">
        <v>67</v>
      </c>
      <c r="T288" s="2"/>
    </row>
    <row r="289" spans="1:20" ht="12.5" x14ac:dyDescent="0.25">
      <c r="A289" s="2" t="s">
        <v>1171</v>
      </c>
      <c r="B289" s="2" t="s">
        <v>1062</v>
      </c>
      <c r="C289" s="2" t="s">
        <v>1172</v>
      </c>
      <c r="D289" s="2" t="s">
        <v>1173</v>
      </c>
      <c r="E289" s="2" t="s">
        <v>208</v>
      </c>
      <c r="F289" s="2" t="s">
        <v>117</v>
      </c>
      <c r="G289" s="5">
        <v>2740</v>
      </c>
      <c r="H289" s="5">
        <v>40</v>
      </c>
      <c r="I289" s="5">
        <v>1644</v>
      </c>
      <c r="J289" s="5">
        <v>1</v>
      </c>
      <c r="K289" s="2" t="s">
        <v>226</v>
      </c>
      <c r="L289" s="2" t="s">
        <v>103</v>
      </c>
      <c r="M289" s="4">
        <v>3.5</v>
      </c>
      <c r="N289" s="5">
        <v>185</v>
      </c>
      <c r="O289" s="3">
        <v>45813</v>
      </c>
      <c r="P289" s="2" t="s">
        <v>2391</v>
      </c>
      <c r="Q289" s="2" t="s">
        <v>78</v>
      </c>
      <c r="R289" s="2" t="s">
        <v>30</v>
      </c>
      <c r="S289" s="2" t="s">
        <v>31</v>
      </c>
      <c r="T289" s="2" t="s">
        <v>50</v>
      </c>
    </row>
    <row r="290" spans="1:20" ht="12.5" x14ac:dyDescent="0.25">
      <c r="A290" s="2" t="s">
        <v>1174</v>
      </c>
      <c r="B290" s="2" t="s">
        <v>1175</v>
      </c>
      <c r="C290" s="2" t="s">
        <v>1176</v>
      </c>
      <c r="D290" s="2" t="s">
        <v>1177</v>
      </c>
      <c r="E290" s="2" t="s">
        <v>132</v>
      </c>
      <c r="F290" s="2" t="s">
        <v>38</v>
      </c>
      <c r="G290" s="5">
        <v>4098</v>
      </c>
      <c r="H290" s="5">
        <v>30</v>
      </c>
      <c r="I290" s="5">
        <v>2869</v>
      </c>
      <c r="J290" s="5">
        <v>3</v>
      </c>
      <c r="K290" s="2" t="s">
        <v>26</v>
      </c>
      <c r="L290" s="2" t="s">
        <v>64</v>
      </c>
      <c r="M290" s="4">
        <v>4.2</v>
      </c>
      <c r="N290" s="5">
        <v>227</v>
      </c>
      <c r="O290" s="3">
        <v>45801</v>
      </c>
      <c r="P290" s="2" t="s">
        <v>2391</v>
      </c>
      <c r="Q290" s="2" t="s">
        <v>65</v>
      </c>
      <c r="R290" s="2" t="s">
        <v>66</v>
      </c>
      <c r="S290" s="2" t="s">
        <v>67</v>
      </c>
      <c r="T290" s="2" t="s">
        <v>50</v>
      </c>
    </row>
    <row r="291" spans="1:20" ht="12.5" x14ac:dyDescent="0.25">
      <c r="A291" s="2" t="s">
        <v>1178</v>
      </c>
      <c r="B291" s="2" t="s">
        <v>333</v>
      </c>
      <c r="C291" s="2" t="s">
        <v>1179</v>
      </c>
      <c r="D291" s="2" t="s">
        <v>1180</v>
      </c>
      <c r="E291" s="2" t="s">
        <v>116</v>
      </c>
      <c r="F291" s="2" t="s">
        <v>117</v>
      </c>
      <c r="G291" s="5">
        <v>957</v>
      </c>
      <c r="H291" s="5">
        <v>20</v>
      </c>
      <c r="I291" s="5">
        <v>766</v>
      </c>
      <c r="J291" s="5">
        <v>1</v>
      </c>
      <c r="K291" s="2">
        <v>44</v>
      </c>
      <c r="L291" s="2" t="s">
        <v>209</v>
      </c>
      <c r="M291" s="4">
        <v>3.6</v>
      </c>
      <c r="N291" s="5">
        <v>35</v>
      </c>
      <c r="O291" s="3">
        <v>45780</v>
      </c>
      <c r="P291" s="2" t="s">
        <v>2391</v>
      </c>
      <c r="Q291" s="2" t="s">
        <v>65</v>
      </c>
      <c r="R291" s="2" t="s">
        <v>58</v>
      </c>
      <c r="S291" s="2" t="s">
        <v>59</v>
      </c>
      <c r="T291" s="2"/>
    </row>
    <row r="292" spans="1:20" ht="12.5" x14ac:dyDescent="0.25">
      <c r="A292" s="2" t="s">
        <v>1181</v>
      </c>
      <c r="B292" s="2" t="s">
        <v>1182</v>
      </c>
      <c r="C292" s="2" t="s">
        <v>1183</v>
      </c>
      <c r="D292" s="2" t="s">
        <v>1184</v>
      </c>
      <c r="E292" s="2" t="s">
        <v>116</v>
      </c>
      <c r="F292" s="2" t="s">
        <v>117</v>
      </c>
      <c r="G292" s="5">
        <v>2519</v>
      </c>
      <c r="H292" s="5">
        <v>25</v>
      </c>
      <c r="I292" s="5">
        <v>1890</v>
      </c>
      <c r="J292" s="5">
        <v>2</v>
      </c>
      <c r="K292" s="2" t="s">
        <v>163</v>
      </c>
      <c r="L292" s="2" t="s">
        <v>88</v>
      </c>
      <c r="M292" s="4">
        <v>3.8</v>
      </c>
      <c r="N292" s="5">
        <v>49</v>
      </c>
      <c r="O292" s="3">
        <v>45825</v>
      </c>
      <c r="P292" s="2" t="s">
        <v>2392</v>
      </c>
      <c r="Q292" s="2" t="s">
        <v>29</v>
      </c>
      <c r="R292" s="2" t="s">
        <v>149</v>
      </c>
      <c r="S292" s="2" t="s">
        <v>150</v>
      </c>
      <c r="T292" s="2"/>
    </row>
    <row r="293" spans="1:20" ht="12.5" x14ac:dyDescent="0.25">
      <c r="A293" s="2" t="s">
        <v>1185</v>
      </c>
      <c r="B293" s="2" t="s">
        <v>160</v>
      </c>
      <c r="C293" s="2" t="s">
        <v>1186</v>
      </c>
      <c r="D293" s="2" t="s">
        <v>1187</v>
      </c>
      <c r="E293" s="2" t="s">
        <v>147</v>
      </c>
      <c r="F293" s="2" t="s">
        <v>148</v>
      </c>
      <c r="G293" s="5">
        <v>3484</v>
      </c>
      <c r="H293" s="5">
        <v>30</v>
      </c>
      <c r="I293" s="5">
        <v>2439</v>
      </c>
      <c r="J293" s="5">
        <v>3</v>
      </c>
      <c r="K293" s="2" t="s">
        <v>261</v>
      </c>
      <c r="L293" s="2" t="s">
        <v>88</v>
      </c>
      <c r="M293" s="4">
        <v>4</v>
      </c>
      <c r="N293" s="5">
        <v>200</v>
      </c>
      <c r="O293" s="3">
        <v>45790</v>
      </c>
      <c r="P293" s="2" t="s">
        <v>2390</v>
      </c>
      <c r="Q293" s="2" t="s">
        <v>78</v>
      </c>
      <c r="R293" s="2" t="s">
        <v>66</v>
      </c>
      <c r="S293" s="2" t="s">
        <v>67</v>
      </c>
      <c r="T293" s="2"/>
    </row>
    <row r="294" spans="1:20" ht="12.5" x14ac:dyDescent="0.25">
      <c r="A294" s="2" t="s">
        <v>1188</v>
      </c>
      <c r="B294" s="2" t="s">
        <v>1026</v>
      </c>
      <c r="C294" s="2" t="s">
        <v>1189</v>
      </c>
      <c r="D294" s="2" t="s">
        <v>1190</v>
      </c>
      <c r="E294" s="2" t="s">
        <v>24</v>
      </c>
      <c r="F294" s="2" t="s">
        <v>25</v>
      </c>
      <c r="G294" s="5">
        <v>1928</v>
      </c>
      <c r="H294" s="5">
        <v>15</v>
      </c>
      <c r="I294" s="5">
        <v>1639</v>
      </c>
      <c r="J294" s="5">
        <v>1</v>
      </c>
      <c r="K294" s="2">
        <v>44</v>
      </c>
      <c r="L294" s="2" t="s">
        <v>73</v>
      </c>
      <c r="M294" s="4">
        <v>4.4000000000000004</v>
      </c>
      <c r="N294" s="5">
        <v>39</v>
      </c>
      <c r="O294" s="3">
        <v>45791</v>
      </c>
      <c r="P294" s="2" t="s">
        <v>2391</v>
      </c>
      <c r="Q294" s="2" t="s">
        <v>29</v>
      </c>
      <c r="R294" s="2" t="s">
        <v>185</v>
      </c>
      <c r="S294" s="2" t="s">
        <v>186</v>
      </c>
      <c r="T294" s="2" t="s">
        <v>203</v>
      </c>
    </row>
    <row r="295" spans="1:20" ht="12.5" x14ac:dyDescent="0.25">
      <c r="A295" s="2" t="s">
        <v>1191</v>
      </c>
      <c r="B295" s="2" t="s">
        <v>1192</v>
      </c>
      <c r="C295" s="2" t="s">
        <v>1193</v>
      </c>
      <c r="D295" s="2" t="s">
        <v>1194</v>
      </c>
      <c r="E295" s="2" t="s">
        <v>147</v>
      </c>
      <c r="F295" s="2" t="s">
        <v>148</v>
      </c>
      <c r="G295" s="5">
        <v>1751</v>
      </c>
      <c r="H295" s="5">
        <v>25</v>
      </c>
      <c r="I295" s="5">
        <v>1314</v>
      </c>
      <c r="J295" s="5">
        <v>1</v>
      </c>
      <c r="K295" s="2" t="s">
        <v>72</v>
      </c>
      <c r="L295" s="2" t="s">
        <v>209</v>
      </c>
      <c r="M295" s="4">
        <v>3.5</v>
      </c>
      <c r="N295" s="5">
        <v>136</v>
      </c>
      <c r="O295" s="3">
        <v>45846</v>
      </c>
      <c r="P295" s="2" t="s">
        <v>2391</v>
      </c>
      <c r="Q295" s="2" t="s">
        <v>29</v>
      </c>
      <c r="R295" s="2" t="s">
        <v>66</v>
      </c>
      <c r="S295" s="2" t="s">
        <v>67</v>
      </c>
      <c r="T295" s="2" t="s">
        <v>134</v>
      </c>
    </row>
    <row r="296" spans="1:20" ht="12.5" x14ac:dyDescent="0.25">
      <c r="A296" s="2" t="s">
        <v>1195</v>
      </c>
      <c r="B296" s="2" t="s">
        <v>880</v>
      </c>
      <c r="C296" s="2" t="s">
        <v>1196</v>
      </c>
      <c r="D296" s="2" t="s">
        <v>1197</v>
      </c>
      <c r="E296" s="2" t="s">
        <v>24</v>
      </c>
      <c r="F296" s="2" t="s">
        <v>25</v>
      </c>
      <c r="G296" s="5">
        <v>1616</v>
      </c>
      <c r="H296" s="5">
        <v>35</v>
      </c>
      <c r="I296" s="5">
        <v>1051</v>
      </c>
      <c r="J296" s="5">
        <v>2</v>
      </c>
      <c r="K296" s="2">
        <v>40</v>
      </c>
      <c r="L296" s="2" t="s">
        <v>209</v>
      </c>
      <c r="M296" s="4">
        <v>3.7</v>
      </c>
      <c r="N296" s="5">
        <v>141</v>
      </c>
      <c r="O296" s="3">
        <v>45785</v>
      </c>
      <c r="P296" s="2" t="s">
        <v>2392</v>
      </c>
      <c r="Q296" s="2" t="s">
        <v>78</v>
      </c>
      <c r="R296" s="2" t="s">
        <v>185</v>
      </c>
      <c r="S296" s="2" t="s">
        <v>186</v>
      </c>
      <c r="T296" s="2"/>
    </row>
    <row r="297" spans="1:20" ht="12.5" x14ac:dyDescent="0.25">
      <c r="A297" s="2" t="s">
        <v>1198</v>
      </c>
      <c r="B297" s="2" t="s">
        <v>1199</v>
      </c>
      <c r="C297" s="2" t="s">
        <v>1200</v>
      </c>
      <c r="D297" s="2" t="s">
        <v>1201</v>
      </c>
      <c r="E297" s="2" t="s">
        <v>24</v>
      </c>
      <c r="F297" s="2" t="s">
        <v>25</v>
      </c>
      <c r="G297" s="5">
        <v>2712</v>
      </c>
      <c r="H297" s="5">
        <v>25</v>
      </c>
      <c r="I297" s="5">
        <v>2034</v>
      </c>
      <c r="J297" s="5">
        <v>2</v>
      </c>
      <c r="K297" s="2">
        <v>40</v>
      </c>
      <c r="L297" s="2" t="s">
        <v>88</v>
      </c>
      <c r="M297" s="4">
        <v>4.2</v>
      </c>
      <c r="N297" s="5">
        <v>43</v>
      </c>
      <c r="O297" s="3">
        <v>45776</v>
      </c>
      <c r="P297" s="2" t="s">
        <v>2392</v>
      </c>
      <c r="Q297" s="2" t="s">
        <v>29</v>
      </c>
      <c r="R297" s="2" t="s">
        <v>30</v>
      </c>
      <c r="S297" s="2" t="s">
        <v>31</v>
      </c>
      <c r="T297" s="2"/>
    </row>
    <row r="298" spans="1:20" ht="12.5" x14ac:dyDescent="0.25">
      <c r="A298" s="2" t="s">
        <v>1202</v>
      </c>
      <c r="B298" s="2" t="s">
        <v>518</v>
      </c>
      <c r="C298" s="2" t="s">
        <v>1203</v>
      </c>
      <c r="D298" s="2" t="s">
        <v>1204</v>
      </c>
      <c r="E298" s="2" t="s">
        <v>37</v>
      </c>
      <c r="F298" s="2" t="s">
        <v>38</v>
      </c>
      <c r="G298" s="5">
        <v>4042</v>
      </c>
      <c r="H298" s="5">
        <v>25</v>
      </c>
      <c r="I298" s="5">
        <v>3032</v>
      </c>
      <c r="J298" s="5">
        <v>1</v>
      </c>
      <c r="K298" s="2">
        <v>40</v>
      </c>
      <c r="L298" s="2" t="s">
        <v>103</v>
      </c>
      <c r="M298" s="4">
        <v>4.4000000000000004</v>
      </c>
      <c r="N298" s="5">
        <v>225</v>
      </c>
      <c r="O298" s="3">
        <v>45845</v>
      </c>
      <c r="P298" s="2" t="s">
        <v>2391</v>
      </c>
      <c r="Q298" s="2" t="s">
        <v>78</v>
      </c>
      <c r="R298" s="2" t="s">
        <v>185</v>
      </c>
      <c r="S298" s="2" t="s">
        <v>186</v>
      </c>
      <c r="T298" s="2" t="s">
        <v>50</v>
      </c>
    </row>
    <row r="299" spans="1:20" ht="12.5" x14ac:dyDescent="0.25">
      <c r="A299" s="2" t="s">
        <v>1205</v>
      </c>
      <c r="B299" s="2" t="s">
        <v>1206</v>
      </c>
      <c r="C299" s="2" t="s">
        <v>1207</v>
      </c>
      <c r="D299" s="2" t="s">
        <v>1208</v>
      </c>
      <c r="E299" s="2" t="s">
        <v>122</v>
      </c>
      <c r="F299" s="2" t="s">
        <v>123</v>
      </c>
      <c r="G299" s="5">
        <v>4499</v>
      </c>
      <c r="H299" s="5">
        <v>20</v>
      </c>
      <c r="I299" s="5">
        <v>3600</v>
      </c>
      <c r="J299" s="5">
        <v>3</v>
      </c>
      <c r="K299" s="2" t="s">
        <v>72</v>
      </c>
      <c r="L299" s="2" t="s">
        <v>64</v>
      </c>
      <c r="M299" s="4">
        <v>3.6</v>
      </c>
      <c r="N299" s="5">
        <v>31</v>
      </c>
      <c r="O299" s="3">
        <v>45796</v>
      </c>
      <c r="P299" s="2" t="s">
        <v>2392</v>
      </c>
      <c r="Q299" s="2" t="s">
        <v>65</v>
      </c>
      <c r="R299" s="2" t="s">
        <v>110</v>
      </c>
      <c r="S299" s="2" t="s">
        <v>111</v>
      </c>
      <c r="T299" s="2"/>
    </row>
    <row r="300" spans="1:20" ht="12.5" x14ac:dyDescent="0.25">
      <c r="A300" s="2" t="s">
        <v>1209</v>
      </c>
      <c r="B300" s="2" t="s">
        <v>901</v>
      </c>
      <c r="C300" s="2" t="s">
        <v>1210</v>
      </c>
      <c r="D300" s="2" t="s">
        <v>1211</v>
      </c>
      <c r="E300" s="2" t="s">
        <v>122</v>
      </c>
      <c r="F300" s="2" t="s">
        <v>123</v>
      </c>
      <c r="G300" s="5">
        <v>1869</v>
      </c>
      <c r="H300" s="5">
        <v>20</v>
      </c>
      <c r="I300" s="5">
        <v>1496</v>
      </c>
      <c r="J300" s="5">
        <v>3</v>
      </c>
      <c r="K300" s="2" t="s">
        <v>26</v>
      </c>
      <c r="L300" s="2" t="s">
        <v>168</v>
      </c>
      <c r="M300" s="4">
        <v>4.2</v>
      </c>
      <c r="N300" s="5">
        <v>216</v>
      </c>
      <c r="O300" s="3">
        <v>45857</v>
      </c>
      <c r="P300" s="2" t="s">
        <v>2390</v>
      </c>
      <c r="Q300" s="2" t="s">
        <v>78</v>
      </c>
      <c r="R300" s="2" t="s">
        <v>66</v>
      </c>
      <c r="S300" s="2" t="s">
        <v>67</v>
      </c>
      <c r="T300" s="2"/>
    </row>
    <row r="301" spans="1:20" ht="12.5" x14ac:dyDescent="0.25">
      <c r="A301" s="2" t="s">
        <v>1212</v>
      </c>
      <c r="B301" s="2" t="s">
        <v>876</v>
      </c>
      <c r="C301" s="2" t="s">
        <v>1213</v>
      </c>
      <c r="D301" s="2" t="s">
        <v>1214</v>
      </c>
      <c r="E301" s="2" t="s">
        <v>48</v>
      </c>
      <c r="F301" s="2" t="s">
        <v>25</v>
      </c>
      <c r="G301" s="5">
        <v>4461</v>
      </c>
      <c r="H301" s="5">
        <v>35</v>
      </c>
      <c r="I301" s="5">
        <v>2900</v>
      </c>
      <c r="J301" s="5">
        <v>1</v>
      </c>
      <c r="K301" s="2">
        <v>44</v>
      </c>
      <c r="L301" s="2" t="s">
        <v>49</v>
      </c>
      <c r="M301" s="4">
        <v>3.9</v>
      </c>
      <c r="N301" s="5">
        <v>72</v>
      </c>
      <c r="O301" s="3">
        <v>45838</v>
      </c>
      <c r="P301" s="2" t="s">
        <v>2390</v>
      </c>
      <c r="Q301" s="2" t="s">
        <v>78</v>
      </c>
      <c r="R301" s="2" t="s">
        <v>30</v>
      </c>
      <c r="S301" s="2" t="s">
        <v>31</v>
      </c>
      <c r="T301" s="2"/>
    </row>
    <row r="302" spans="1:20" ht="12.5" x14ac:dyDescent="0.25">
      <c r="A302" s="2" t="s">
        <v>1215</v>
      </c>
      <c r="B302" s="2" t="s">
        <v>1216</v>
      </c>
      <c r="C302" s="2" t="s">
        <v>1217</v>
      </c>
      <c r="D302" s="2" t="s">
        <v>1218</v>
      </c>
      <c r="E302" s="2" t="s">
        <v>132</v>
      </c>
      <c r="F302" s="2" t="s">
        <v>38</v>
      </c>
      <c r="G302" s="5">
        <v>2820</v>
      </c>
      <c r="H302" s="5">
        <v>35</v>
      </c>
      <c r="I302" s="5">
        <v>1833</v>
      </c>
      <c r="J302" s="5">
        <v>2</v>
      </c>
      <c r="K302" s="2" t="s">
        <v>32</v>
      </c>
      <c r="L302" s="2" t="s">
        <v>39</v>
      </c>
      <c r="M302" s="4">
        <v>4.5</v>
      </c>
      <c r="N302" s="5">
        <v>103</v>
      </c>
      <c r="O302" s="3">
        <v>45825</v>
      </c>
      <c r="P302" s="2" t="s">
        <v>2390</v>
      </c>
      <c r="Q302" s="2" t="s">
        <v>29</v>
      </c>
      <c r="R302" s="2" t="s">
        <v>110</v>
      </c>
      <c r="S302" s="2" t="s">
        <v>111</v>
      </c>
      <c r="T302" s="2"/>
    </row>
    <row r="303" spans="1:20" ht="12.5" x14ac:dyDescent="0.25">
      <c r="A303" s="2" t="s">
        <v>1219</v>
      </c>
      <c r="B303" s="2" t="s">
        <v>287</v>
      </c>
      <c r="C303" s="2" t="s">
        <v>1220</v>
      </c>
      <c r="D303" s="2" t="s">
        <v>1221</v>
      </c>
      <c r="E303" s="2" t="s">
        <v>208</v>
      </c>
      <c r="F303" s="2" t="s">
        <v>117</v>
      </c>
      <c r="G303" s="5">
        <v>2080</v>
      </c>
      <c r="H303" s="5">
        <v>25</v>
      </c>
      <c r="I303" s="5">
        <v>1560</v>
      </c>
      <c r="J303" s="5">
        <v>1</v>
      </c>
      <c r="K303" s="2" t="s">
        <v>72</v>
      </c>
      <c r="L303" s="2" t="s">
        <v>133</v>
      </c>
      <c r="M303" s="4">
        <v>4</v>
      </c>
      <c r="N303" s="5">
        <v>181</v>
      </c>
      <c r="O303" s="3">
        <v>45837</v>
      </c>
      <c r="P303" s="2" t="s">
        <v>2390</v>
      </c>
      <c r="Q303" s="2" t="s">
        <v>65</v>
      </c>
      <c r="R303" s="2" t="s">
        <v>89</v>
      </c>
      <c r="S303" s="2" t="s">
        <v>90</v>
      </c>
      <c r="T303" s="2"/>
    </row>
    <row r="304" spans="1:20" ht="12.5" x14ac:dyDescent="0.25">
      <c r="A304" s="2" t="s">
        <v>1222</v>
      </c>
      <c r="B304" s="2" t="s">
        <v>1223</v>
      </c>
      <c r="C304" s="2" t="s">
        <v>1224</v>
      </c>
      <c r="D304" s="2" t="s">
        <v>1225</v>
      </c>
      <c r="E304" s="2" t="s">
        <v>24</v>
      </c>
      <c r="F304" s="2" t="s">
        <v>25</v>
      </c>
      <c r="G304" s="5">
        <v>2905</v>
      </c>
      <c r="H304" s="5">
        <v>35</v>
      </c>
      <c r="I304" s="5">
        <v>1889</v>
      </c>
      <c r="J304" s="5">
        <v>1</v>
      </c>
      <c r="K304" s="2" t="s">
        <v>32</v>
      </c>
      <c r="L304" s="2" t="s">
        <v>209</v>
      </c>
      <c r="M304" s="4">
        <v>4.3</v>
      </c>
      <c r="N304" s="5">
        <v>172</v>
      </c>
      <c r="O304" s="3">
        <v>45852</v>
      </c>
      <c r="P304" s="2" t="s">
        <v>2391</v>
      </c>
      <c r="Q304" s="2" t="s">
        <v>78</v>
      </c>
      <c r="R304" s="2" t="s">
        <v>66</v>
      </c>
      <c r="S304" s="2" t="s">
        <v>67</v>
      </c>
      <c r="T304" s="2" t="s">
        <v>43</v>
      </c>
    </row>
    <row r="305" spans="1:20" ht="12.5" x14ac:dyDescent="0.25">
      <c r="A305" s="2" t="s">
        <v>1226</v>
      </c>
      <c r="B305" s="2" t="s">
        <v>1227</v>
      </c>
      <c r="C305" s="2" t="s">
        <v>1228</v>
      </c>
      <c r="D305" s="2" t="s">
        <v>1229</v>
      </c>
      <c r="E305" s="2" t="s">
        <v>208</v>
      </c>
      <c r="F305" s="2" t="s">
        <v>117</v>
      </c>
      <c r="G305" s="5">
        <v>3008</v>
      </c>
      <c r="H305" s="5">
        <v>15</v>
      </c>
      <c r="I305" s="5">
        <v>2557</v>
      </c>
      <c r="J305" s="5">
        <v>3</v>
      </c>
      <c r="K305" s="2" t="s">
        <v>261</v>
      </c>
      <c r="L305" s="2" t="s">
        <v>73</v>
      </c>
      <c r="M305" s="4">
        <v>4.9000000000000004</v>
      </c>
      <c r="N305" s="5">
        <v>177</v>
      </c>
      <c r="O305" s="3">
        <v>45771</v>
      </c>
      <c r="P305" s="2" t="s">
        <v>2390</v>
      </c>
      <c r="Q305" s="2" t="s">
        <v>29</v>
      </c>
      <c r="R305" s="2" t="s">
        <v>149</v>
      </c>
      <c r="S305" s="2" t="s">
        <v>150</v>
      </c>
      <c r="T305" s="2"/>
    </row>
    <row r="306" spans="1:20" ht="12.5" x14ac:dyDescent="0.25">
      <c r="A306" s="2" t="s">
        <v>1230</v>
      </c>
      <c r="B306" s="2" t="s">
        <v>460</v>
      </c>
      <c r="C306" s="2" t="s">
        <v>1231</v>
      </c>
      <c r="D306" s="2" t="s">
        <v>1232</v>
      </c>
      <c r="E306" s="2" t="s">
        <v>147</v>
      </c>
      <c r="F306" s="2" t="s">
        <v>148</v>
      </c>
      <c r="G306" s="5">
        <v>3869</v>
      </c>
      <c r="H306" s="5">
        <v>35</v>
      </c>
      <c r="I306" s="5">
        <v>2515</v>
      </c>
      <c r="J306" s="5">
        <v>2</v>
      </c>
      <c r="K306" s="2">
        <v>44</v>
      </c>
      <c r="L306" s="2" t="s">
        <v>168</v>
      </c>
      <c r="M306" s="4">
        <v>4.4000000000000004</v>
      </c>
      <c r="N306" s="5">
        <v>165</v>
      </c>
      <c r="O306" s="3">
        <v>45780</v>
      </c>
      <c r="P306" s="2" t="s">
        <v>2391</v>
      </c>
      <c r="Q306" s="2" t="s">
        <v>65</v>
      </c>
      <c r="R306" s="2" t="s">
        <v>185</v>
      </c>
      <c r="S306" s="2" t="s">
        <v>186</v>
      </c>
      <c r="T306" s="2" t="s">
        <v>50</v>
      </c>
    </row>
    <row r="307" spans="1:20" ht="12.5" x14ac:dyDescent="0.25">
      <c r="A307" s="2" t="s">
        <v>1233</v>
      </c>
      <c r="B307" s="2" t="s">
        <v>491</v>
      </c>
      <c r="C307" s="2" t="s">
        <v>241</v>
      </c>
      <c r="D307" s="2" t="s">
        <v>1234</v>
      </c>
      <c r="E307" s="2" t="s">
        <v>48</v>
      </c>
      <c r="F307" s="2" t="s">
        <v>25</v>
      </c>
      <c r="G307" s="5">
        <v>4538</v>
      </c>
      <c r="H307" s="5">
        <v>40</v>
      </c>
      <c r="I307" s="5">
        <v>2723</v>
      </c>
      <c r="J307" s="5">
        <v>2</v>
      </c>
      <c r="K307" s="2">
        <v>40</v>
      </c>
      <c r="L307" s="2" t="s">
        <v>73</v>
      </c>
      <c r="M307" s="4">
        <v>4.5999999999999996</v>
      </c>
      <c r="N307" s="5">
        <v>154</v>
      </c>
      <c r="O307" s="3">
        <v>45812</v>
      </c>
      <c r="P307" s="2" t="s">
        <v>2392</v>
      </c>
      <c r="Q307" s="2" t="s">
        <v>78</v>
      </c>
      <c r="R307" s="2" t="s">
        <v>149</v>
      </c>
      <c r="S307" s="2" t="s">
        <v>150</v>
      </c>
      <c r="T307" s="2"/>
    </row>
    <row r="308" spans="1:20" ht="12.5" x14ac:dyDescent="0.25">
      <c r="A308" s="2" t="s">
        <v>1235</v>
      </c>
      <c r="B308" s="2" t="s">
        <v>1236</v>
      </c>
      <c r="C308" s="2" t="s">
        <v>1237</v>
      </c>
      <c r="D308" s="2" t="s">
        <v>1238</v>
      </c>
      <c r="E308" s="2" t="s">
        <v>55</v>
      </c>
      <c r="F308" s="2" t="s">
        <v>38</v>
      </c>
      <c r="G308" s="5">
        <v>3658</v>
      </c>
      <c r="H308" s="5">
        <v>35</v>
      </c>
      <c r="I308" s="5">
        <v>2378</v>
      </c>
      <c r="J308" s="5">
        <v>1</v>
      </c>
      <c r="K308" s="2" t="s">
        <v>226</v>
      </c>
      <c r="L308" s="2" t="s">
        <v>103</v>
      </c>
      <c r="M308" s="4">
        <v>3.7</v>
      </c>
      <c r="N308" s="5">
        <v>238</v>
      </c>
      <c r="O308" s="3">
        <v>45841</v>
      </c>
      <c r="P308" s="2" t="s">
        <v>2391</v>
      </c>
      <c r="Q308" s="2" t="s">
        <v>78</v>
      </c>
      <c r="R308" s="2" t="s">
        <v>149</v>
      </c>
      <c r="S308" s="2" t="s">
        <v>150</v>
      </c>
      <c r="T308" s="2" t="s">
        <v>203</v>
      </c>
    </row>
    <row r="309" spans="1:20" ht="12.5" x14ac:dyDescent="0.25">
      <c r="A309" s="2" t="s">
        <v>1239</v>
      </c>
      <c r="B309" s="2" t="s">
        <v>1240</v>
      </c>
      <c r="C309" s="2" t="s">
        <v>1241</v>
      </c>
      <c r="D309" s="2" t="s">
        <v>1242</v>
      </c>
      <c r="E309" s="2" t="s">
        <v>24</v>
      </c>
      <c r="F309" s="2" t="s">
        <v>25</v>
      </c>
      <c r="G309" s="5">
        <v>796</v>
      </c>
      <c r="H309" s="5">
        <v>30</v>
      </c>
      <c r="I309" s="5">
        <v>558</v>
      </c>
      <c r="J309" s="5">
        <v>3</v>
      </c>
      <c r="K309" s="2" t="s">
        <v>56</v>
      </c>
      <c r="L309" s="2" t="s">
        <v>103</v>
      </c>
      <c r="M309" s="4">
        <v>4.5</v>
      </c>
      <c r="N309" s="5">
        <v>211</v>
      </c>
      <c r="O309" s="3">
        <v>45792</v>
      </c>
      <c r="P309" s="2" t="s">
        <v>2390</v>
      </c>
      <c r="Q309" s="2" t="s">
        <v>65</v>
      </c>
      <c r="R309" s="2" t="s">
        <v>66</v>
      </c>
      <c r="S309" s="2" t="s">
        <v>67</v>
      </c>
      <c r="T309" s="2"/>
    </row>
    <row r="310" spans="1:20" ht="12.5" x14ac:dyDescent="0.25">
      <c r="A310" s="2" t="s">
        <v>1243</v>
      </c>
      <c r="B310" s="2" t="s">
        <v>1244</v>
      </c>
      <c r="C310" s="2" t="s">
        <v>1245</v>
      </c>
      <c r="D310" s="2" t="s">
        <v>1246</v>
      </c>
      <c r="E310" s="2" t="s">
        <v>116</v>
      </c>
      <c r="F310" s="2" t="s">
        <v>117</v>
      </c>
      <c r="G310" s="5">
        <v>3146</v>
      </c>
      <c r="H310" s="5">
        <v>20</v>
      </c>
      <c r="I310" s="5">
        <v>2517</v>
      </c>
      <c r="J310" s="5">
        <v>2</v>
      </c>
      <c r="K310" s="2" t="s">
        <v>163</v>
      </c>
      <c r="L310" s="2" t="s">
        <v>64</v>
      </c>
      <c r="M310" s="4">
        <v>4.4000000000000004</v>
      </c>
      <c r="N310" s="5">
        <v>262</v>
      </c>
      <c r="O310" s="3">
        <v>45834</v>
      </c>
      <c r="P310" s="2" t="s">
        <v>2390</v>
      </c>
      <c r="Q310" s="2" t="s">
        <v>65</v>
      </c>
      <c r="R310" s="2" t="s">
        <v>149</v>
      </c>
      <c r="S310" s="2" t="s">
        <v>150</v>
      </c>
      <c r="T310" s="2"/>
    </row>
    <row r="311" spans="1:20" ht="12.5" x14ac:dyDescent="0.25">
      <c r="A311" s="2" t="s">
        <v>1247</v>
      </c>
      <c r="B311" s="2" t="s">
        <v>1223</v>
      </c>
      <c r="C311" s="2" t="s">
        <v>1248</v>
      </c>
      <c r="D311" s="2" t="s">
        <v>1249</v>
      </c>
      <c r="E311" s="2" t="s">
        <v>132</v>
      </c>
      <c r="F311" s="2" t="s">
        <v>38</v>
      </c>
      <c r="G311" s="5">
        <v>3866</v>
      </c>
      <c r="H311" s="5">
        <v>40</v>
      </c>
      <c r="I311" s="5">
        <v>2320</v>
      </c>
      <c r="J311" s="5">
        <v>1</v>
      </c>
      <c r="K311" s="2" t="s">
        <v>163</v>
      </c>
      <c r="L311" s="2" t="s">
        <v>103</v>
      </c>
      <c r="M311" s="4">
        <v>4.5</v>
      </c>
      <c r="N311" s="5">
        <v>250</v>
      </c>
      <c r="O311" s="3">
        <v>45847</v>
      </c>
      <c r="P311" s="2" t="s">
        <v>2390</v>
      </c>
      <c r="Q311" s="2" t="s">
        <v>29</v>
      </c>
      <c r="R311" s="2" t="s">
        <v>30</v>
      </c>
      <c r="S311" s="2" t="s">
        <v>31</v>
      </c>
      <c r="T311" s="2"/>
    </row>
    <row r="312" spans="1:20" ht="12.5" x14ac:dyDescent="0.25">
      <c r="A312" s="2" t="s">
        <v>1250</v>
      </c>
      <c r="B312" s="2" t="s">
        <v>802</v>
      </c>
      <c r="C312" s="2" t="s">
        <v>1251</v>
      </c>
      <c r="D312" s="2" t="s">
        <v>1252</v>
      </c>
      <c r="E312" s="2" t="s">
        <v>37</v>
      </c>
      <c r="F312" s="2" t="s">
        <v>38</v>
      </c>
      <c r="G312" s="5">
        <v>3093</v>
      </c>
      <c r="H312" s="5">
        <v>20</v>
      </c>
      <c r="I312" s="5">
        <v>2475</v>
      </c>
      <c r="J312" s="5">
        <v>1</v>
      </c>
      <c r="K312" s="2">
        <v>44</v>
      </c>
      <c r="L312" s="2" t="s">
        <v>49</v>
      </c>
      <c r="M312" s="4">
        <v>3.9</v>
      </c>
      <c r="N312" s="5">
        <v>182</v>
      </c>
      <c r="O312" s="3">
        <v>45855</v>
      </c>
      <c r="P312" s="2" t="s">
        <v>2392</v>
      </c>
      <c r="Q312" s="2" t="s">
        <v>78</v>
      </c>
      <c r="R312" s="2" t="s">
        <v>83</v>
      </c>
      <c r="S312" s="2" t="s">
        <v>83</v>
      </c>
      <c r="T312" s="2"/>
    </row>
    <row r="313" spans="1:20" ht="12.5" x14ac:dyDescent="0.25">
      <c r="A313" s="2" t="s">
        <v>1253</v>
      </c>
      <c r="B313" s="2" t="s">
        <v>1254</v>
      </c>
      <c r="C313" s="2" t="s">
        <v>1255</v>
      </c>
      <c r="D313" s="2" t="s">
        <v>1256</v>
      </c>
      <c r="E313" s="2" t="s">
        <v>48</v>
      </c>
      <c r="F313" s="2" t="s">
        <v>25</v>
      </c>
      <c r="G313" s="5">
        <v>2872</v>
      </c>
      <c r="H313" s="5">
        <v>40</v>
      </c>
      <c r="I313" s="5">
        <v>1724</v>
      </c>
      <c r="J313" s="5">
        <v>3</v>
      </c>
      <c r="K313" s="2" t="s">
        <v>72</v>
      </c>
      <c r="L313" s="2" t="s">
        <v>88</v>
      </c>
      <c r="M313" s="4">
        <v>4.7</v>
      </c>
      <c r="N313" s="5">
        <v>216</v>
      </c>
      <c r="O313" s="3">
        <v>45847</v>
      </c>
      <c r="P313" s="2" t="s">
        <v>2391</v>
      </c>
      <c r="Q313" s="2" t="s">
        <v>65</v>
      </c>
      <c r="R313" s="2" t="s">
        <v>110</v>
      </c>
      <c r="S313" s="2" t="s">
        <v>111</v>
      </c>
      <c r="T313" s="2" t="s">
        <v>203</v>
      </c>
    </row>
    <row r="314" spans="1:20" ht="12.5" x14ac:dyDescent="0.25">
      <c r="A314" s="2" t="s">
        <v>1257</v>
      </c>
      <c r="B314" s="2" t="s">
        <v>1258</v>
      </c>
      <c r="C314" s="2" t="s">
        <v>1259</v>
      </c>
      <c r="D314" s="2" t="s">
        <v>1260</v>
      </c>
      <c r="E314" s="2" t="s">
        <v>116</v>
      </c>
      <c r="F314" s="2" t="s">
        <v>117</v>
      </c>
      <c r="G314" s="5">
        <v>4552</v>
      </c>
      <c r="H314" s="5">
        <v>30</v>
      </c>
      <c r="I314" s="5">
        <v>3187</v>
      </c>
      <c r="J314" s="5">
        <v>3</v>
      </c>
      <c r="K314" s="2" t="s">
        <v>56</v>
      </c>
      <c r="L314" s="2" t="s">
        <v>168</v>
      </c>
      <c r="M314" s="4">
        <v>4.3</v>
      </c>
      <c r="N314" s="5">
        <v>216</v>
      </c>
      <c r="O314" s="3">
        <v>45773</v>
      </c>
      <c r="P314" s="2" t="s">
        <v>2392</v>
      </c>
      <c r="Q314" s="2" t="s">
        <v>29</v>
      </c>
      <c r="R314" s="2" t="s">
        <v>30</v>
      </c>
      <c r="S314" s="2" t="s">
        <v>31</v>
      </c>
      <c r="T314" s="2"/>
    </row>
    <row r="315" spans="1:20" ht="12.5" x14ac:dyDescent="0.25">
      <c r="A315" s="2" t="s">
        <v>1261</v>
      </c>
      <c r="B315" s="2" t="s">
        <v>34</v>
      </c>
      <c r="C315" s="2" t="s">
        <v>1262</v>
      </c>
      <c r="D315" s="2" t="s">
        <v>1263</v>
      </c>
      <c r="E315" s="2" t="s">
        <v>147</v>
      </c>
      <c r="F315" s="2" t="s">
        <v>148</v>
      </c>
      <c r="G315" s="5">
        <v>1099</v>
      </c>
      <c r="H315" s="5">
        <v>10</v>
      </c>
      <c r="I315" s="5">
        <v>990</v>
      </c>
      <c r="J315" s="5">
        <v>2</v>
      </c>
      <c r="K315" s="2">
        <v>40</v>
      </c>
      <c r="L315" s="2" t="s">
        <v>103</v>
      </c>
      <c r="M315" s="4">
        <v>3.8</v>
      </c>
      <c r="N315" s="5">
        <v>254</v>
      </c>
      <c r="O315" s="3">
        <v>45830</v>
      </c>
      <c r="P315" s="2" t="s">
        <v>2391</v>
      </c>
      <c r="Q315" s="2" t="s">
        <v>78</v>
      </c>
      <c r="R315" s="2" t="s">
        <v>149</v>
      </c>
      <c r="S315" s="2" t="s">
        <v>150</v>
      </c>
      <c r="T315" s="2" t="s">
        <v>134</v>
      </c>
    </row>
    <row r="316" spans="1:20" ht="12.5" x14ac:dyDescent="0.25">
      <c r="A316" s="2" t="s">
        <v>1264</v>
      </c>
      <c r="B316" s="2" t="s">
        <v>1265</v>
      </c>
      <c r="C316" s="2" t="s">
        <v>1266</v>
      </c>
      <c r="D316" s="2" t="s">
        <v>1267</v>
      </c>
      <c r="E316" s="2" t="s">
        <v>37</v>
      </c>
      <c r="F316" s="2" t="s">
        <v>38</v>
      </c>
      <c r="G316" s="5">
        <v>2014</v>
      </c>
      <c r="H316" s="5">
        <v>30</v>
      </c>
      <c r="I316" s="5">
        <v>1410</v>
      </c>
      <c r="J316" s="5">
        <v>1</v>
      </c>
      <c r="K316" s="2" t="s">
        <v>261</v>
      </c>
      <c r="L316" s="2" t="s">
        <v>168</v>
      </c>
      <c r="M316" s="4">
        <v>4.0999999999999996</v>
      </c>
      <c r="N316" s="5">
        <v>243</v>
      </c>
      <c r="O316" s="3">
        <v>45837</v>
      </c>
      <c r="P316" s="2" t="s">
        <v>2392</v>
      </c>
      <c r="Q316" s="2" t="s">
        <v>29</v>
      </c>
      <c r="R316" s="2" t="s">
        <v>30</v>
      </c>
      <c r="S316" s="2" t="s">
        <v>31</v>
      </c>
      <c r="T316" s="2"/>
    </row>
    <row r="317" spans="1:20" ht="12.5" x14ac:dyDescent="0.25">
      <c r="A317" s="2" t="s">
        <v>1268</v>
      </c>
      <c r="B317" s="2" t="s">
        <v>1269</v>
      </c>
      <c r="C317" s="2" t="s">
        <v>1270</v>
      </c>
      <c r="D317" s="2" t="s">
        <v>1271</v>
      </c>
      <c r="E317" s="2" t="s">
        <v>24</v>
      </c>
      <c r="F317" s="2" t="s">
        <v>25</v>
      </c>
      <c r="G317" s="5">
        <v>4605</v>
      </c>
      <c r="H317" s="5">
        <v>15</v>
      </c>
      <c r="I317" s="5">
        <v>3915</v>
      </c>
      <c r="J317" s="5">
        <v>2</v>
      </c>
      <c r="K317" s="2" t="s">
        <v>261</v>
      </c>
      <c r="L317" s="2" t="s">
        <v>88</v>
      </c>
      <c r="M317" s="4">
        <v>4.0999999999999996</v>
      </c>
      <c r="N317" s="5">
        <v>40</v>
      </c>
      <c r="O317" s="3">
        <v>45848</v>
      </c>
      <c r="P317" s="2" t="s">
        <v>2390</v>
      </c>
      <c r="Q317" s="2" t="s">
        <v>65</v>
      </c>
      <c r="R317" s="2" t="s">
        <v>110</v>
      </c>
      <c r="S317" s="2" t="s">
        <v>111</v>
      </c>
      <c r="T317" s="2"/>
    </row>
    <row r="318" spans="1:20" ht="12.5" x14ac:dyDescent="0.25">
      <c r="A318" s="2" t="s">
        <v>1272</v>
      </c>
      <c r="B318" s="2" t="s">
        <v>1273</v>
      </c>
      <c r="C318" s="2" t="s">
        <v>1274</v>
      </c>
      <c r="D318" s="2" t="s">
        <v>1275</v>
      </c>
      <c r="E318" s="2" t="s">
        <v>208</v>
      </c>
      <c r="F318" s="2" t="s">
        <v>117</v>
      </c>
      <c r="G318" s="5">
        <v>2449</v>
      </c>
      <c r="H318" s="5">
        <v>30</v>
      </c>
      <c r="I318" s="5">
        <v>1715</v>
      </c>
      <c r="J318" s="5">
        <v>3</v>
      </c>
      <c r="K318" s="2" t="s">
        <v>261</v>
      </c>
      <c r="L318" s="2" t="s">
        <v>209</v>
      </c>
      <c r="M318" s="4">
        <v>3.6</v>
      </c>
      <c r="N318" s="5">
        <v>255</v>
      </c>
      <c r="O318" s="3">
        <v>45834</v>
      </c>
      <c r="P318" s="2" t="s">
        <v>2392</v>
      </c>
      <c r="Q318" s="2" t="s">
        <v>78</v>
      </c>
      <c r="R318" s="2" t="s">
        <v>30</v>
      </c>
      <c r="S318" s="2" t="s">
        <v>31</v>
      </c>
      <c r="T318" s="2"/>
    </row>
    <row r="319" spans="1:20" ht="12.5" x14ac:dyDescent="0.25">
      <c r="A319" s="2" t="s">
        <v>1276</v>
      </c>
      <c r="B319" s="2" t="s">
        <v>1277</v>
      </c>
      <c r="C319" s="2" t="s">
        <v>1278</v>
      </c>
      <c r="D319" s="2" t="s">
        <v>1279</v>
      </c>
      <c r="E319" s="2" t="s">
        <v>132</v>
      </c>
      <c r="F319" s="2" t="s">
        <v>38</v>
      </c>
      <c r="G319" s="5">
        <v>3269</v>
      </c>
      <c r="H319" s="5">
        <v>10</v>
      </c>
      <c r="I319" s="5">
        <v>2943</v>
      </c>
      <c r="J319" s="5">
        <v>2</v>
      </c>
      <c r="K319" s="2" t="s">
        <v>56</v>
      </c>
      <c r="L319" s="2" t="s">
        <v>103</v>
      </c>
      <c r="M319" s="4">
        <v>4</v>
      </c>
      <c r="N319" s="5">
        <v>143</v>
      </c>
      <c r="O319" s="3">
        <v>45807</v>
      </c>
      <c r="P319" s="2" t="s">
        <v>2390</v>
      </c>
      <c r="Q319" s="2" t="s">
        <v>78</v>
      </c>
      <c r="R319" s="2" t="s">
        <v>185</v>
      </c>
      <c r="S319" s="2" t="s">
        <v>186</v>
      </c>
      <c r="T319" s="2"/>
    </row>
    <row r="320" spans="1:20" ht="12.5" x14ac:dyDescent="0.25">
      <c r="A320" s="2" t="s">
        <v>1280</v>
      </c>
      <c r="B320" s="2" t="s">
        <v>1236</v>
      </c>
      <c r="C320" s="2" t="s">
        <v>1281</v>
      </c>
      <c r="D320" s="2" t="s">
        <v>1282</v>
      </c>
      <c r="E320" s="2" t="s">
        <v>116</v>
      </c>
      <c r="F320" s="2" t="s">
        <v>117</v>
      </c>
      <c r="G320" s="5">
        <v>3039</v>
      </c>
      <c r="H320" s="5">
        <v>25</v>
      </c>
      <c r="I320" s="5">
        <v>2280</v>
      </c>
      <c r="J320" s="5">
        <v>1</v>
      </c>
      <c r="K320" s="2">
        <v>42</v>
      </c>
      <c r="L320" s="2" t="s">
        <v>64</v>
      </c>
      <c r="M320" s="4">
        <v>4.3</v>
      </c>
      <c r="N320" s="5">
        <v>194</v>
      </c>
      <c r="O320" s="3">
        <v>45816</v>
      </c>
      <c r="P320" s="2" t="s">
        <v>2390</v>
      </c>
      <c r="Q320" s="2" t="s">
        <v>78</v>
      </c>
      <c r="R320" s="2" t="s">
        <v>185</v>
      </c>
      <c r="S320" s="2" t="s">
        <v>186</v>
      </c>
      <c r="T320" s="2"/>
    </row>
    <row r="321" spans="1:20" ht="12.5" x14ac:dyDescent="0.25">
      <c r="A321" s="2" t="s">
        <v>1283</v>
      </c>
      <c r="B321" s="2" t="s">
        <v>1284</v>
      </c>
      <c r="C321" s="2" t="s">
        <v>1285</v>
      </c>
      <c r="D321" s="2" t="s">
        <v>1286</v>
      </c>
      <c r="E321" s="2" t="s">
        <v>132</v>
      </c>
      <c r="F321" s="2" t="s">
        <v>38</v>
      </c>
      <c r="G321" s="5">
        <v>1391</v>
      </c>
      <c r="H321" s="5">
        <v>10</v>
      </c>
      <c r="I321" s="5">
        <v>1252</v>
      </c>
      <c r="J321" s="5">
        <v>1</v>
      </c>
      <c r="K321" s="2">
        <v>42</v>
      </c>
      <c r="L321" s="2" t="s">
        <v>209</v>
      </c>
      <c r="M321" s="4">
        <v>4.3</v>
      </c>
      <c r="N321" s="5">
        <v>58</v>
      </c>
      <c r="O321" s="3">
        <v>45852</v>
      </c>
      <c r="P321" s="2" t="s">
        <v>2391</v>
      </c>
      <c r="Q321" s="2" t="s">
        <v>29</v>
      </c>
      <c r="R321" s="2" t="s">
        <v>104</v>
      </c>
      <c r="S321" s="2" t="s">
        <v>105</v>
      </c>
      <c r="T321" s="2"/>
    </row>
    <row r="322" spans="1:20" ht="12.5" x14ac:dyDescent="0.25">
      <c r="A322" s="2" t="s">
        <v>1287</v>
      </c>
      <c r="B322" s="2" t="s">
        <v>1288</v>
      </c>
      <c r="C322" s="2" t="s">
        <v>1289</v>
      </c>
      <c r="D322" s="2" t="s">
        <v>1290</v>
      </c>
      <c r="E322" s="2" t="s">
        <v>208</v>
      </c>
      <c r="F322" s="2" t="s">
        <v>117</v>
      </c>
      <c r="G322" s="5">
        <v>2541</v>
      </c>
      <c r="H322" s="5">
        <v>10</v>
      </c>
      <c r="I322" s="5">
        <v>2287</v>
      </c>
      <c r="J322" s="5">
        <v>1</v>
      </c>
      <c r="K322" s="2" t="s">
        <v>261</v>
      </c>
      <c r="L322" s="2" t="s">
        <v>133</v>
      </c>
      <c r="M322" s="4">
        <v>3.6</v>
      </c>
      <c r="N322" s="5">
        <v>205</v>
      </c>
      <c r="O322" s="3">
        <v>45797</v>
      </c>
      <c r="P322" s="2" t="s">
        <v>2391</v>
      </c>
      <c r="Q322" s="2" t="s">
        <v>65</v>
      </c>
      <c r="R322" s="2" t="s">
        <v>66</v>
      </c>
      <c r="S322" s="2" t="s">
        <v>67</v>
      </c>
      <c r="T322" s="2" t="s">
        <v>50</v>
      </c>
    </row>
    <row r="323" spans="1:20" ht="12.5" x14ac:dyDescent="0.25">
      <c r="A323" s="2" t="s">
        <v>1291</v>
      </c>
      <c r="B323" s="2" t="s">
        <v>1292</v>
      </c>
      <c r="C323" s="2" t="s">
        <v>1293</v>
      </c>
      <c r="D323" s="2" t="s">
        <v>1294</v>
      </c>
      <c r="E323" s="2" t="s">
        <v>48</v>
      </c>
      <c r="F323" s="2" t="s">
        <v>25</v>
      </c>
      <c r="G323" s="5">
        <v>4987</v>
      </c>
      <c r="H323" s="5">
        <v>20</v>
      </c>
      <c r="I323" s="5">
        <v>3990</v>
      </c>
      <c r="J323" s="5">
        <v>3</v>
      </c>
      <c r="K323" s="2" t="s">
        <v>26</v>
      </c>
      <c r="L323" s="2" t="s">
        <v>168</v>
      </c>
      <c r="M323" s="4">
        <v>4.0999999999999996</v>
      </c>
      <c r="N323" s="5">
        <v>19</v>
      </c>
      <c r="O323" s="3">
        <v>45843</v>
      </c>
      <c r="P323" s="2" t="s">
        <v>2390</v>
      </c>
      <c r="Q323" s="2" t="s">
        <v>65</v>
      </c>
      <c r="R323" s="2" t="s">
        <v>58</v>
      </c>
      <c r="S323" s="2" t="s">
        <v>59</v>
      </c>
      <c r="T323" s="2"/>
    </row>
    <row r="324" spans="1:20" ht="12.5" x14ac:dyDescent="0.25">
      <c r="A324" s="2" t="s">
        <v>1295</v>
      </c>
      <c r="B324" s="2" t="s">
        <v>152</v>
      </c>
      <c r="C324" s="2" t="s">
        <v>1296</v>
      </c>
      <c r="D324" s="2" t="s">
        <v>1297</v>
      </c>
      <c r="E324" s="2" t="s">
        <v>116</v>
      </c>
      <c r="F324" s="2" t="s">
        <v>117</v>
      </c>
      <c r="G324" s="5">
        <v>4266</v>
      </c>
      <c r="H324" s="5">
        <v>15</v>
      </c>
      <c r="I324" s="5">
        <v>3627</v>
      </c>
      <c r="J324" s="5">
        <v>1</v>
      </c>
      <c r="K324" s="2">
        <v>40</v>
      </c>
      <c r="L324" s="2" t="s">
        <v>73</v>
      </c>
      <c r="M324" s="4">
        <v>4.4000000000000004</v>
      </c>
      <c r="N324" s="5">
        <v>187</v>
      </c>
      <c r="O324" s="3">
        <v>45846</v>
      </c>
      <c r="P324" s="2" t="s">
        <v>2391</v>
      </c>
      <c r="Q324" s="2" t="s">
        <v>78</v>
      </c>
      <c r="R324" s="2" t="s">
        <v>89</v>
      </c>
      <c r="S324" s="2" t="s">
        <v>90</v>
      </c>
      <c r="T324" s="2" t="s">
        <v>203</v>
      </c>
    </row>
    <row r="325" spans="1:20" ht="12.5" x14ac:dyDescent="0.25">
      <c r="A325" s="2" t="s">
        <v>1298</v>
      </c>
      <c r="B325" s="2" t="s">
        <v>1018</v>
      </c>
      <c r="C325" s="2" t="s">
        <v>1299</v>
      </c>
      <c r="D325" s="2" t="s">
        <v>1300</v>
      </c>
      <c r="E325" s="2" t="s">
        <v>24</v>
      </c>
      <c r="F325" s="2" t="s">
        <v>25</v>
      </c>
      <c r="G325" s="5">
        <v>3300</v>
      </c>
      <c r="H325" s="5">
        <v>40</v>
      </c>
      <c r="I325" s="5">
        <v>1980</v>
      </c>
      <c r="J325" s="5">
        <v>3</v>
      </c>
      <c r="K325" s="2" t="s">
        <v>163</v>
      </c>
      <c r="L325" s="2" t="s">
        <v>39</v>
      </c>
      <c r="M325" s="4">
        <v>4.3</v>
      </c>
      <c r="N325" s="5">
        <v>219</v>
      </c>
      <c r="O325" s="3">
        <v>45785</v>
      </c>
      <c r="P325" s="2" t="s">
        <v>2390</v>
      </c>
      <c r="Q325" s="2" t="s">
        <v>78</v>
      </c>
      <c r="R325" s="2" t="s">
        <v>83</v>
      </c>
      <c r="S325" s="2" t="s">
        <v>83</v>
      </c>
      <c r="T325" s="2"/>
    </row>
    <row r="326" spans="1:20" ht="12.5" x14ac:dyDescent="0.25">
      <c r="A326" s="2" t="s">
        <v>1301</v>
      </c>
      <c r="B326" s="2" t="s">
        <v>791</v>
      </c>
      <c r="C326" s="2" t="s">
        <v>1302</v>
      </c>
      <c r="D326" s="2" t="s">
        <v>1303</v>
      </c>
      <c r="E326" s="2" t="s">
        <v>24</v>
      </c>
      <c r="F326" s="2" t="s">
        <v>25</v>
      </c>
      <c r="G326" s="5">
        <v>3283</v>
      </c>
      <c r="H326" s="5">
        <v>10</v>
      </c>
      <c r="I326" s="5">
        <v>2955</v>
      </c>
      <c r="J326" s="5">
        <v>2</v>
      </c>
      <c r="K326" s="2" t="s">
        <v>56</v>
      </c>
      <c r="L326" s="2" t="s">
        <v>168</v>
      </c>
      <c r="M326" s="4">
        <v>3.6</v>
      </c>
      <c r="N326" s="5">
        <v>255</v>
      </c>
      <c r="O326" s="3">
        <v>45837</v>
      </c>
      <c r="P326" s="2" t="s">
        <v>2390</v>
      </c>
      <c r="Q326" s="2" t="s">
        <v>29</v>
      </c>
      <c r="R326" s="2" t="s">
        <v>66</v>
      </c>
      <c r="S326" s="2" t="s">
        <v>67</v>
      </c>
      <c r="T326" s="2"/>
    </row>
    <row r="327" spans="1:20" ht="12.5" x14ac:dyDescent="0.25">
      <c r="A327" s="2" t="s">
        <v>1304</v>
      </c>
      <c r="B327" s="2" t="s">
        <v>1305</v>
      </c>
      <c r="C327" s="2" t="s">
        <v>1306</v>
      </c>
      <c r="D327" s="2" t="s">
        <v>1307</v>
      </c>
      <c r="E327" s="2" t="s">
        <v>147</v>
      </c>
      <c r="F327" s="2" t="s">
        <v>148</v>
      </c>
      <c r="G327" s="5">
        <v>2978</v>
      </c>
      <c r="H327" s="5">
        <v>30</v>
      </c>
      <c r="I327" s="5">
        <v>2085</v>
      </c>
      <c r="J327" s="5">
        <v>2</v>
      </c>
      <c r="K327" s="2" t="s">
        <v>72</v>
      </c>
      <c r="L327" s="2" t="s">
        <v>133</v>
      </c>
      <c r="M327" s="4">
        <v>4.8</v>
      </c>
      <c r="N327" s="5">
        <v>299</v>
      </c>
      <c r="O327" s="3">
        <v>45810</v>
      </c>
      <c r="P327" s="2" t="s">
        <v>2392</v>
      </c>
      <c r="Q327" s="2" t="s">
        <v>29</v>
      </c>
      <c r="R327" s="2" t="s">
        <v>41</v>
      </c>
      <c r="S327" s="2" t="s">
        <v>42</v>
      </c>
      <c r="T327" s="2"/>
    </row>
    <row r="328" spans="1:20" ht="12.5" x14ac:dyDescent="0.25">
      <c r="A328" s="2" t="s">
        <v>1308</v>
      </c>
      <c r="B328" s="2" t="s">
        <v>400</v>
      </c>
      <c r="C328" s="2" t="s">
        <v>1309</v>
      </c>
      <c r="D328" s="2" t="s">
        <v>1310</v>
      </c>
      <c r="E328" s="2" t="s">
        <v>247</v>
      </c>
      <c r="F328" s="2" t="s">
        <v>248</v>
      </c>
      <c r="G328" s="5">
        <v>3578</v>
      </c>
      <c r="H328" s="5">
        <v>20</v>
      </c>
      <c r="I328" s="5">
        <v>2863</v>
      </c>
      <c r="J328" s="5">
        <v>2</v>
      </c>
      <c r="K328" s="2" t="s">
        <v>163</v>
      </c>
      <c r="L328" s="2" t="s">
        <v>168</v>
      </c>
      <c r="M328" s="4">
        <v>4.7</v>
      </c>
      <c r="N328" s="5">
        <v>158</v>
      </c>
      <c r="O328" s="3">
        <v>45772</v>
      </c>
      <c r="P328" s="2" t="s">
        <v>2391</v>
      </c>
      <c r="Q328" s="2" t="s">
        <v>65</v>
      </c>
      <c r="R328" s="2" t="s">
        <v>89</v>
      </c>
      <c r="S328" s="2" t="s">
        <v>90</v>
      </c>
      <c r="T328" s="2" t="s">
        <v>203</v>
      </c>
    </row>
    <row r="329" spans="1:20" ht="12.5" x14ac:dyDescent="0.25">
      <c r="A329" s="2" t="s">
        <v>1311</v>
      </c>
      <c r="B329" s="2" t="s">
        <v>75</v>
      </c>
      <c r="C329" s="2" t="s">
        <v>1312</v>
      </c>
      <c r="D329" s="2" t="s">
        <v>1313</v>
      </c>
      <c r="E329" s="2" t="s">
        <v>208</v>
      </c>
      <c r="F329" s="2" t="s">
        <v>117</v>
      </c>
      <c r="G329" s="5">
        <v>4285</v>
      </c>
      <c r="H329" s="5">
        <v>35</v>
      </c>
      <c r="I329" s="5">
        <v>2786</v>
      </c>
      <c r="J329" s="5">
        <v>1</v>
      </c>
      <c r="K329" s="2" t="s">
        <v>26</v>
      </c>
      <c r="L329" s="2" t="s">
        <v>49</v>
      </c>
      <c r="M329" s="4">
        <v>4.5</v>
      </c>
      <c r="N329" s="5">
        <v>274</v>
      </c>
      <c r="O329" s="3">
        <v>45845</v>
      </c>
      <c r="P329" s="2" t="s">
        <v>2390</v>
      </c>
      <c r="Q329" s="2" t="s">
        <v>29</v>
      </c>
      <c r="R329" s="2" t="s">
        <v>41</v>
      </c>
      <c r="S329" s="2" t="s">
        <v>42</v>
      </c>
      <c r="T329" s="2"/>
    </row>
    <row r="330" spans="1:20" ht="12.5" x14ac:dyDescent="0.25">
      <c r="A330" s="2" t="s">
        <v>1314</v>
      </c>
      <c r="B330" s="2" t="s">
        <v>839</v>
      </c>
      <c r="C330" s="2" t="s">
        <v>1315</v>
      </c>
      <c r="D330" s="2" t="s">
        <v>1316</v>
      </c>
      <c r="E330" s="2" t="s">
        <v>24</v>
      </c>
      <c r="F330" s="2" t="s">
        <v>25</v>
      </c>
      <c r="G330" s="5">
        <v>3115</v>
      </c>
      <c r="H330" s="5">
        <v>10</v>
      </c>
      <c r="I330" s="5">
        <v>2804</v>
      </c>
      <c r="J330" s="5">
        <v>1</v>
      </c>
      <c r="K330" s="2" t="s">
        <v>72</v>
      </c>
      <c r="L330" s="2" t="s">
        <v>168</v>
      </c>
      <c r="M330" s="4">
        <v>3.6</v>
      </c>
      <c r="N330" s="5">
        <v>288</v>
      </c>
      <c r="O330" s="3">
        <v>45828</v>
      </c>
      <c r="P330" s="2" t="s">
        <v>2390</v>
      </c>
      <c r="Q330" s="2" t="s">
        <v>29</v>
      </c>
      <c r="R330" s="2" t="s">
        <v>104</v>
      </c>
      <c r="S330" s="2" t="s">
        <v>105</v>
      </c>
      <c r="T330" s="2"/>
    </row>
    <row r="331" spans="1:20" ht="12.5" x14ac:dyDescent="0.25">
      <c r="A331" s="2" t="s">
        <v>1317</v>
      </c>
      <c r="B331" s="2" t="s">
        <v>1318</v>
      </c>
      <c r="C331" s="2" t="s">
        <v>1319</v>
      </c>
      <c r="D331" s="2" t="s">
        <v>1320</v>
      </c>
      <c r="E331" s="2" t="s">
        <v>48</v>
      </c>
      <c r="F331" s="2" t="s">
        <v>25</v>
      </c>
      <c r="G331" s="5">
        <v>2076</v>
      </c>
      <c r="H331" s="5">
        <v>10</v>
      </c>
      <c r="I331" s="5">
        <v>1869</v>
      </c>
      <c r="J331" s="5">
        <v>3</v>
      </c>
      <c r="K331" s="2">
        <v>44</v>
      </c>
      <c r="L331" s="2" t="s">
        <v>88</v>
      </c>
      <c r="M331" s="4">
        <v>4</v>
      </c>
      <c r="N331" s="5">
        <v>248</v>
      </c>
      <c r="O331" s="3">
        <v>45778</v>
      </c>
      <c r="P331" s="2" t="s">
        <v>2391</v>
      </c>
      <c r="Q331" s="2" t="s">
        <v>29</v>
      </c>
      <c r="R331" s="2" t="s">
        <v>185</v>
      </c>
      <c r="S331" s="2" t="s">
        <v>186</v>
      </c>
      <c r="T331" s="2" t="s">
        <v>203</v>
      </c>
    </row>
    <row r="332" spans="1:20" ht="12.5" x14ac:dyDescent="0.25">
      <c r="A332" s="2" t="s">
        <v>1321</v>
      </c>
      <c r="B332" s="2" t="s">
        <v>271</v>
      </c>
      <c r="C332" s="2" t="s">
        <v>1322</v>
      </c>
      <c r="D332" s="2" t="s">
        <v>1323</v>
      </c>
      <c r="E332" s="2" t="s">
        <v>48</v>
      </c>
      <c r="F332" s="2" t="s">
        <v>25</v>
      </c>
      <c r="G332" s="5">
        <v>4851</v>
      </c>
      <c r="H332" s="5">
        <v>40</v>
      </c>
      <c r="I332" s="5">
        <v>2911</v>
      </c>
      <c r="J332" s="5">
        <v>2</v>
      </c>
      <c r="K332" s="2" t="s">
        <v>163</v>
      </c>
      <c r="L332" s="2" t="s">
        <v>73</v>
      </c>
      <c r="M332" s="4">
        <v>4.9000000000000004</v>
      </c>
      <c r="N332" s="5">
        <v>145</v>
      </c>
      <c r="O332" s="3">
        <v>45779</v>
      </c>
      <c r="P332" s="2" t="s">
        <v>2390</v>
      </c>
      <c r="Q332" s="2" t="s">
        <v>65</v>
      </c>
      <c r="R332" s="2" t="s">
        <v>58</v>
      </c>
      <c r="S332" s="2" t="s">
        <v>59</v>
      </c>
      <c r="T332" s="2"/>
    </row>
    <row r="333" spans="1:20" ht="12.5" x14ac:dyDescent="0.25">
      <c r="A333" s="2" t="s">
        <v>1324</v>
      </c>
      <c r="B333" s="2" t="s">
        <v>1325</v>
      </c>
      <c r="C333" s="2" t="s">
        <v>1326</v>
      </c>
      <c r="D333" s="2" t="s">
        <v>1327</v>
      </c>
      <c r="E333" s="2" t="s">
        <v>48</v>
      </c>
      <c r="F333" s="2" t="s">
        <v>25</v>
      </c>
      <c r="G333" s="5">
        <v>3223</v>
      </c>
      <c r="H333" s="5">
        <v>20</v>
      </c>
      <c r="I333" s="5">
        <v>2579</v>
      </c>
      <c r="J333" s="5">
        <v>1</v>
      </c>
      <c r="K333" s="2" t="s">
        <v>56</v>
      </c>
      <c r="L333" s="2" t="s">
        <v>64</v>
      </c>
      <c r="M333" s="4">
        <v>4.5999999999999996</v>
      </c>
      <c r="N333" s="5">
        <v>284</v>
      </c>
      <c r="O333" s="3">
        <v>45770</v>
      </c>
      <c r="P333" s="2" t="s">
        <v>2392</v>
      </c>
      <c r="Q333" s="2" t="s">
        <v>78</v>
      </c>
      <c r="R333" s="2" t="s">
        <v>58</v>
      </c>
      <c r="S333" s="2" t="s">
        <v>59</v>
      </c>
      <c r="T333" s="2"/>
    </row>
    <row r="334" spans="1:20" ht="12.5" x14ac:dyDescent="0.25">
      <c r="A334" s="2" t="s">
        <v>1328</v>
      </c>
      <c r="B334" s="2" t="s">
        <v>456</v>
      </c>
      <c r="C334" s="2" t="s">
        <v>1329</v>
      </c>
      <c r="D334" s="2" t="s">
        <v>1330</v>
      </c>
      <c r="E334" s="2" t="s">
        <v>55</v>
      </c>
      <c r="F334" s="2" t="s">
        <v>38</v>
      </c>
      <c r="G334" s="5">
        <v>3210</v>
      </c>
      <c r="H334" s="5">
        <v>25</v>
      </c>
      <c r="I334" s="5">
        <v>2408</v>
      </c>
      <c r="J334" s="5">
        <v>2</v>
      </c>
      <c r="K334" s="2">
        <v>44</v>
      </c>
      <c r="L334" s="2" t="s">
        <v>168</v>
      </c>
      <c r="M334" s="4">
        <v>4.0999999999999996</v>
      </c>
      <c r="N334" s="5">
        <v>192</v>
      </c>
      <c r="O334" s="3">
        <v>45797</v>
      </c>
      <c r="P334" s="2" t="s">
        <v>2390</v>
      </c>
      <c r="Q334" s="2" t="s">
        <v>29</v>
      </c>
      <c r="R334" s="2" t="s">
        <v>104</v>
      </c>
      <c r="S334" s="2" t="s">
        <v>105</v>
      </c>
      <c r="T334" s="2"/>
    </row>
    <row r="335" spans="1:20" ht="12.5" x14ac:dyDescent="0.25">
      <c r="A335" s="2" t="s">
        <v>1331</v>
      </c>
      <c r="B335" s="2" t="s">
        <v>1332</v>
      </c>
      <c r="C335" s="2" t="s">
        <v>1333</v>
      </c>
      <c r="D335" s="2" t="s">
        <v>1334</v>
      </c>
      <c r="E335" s="2" t="s">
        <v>208</v>
      </c>
      <c r="F335" s="2" t="s">
        <v>117</v>
      </c>
      <c r="G335" s="5">
        <v>4572</v>
      </c>
      <c r="H335" s="5">
        <v>15</v>
      </c>
      <c r="I335" s="5">
        <v>3887</v>
      </c>
      <c r="J335" s="5">
        <v>3</v>
      </c>
      <c r="K335" s="2" t="s">
        <v>26</v>
      </c>
      <c r="L335" s="2" t="s">
        <v>103</v>
      </c>
      <c r="M335" s="4">
        <v>4.2</v>
      </c>
      <c r="N335" s="5">
        <v>11</v>
      </c>
      <c r="O335" s="3">
        <v>45798</v>
      </c>
      <c r="P335" s="2" t="s">
        <v>2390</v>
      </c>
      <c r="Q335" s="2" t="s">
        <v>29</v>
      </c>
      <c r="R335" s="2" t="s">
        <v>89</v>
      </c>
      <c r="S335" s="2" t="s">
        <v>90</v>
      </c>
      <c r="T335" s="2"/>
    </row>
    <row r="336" spans="1:20" ht="12.5" x14ac:dyDescent="0.25">
      <c r="A336" s="2" t="s">
        <v>1335</v>
      </c>
      <c r="B336" s="2" t="s">
        <v>1336</v>
      </c>
      <c r="C336" s="2" t="s">
        <v>1337</v>
      </c>
      <c r="D336" s="2" t="s">
        <v>1338</v>
      </c>
      <c r="E336" s="2" t="s">
        <v>132</v>
      </c>
      <c r="F336" s="2" t="s">
        <v>38</v>
      </c>
      <c r="G336" s="5">
        <v>3145</v>
      </c>
      <c r="H336" s="5">
        <v>20</v>
      </c>
      <c r="I336" s="5">
        <v>2516</v>
      </c>
      <c r="J336" s="5">
        <v>3</v>
      </c>
      <c r="K336" s="2" t="s">
        <v>72</v>
      </c>
      <c r="L336" s="2" t="s">
        <v>209</v>
      </c>
      <c r="M336" s="4">
        <v>3.6</v>
      </c>
      <c r="N336" s="5">
        <v>132</v>
      </c>
      <c r="O336" s="3">
        <v>45843</v>
      </c>
      <c r="P336" s="2" t="s">
        <v>2392</v>
      </c>
      <c r="Q336" s="2" t="s">
        <v>65</v>
      </c>
      <c r="R336" s="2" t="s">
        <v>89</v>
      </c>
      <c r="S336" s="2" t="s">
        <v>90</v>
      </c>
      <c r="T336" s="2"/>
    </row>
    <row r="337" spans="1:20" ht="12.5" x14ac:dyDescent="0.25">
      <c r="A337" s="2" t="s">
        <v>1339</v>
      </c>
      <c r="B337" s="2" t="s">
        <v>436</v>
      </c>
      <c r="C337" s="2" t="s">
        <v>1340</v>
      </c>
      <c r="D337" s="2" t="s">
        <v>1341</v>
      </c>
      <c r="E337" s="2" t="s">
        <v>37</v>
      </c>
      <c r="F337" s="2" t="s">
        <v>38</v>
      </c>
      <c r="G337" s="5">
        <v>4846</v>
      </c>
      <c r="H337" s="5">
        <v>30</v>
      </c>
      <c r="I337" s="5">
        <v>3393</v>
      </c>
      <c r="J337" s="5">
        <v>2</v>
      </c>
      <c r="K337" s="2" t="s">
        <v>32</v>
      </c>
      <c r="L337" s="2" t="s">
        <v>39</v>
      </c>
      <c r="M337" s="4">
        <v>4.3</v>
      </c>
      <c r="N337" s="5">
        <v>261</v>
      </c>
      <c r="O337" s="3">
        <v>45804</v>
      </c>
      <c r="P337" s="2" t="s">
        <v>2390</v>
      </c>
      <c r="Q337" s="2" t="s">
        <v>29</v>
      </c>
      <c r="R337" s="2" t="s">
        <v>104</v>
      </c>
      <c r="S337" s="2" t="s">
        <v>105</v>
      </c>
      <c r="T337" s="2"/>
    </row>
    <row r="338" spans="1:20" ht="12.5" x14ac:dyDescent="0.25">
      <c r="A338" s="2" t="s">
        <v>1342</v>
      </c>
      <c r="B338" s="2" t="s">
        <v>61</v>
      </c>
      <c r="C338" s="2" t="s">
        <v>1343</v>
      </c>
      <c r="D338" s="2" t="s">
        <v>1344</v>
      </c>
      <c r="E338" s="2" t="s">
        <v>122</v>
      </c>
      <c r="F338" s="2" t="s">
        <v>123</v>
      </c>
      <c r="G338" s="5">
        <v>4938</v>
      </c>
      <c r="H338" s="5">
        <v>25</v>
      </c>
      <c r="I338" s="5">
        <v>3704</v>
      </c>
      <c r="J338" s="5">
        <v>1</v>
      </c>
      <c r="K338" s="2" t="s">
        <v>32</v>
      </c>
      <c r="L338" s="2" t="s">
        <v>133</v>
      </c>
      <c r="M338" s="4">
        <v>4.3</v>
      </c>
      <c r="N338" s="5">
        <v>10</v>
      </c>
      <c r="O338" s="3">
        <v>45844</v>
      </c>
      <c r="P338" s="2" t="s">
        <v>2390</v>
      </c>
      <c r="Q338" s="2" t="s">
        <v>78</v>
      </c>
      <c r="R338" s="2" t="s">
        <v>83</v>
      </c>
      <c r="S338" s="2" t="s">
        <v>83</v>
      </c>
      <c r="T338" s="2"/>
    </row>
    <row r="339" spans="1:20" ht="12.5" x14ac:dyDescent="0.25">
      <c r="A339" s="2" t="s">
        <v>1345</v>
      </c>
      <c r="B339" s="2" t="s">
        <v>263</v>
      </c>
      <c r="C339" s="2" t="s">
        <v>1346</v>
      </c>
      <c r="D339" s="2" t="s">
        <v>1347</v>
      </c>
      <c r="E339" s="2" t="s">
        <v>24</v>
      </c>
      <c r="F339" s="2" t="s">
        <v>25</v>
      </c>
      <c r="G339" s="5">
        <v>4175</v>
      </c>
      <c r="H339" s="5">
        <v>25</v>
      </c>
      <c r="I339" s="5">
        <v>3132</v>
      </c>
      <c r="J339" s="5">
        <v>1</v>
      </c>
      <c r="K339" s="2" t="s">
        <v>261</v>
      </c>
      <c r="L339" s="2" t="s">
        <v>88</v>
      </c>
      <c r="M339" s="4">
        <v>3.6</v>
      </c>
      <c r="N339" s="5">
        <v>184</v>
      </c>
      <c r="O339" s="3">
        <v>45839</v>
      </c>
      <c r="P339" s="2" t="s">
        <v>2390</v>
      </c>
      <c r="Q339" s="2" t="s">
        <v>78</v>
      </c>
      <c r="R339" s="2" t="s">
        <v>149</v>
      </c>
      <c r="S339" s="2" t="s">
        <v>150</v>
      </c>
      <c r="T339" s="2"/>
    </row>
    <row r="340" spans="1:20" ht="12.5" x14ac:dyDescent="0.25">
      <c r="A340" s="2" t="s">
        <v>1348</v>
      </c>
      <c r="B340" s="2" t="s">
        <v>1018</v>
      </c>
      <c r="C340" s="2" t="s">
        <v>1349</v>
      </c>
      <c r="D340" s="2" t="s">
        <v>1350</v>
      </c>
      <c r="E340" s="2" t="s">
        <v>247</v>
      </c>
      <c r="F340" s="2" t="s">
        <v>248</v>
      </c>
      <c r="G340" s="5">
        <v>3082</v>
      </c>
      <c r="H340" s="5">
        <v>25</v>
      </c>
      <c r="I340" s="5">
        <v>2312</v>
      </c>
      <c r="J340" s="5">
        <v>1</v>
      </c>
      <c r="K340" s="2" t="s">
        <v>226</v>
      </c>
      <c r="L340" s="2" t="s">
        <v>49</v>
      </c>
      <c r="M340" s="4">
        <v>4.7</v>
      </c>
      <c r="N340" s="5">
        <v>93</v>
      </c>
      <c r="O340" s="3">
        <v>45826</v>
      </c>
      <c r="P340" s="2" t="s">
        <v>2390</v>
      </c>
      <c r="Q340" s="2" t="s">
        <v>65</v>
      </c>
      <c r="R340" s="2" t="s">
        <v>89</v>
      </c>
      <c r="S340" s="2" t="s">
        <v>90</v>
      </c>
      <c r="T340" s="2"/>
    </row>
    <row r="341" spans="1:20" ht="12.5" x14ac:dyDescent="0.25">
      <c r="A341" s="2" t="s">
        <v>1351</v>
      </c>
      <c r="B341" s="2" t="s">
        <v>1352</v>
      </c>
      <c r="C341" s="2" t="s">
        <v>1353</v>
      </c>
      <c r="D341" s="2" t="s">
        <v>1354</v>
      </c>
      <c r="E341" s="2" t="s">
        <v>208</v>
      </c>
      <c r="F341" s="2" t="s">
        <v>117</v>
      </c>
      <c r="G341" s="5">
        <v>1376</v>
      </c>
      <c r="H341" s="5">
        <v>20</v>
      </c>
      <c r="I341" s="5">
        <v>1101</v>
      </c>
      <c r="J341" s="5">
        <v>2</v>
      </c>
      <c r="K341" s="2" t="s">
        <v>226</v>
      </c>
      <c r="L341" s="2" t="s">
        <v>64</v>
      </c>
      <c r="M341" s="4">
        <v>3.7</v>
      </c>
      <c r="N341" s="5">
        <v>16</v>
      </c>
      <c r="O341" s="3">
        <v>45830</v>
      </c>
      <c r="P341" s="2" t="s">
        <v>2392</v>
      </c>
      <c r="Q341" s="2" t="s">
        <v>65</v>
      </c>
      <c r="R341" s="2" t="s">
        <v>83</v>
      </c>
      <c r="S341" s="2" t="s">
        <v>83</v>
      </c>
      <c r="T341" s="2"/>
    </row>
    <row r="342" spans="1:20" ht="12.5" x14ac:dyDescent="0.25">
      <c r="A342" s="2" t="s">
        <v>1355</v>
      </c>
      <c r="B342" s="2" t="s">
        <v>215</v>
      </c>
      <c r="C342" s="2" t="s">
        <v>1356</v>
      </c>
      <c r="D342" s="2" t="s">
        <v>1357</v>
      </c>
      <c r="E342" s="2" t="s">
        <v>147</v>
      </c>
      <c r="F342" s="2" t="s">
        <v>148</v>
      </c>
      <c r="G342" s="5">
        <v>954</v>
      </c>
      <c r="H342" s="5">
        <v>15</v>
      </c>
      <c r="I342" s="5">
        <v>811</v>
      </c>
      <c r="J342" s="5">
        <v>3</v>
      </c>
      <c r="K342" s="2" t="s">
        <v>261</v>
      </c>
      <c r="L342" s="2" t="s">
        <v>103</v>
      </c>
      <c r="M342" s="4">
        <v>4.2</v>
      </c>
      <c r="N342" s="5">
        <v>198</v>
      </c>
      <c r="O342" s="3">
        <v>45821</v>
      </c>
      <c r="P342" s="2" t="s">
        <v>2391</v>
      </c>
      <c r="Q342" s="2" t="s">
        <v>65</v>
      </c>
      <c r="R342" s="2" t="s">
        <v>110</v>
      </c>
      <c r="S342" s="2" t="s">
        <v>111</v>
      </c>
      <c r="T342" s="2"/>
    </row>
    <row r="343" spans="1:20" ht="12.5" x14ac:dyDescent="0.25">
      <c r="A343" s="2" t="s">
        <v>1358</v>
      </c>
      <c r="B343" s="2" t="s">
        <v>1359</v>
      </c>
      <c r="C343" s="2" t="s">
        <v>1360</v>
      </c>
      <c r="D343" s="2" t="s">
        <v>1361</v>
      </c>
      <c r="E343" s="2" t="s">
        <v>122</v>
      </c>
      <c r="F343" s="2" t="s">
        <v>123</v>
      </c>
      <c r="G343" s="5">
        <v>2580</v>
      </c>
      <c r="H343" s="5">
        <v>10</v>
      </c>
      <c r="I343" s="5">
        <v>2322</v>
      </c>
      <c r="J343" s="5">
        <v>2</v>
      </c>
      <c r="K343" s="2" t="s">
        <v>261</v>
      </c>
      <c r="L343" s="2" t="s">
        <v>73</v>
      </c>
      <c r="M343" s="4">
        <v>3.8</v>
      </c>
      <c r="N343" s="5">
        <v>207</v>
      </c>
      <c r="O343" s="3">
        <v>45841</v>
      </c>
      <c r="P343" s="2" t="s">
        <v>2391</v>
      </c>
      <c r="Q343" s="2" t="s">
        <v>78</v>
      </c>
      <c r="R343" s="2" t="s">
        <v>89</v>
      </c>
      <c r="S343" s="2" t="s">
        <v>90</v>
      </c>
      <c r="T343" s="2"/>
    </row>
    <row r="344" spans="1:20" ht="12.5" x14ac:dyDescent="0.25">
      <c r="A344" s="2" t="s">
        <v>1362</v>
      </c>
      <c r="B344" s="2" t="s">
        <v>1363</v>
      </c>
      <c r="C344" s="2" t="s">
        <v>1364</v>
      </c>
      <c r="D344" s="2" t="s">
        <v>1365</v>
      </c>
      <c r="E344" s="2" t="s">
        <v>208</v>
      </c>
      <c r="F344" s="2" t="s">
        <v>117</v>
      </c>
      <c r="G344" s="5">
        <v>3283</v>
      </c>
      <c r="H344" s="5">
        <v>10</v>
      </c>
      <c r="I344" s="5">
        <v>2955</v>
      </c>
      <c r="J344" s="5">
        <v>3</v>
      </c>
      <c r="K344" s="2">
        <v>44</v>
      </c>
      <c r="L344" s="2" t="s">
        <v>133</v>
      </c>
      <c r="M344" s="4">
        <v>4.9000000000000004</v>
      </c>
      <c r="N344" s="5">
        <v>128</v>
      </c>
      <c r="O344" s="3">
        <v>45810</v>
      </c>
      <c r="P344" s="2" t="s">
        <v>2391</v>
      </c>
      <c r="Q344" s="2" t="s">
        <v>29</v>
      </c>
      <c r="R344" s="2" t="s">
        <v>185</v>
      </c>
      <c r="S344" s="2" t="s">
        <v>186</v>
      </c>
      <c r="T344" s="2"/>
    </row>
    <row r="345" spans="1:20" ht="12.5" x14ac:dyDescent="0.25">
      <c r="A345" s="2" t="s">
        <v>1366</v>
      </c>
      <c r="B345" s="2" t="s">
        <v>1367</v>
      </c>
      <c r="C345" s="2" t="s">
        <v>1368</v>
      </c>
      <c r="D345" s="2" t="s">
        <v>1369</v>
      </c>
      <c r="E345" s="2" t="s">
        <v>116</v>
      </c>
      <c r="F345" s="2" t="s">
        <v>117</v>
      </c>
      <c r="G345" s="5">
        <v>2832</v>
      </c>
      <c r="H345" s="5">
        <v>35</v>
      </c>
      <c r="I345" s="5">
        <v>1841</v>
      </c>
      <c r="J345" s="5">
        <v>1</v>
      </c>
      <c r="K345" s="2" t="s">
        <v>72</v>
      </c>
      <c r="L345" s="2" t="s">
        <v>168</v>
      </c>
      <c r="M345" s="4">
        <v>3.8</v>
      </c>
      <c r="N345" s="5">
        <v>129</v>
      </c>
      <c r="O345" s="3">
        <v>45784</v>
      </c>
      <c r="P345" s="2" t="s">
        <v>2392</v>
      </c>
      <c r="Q345" s="2" t="s">
        <v>78</v>
      </c>
      <c r="R345" s="2" t="s">
        <v>149</v>
      </c>
      <c r="S345" s="2" t="s">
        <v>150</v>
      </c>
      <c r="T345" s="2"/>
    </row>
    <row r="346" spans="1:20" ht="12.5" x14ac:dyDescent="0.25">
      <c r="A346" s="2" t="s">
        <v>1370</v>
      </c>
      <c r="B346" s="2" t="s">
        <v>850</v>
      </c>
      <c r="C346" s="2" t="s">
        <v>1371</v>
      </c>
      <c r="D346" s="2" t="s">
        <v>1372</v>
      </c>
      <c r="E346" s="2" t="s">
        <v>122</v>
      </c>
      <c r="F346" s="2" t="s">
        <v>123</v>
      </c>
      <c r="G346" s="5">
        <v>4167</v>
      </c>
      <c r="H346" s="5">
        <v>30</v>
      </c>
      <c r="I346" s="5">
        <v>2917</v>
      </c>
      <c r="J346" s="5">
        <v>3</v>
      </c>
      <c r="K346" s="2">
        <v>44</v>
      </c>
      <c r="L346" s="2" t="s">
        <v>64</v>
      </c>
      <c r="M346" s="4">
        <v>4.0999999999999996</v>
      </c>
      <c r="N346" s="5">
        <v>41</v>
      </c>
      <c r="O346" s="3">
        <v>45824</v>
      </c>
      <c r="P346" s="2" t="s">
        <v>2391</v>
      </c>
      <c r="Q346" s="2" t="s">
        <v>65</v>
      </c>
      <c r="R346" s="2" t="s">
        <v>149</v>
      </c>
      <c r="S346" s="2" t="s">
        <v>150</v>
      </c>
      <c r="T346" s="2" t="s">
        <v>134</v>
      </c>
    </row>
    <row r="347" spans="1:20" ht="12.5" x14ac:dyDescent="0.25">
      <c r="A347" s="2" t="s">
        <v>1373</v>
      </c>
      <c r="B347" s="2" t="s">
        <v>1374</v>
      </c>
      <c r="C347" s="2" t="s">
        <v>1375</v>
      </c>
      <c r="D347" s="2" t="s">
        <v>1376</v>
      </c>
      <c r="E347" s="2" t="s">
        <v>247</v>
      </c>
      <c r="F347" s="2" t="s">
        <v>248</v>
      </c>
      <c r="G347" s="5">
        <v>4271</v>
      </c>
      <c r="H347" s="5">
        <v>10</v>
      </c>
      <c r="I347" s="5">
        <v>3844</v>
      </c>
      <c r="J347" s="5">
        <v>2</v>
      </c>
      <c r="K347" s="2" t="s">
        <v>26</v>
      </c>
      <c r="L347" s="2" t="s">
        <v>27</v>
      </c>
      <c r="M347" s="4">
        <v>4.5999999999999996</v>
      </c>
      <c r="N347" s="5">
        <v>41</v>
      </c>
      <c r="O347" s="3">
        <v>45803</v>
      </c>
      <c r="P347" s="2" t="s">
        <v>2391</v>
      </c>
      <c r="Q347" s="2" t="s">
        <v>78</v>
      </c>
      <c r="R347" s="2" t="s">
        <v>149</v>
      </c>
      <c r="S347" s="2" t="s">
        <v>150</v>
      </c>
      <c r="T347" s="2" t="s">
        <v>43</v>
      </c>
    </row>
    <row r="348" spans="1:20" ht="12.5" x14ac:dyDescent="0.25">
      <c r="A348" s="2" t="s">
        <v>1377</v>
      </c>
      <c r="B348" s="2" t="s">
        <v>1378</v>
      </c>
      <c r="C348" s="2" t="s">
        <v>1379</v>
      </c>
      <c r="D348" s="2" t="s">
        <v>1380</v>
      </c>
      <c r="E348" s="2" t="s">
        <v>48</v>
      </c>
      <c r="F348" s="2" t="s">
        <v>25</v>
      </c>
      <c r="G348" s="5">
        <v>1963</v>
      </c>
      <c r="H348" s="5">
        <v>20</v>
      </c>
      <c r="I348" s="5">
        <v>1571</v>
      </c>
      <c r="J348" s="5">
        <v>1</v>
      </c>
      <c r="K348" s="2">
        <v>40</v>
      </c>
      <c r="L348" s="2" t="s">
        <v>27</v>
      </c>
      <c r="M348" s="4">
        <v>4.0999999999999996</v>
      </c>
      <c r="N348" s="5">
        <v>176</v>
      </c>
      <c r="O348" s="3">
        <v>45800</v>
      </c>
      <c r="P348" s="2" t="s">
        <v>2392</v>
      </c>
      <c r="Q348" s="2" t="s">
        <v>65</v>
      </c>
      <c r="R348" s="2" t="s">
        <v>30</v>
      </c>
      <c r="S348" s="2" t="s">
        <v>31</v>
      </c>
      <c r="T348" s="2"/>
    </row>
    <row r="349" spans="1:20" ht="12.5" x14ac:dyDescent="0.25">
      <c r="A349" s="2" t="s">
        <v>1381</v>
      </c>
      <c r="B349" s="2" t="s">
        <v>1140</v>
      </c>
      <c r="C349" s="2" t="s">
        <v>1382</v>
      </c>
      <c r="D349" s="2" t="s">
        <v>1383</v>
      </c>
      <c r="E349" s="2" t="s">
        <v>37</v>
      </c>
      <c r="F349" s="2" t="s">
        <v>38</v>
      </c>
      <c r="G349" s="5">
        <v>4941</v>
      </c>
      <c r="H349" s="5">
        <v>30</v>
      </c>
      <c r="I349" s="5">
        <v>3459</v>
      </c>
      <c r="J349" s="5">
        <v>1</v>
      </c>
      <c r="K349" s="2" t="s">
        <v>56</v>
      </c>
      <c r="L349" s="2" t="s">
        <v>103</v>
      </c>
      <c r="M349" s="4">
        <v>4.0999999999999996</v>
      </c>
      <c r="N349" s="5">
        <v>89</v>
      </c>
      <c r="O349" s="3">
        <v>45845</v>
      </c>
      <c r="P349" s="2" t="s">
        <v>2391</v>
      </c>
      <c r="Q349" s="2" t="s">
        <v>78</v>
      </c>
      <c r="R349" s="2" t="s">
        <v>41</v>
      </c>
      <c r="S349" s="2" t="s">
        <v>42</v>
      </c>
      <c r="T349" s="2" t="s">
        <v>134</v>
      </c>
    </row>
    <row r="350" spans="1:20" ht="12.5" x14ac:dyDescent="0.25">
      <c r="A350" s="2" t="s">
        <v>1384</v>
      </c>
      <c r="B350" s="2" t="s">
        <v>1385</v>
      </c>
      <c r="C350" s="2" t="s">
        <v>1386</v>
      </c>
      <c r="D350" s="2" t="s">
        <v>1387</v>
      </c>
      <c r="E350" s="2" t="s">
        <v>247</v>
      </c>
      <c r="F350" s="2" t="s">
        <v>248</v>
      </c>
      <c r="G350" s="5">
        <v>1055</v>
      </c>
      <c r="H350" s="5">
        <v>20</v>
      </c>
      <c r="I350" s="5">
        <v>844</v>
      </c>
      <c r="J350" s="5">
        <v>2</v>
      </c>
      <c r="K350" s="2" t="s">
        <v>56</v>
      </c>
      <c r="L350" s="2" t="s">
        <v>49</v>
      </c>
      <c r="M350" s="4">
        <v>4.4000000000000004</v>
      </c>
      <c r="N350" s="5">
        <v>74</v>
      </c>
      <c r="O350" s="3">
        <v>45858</v>
      </c>
      <c r="P350" s="2" t="s">
        <v>2392</v>
      </c>
      <c r="Q350" s="2" t="s">
        <v>29</v>
      </c>
      <c r="R350" s="2" t="s">
        <v>149</v>
      </c>
      <c r="S350" s="2" t="s">
        <v>150</v>
      </c>
      <c r="T350" s="2"/>
    </row>
    <row r="351" spans="1:20" ht="12.5" x14ac:dyDescent="0.25">
      <c r="A351" s="2" t="s">
        <v>1388</v>
      </c>
      <c r="B351" s="2" t="s">
        <v>1389</v>
      </c>
      <c r="C351" s="2" t="s">
        <v>1390</v>
      </c>
      <c r="D351" s="2" t="s">
        <v>1391</v>
      </c>
      <c r="E351" s="2" t="s">
        <v>132</v>
      </c>
      <c r="F351" s="2" t="s">
        <v>38</v>
      </c>
      <c r="G351" s="5">
        <v>2105</v>
      </c>
      <c r="H351" s="5">
        <v>35</v>
      </c>
      <c r="I351" s="5">
        <v>1369</v>
      </c>
      <c r="J351" s="5">
        <v>1</v>
      </c>
      <c r="K351" s="2">
        <v>40</v>
      </c>
      <c r="L351" s="2" t="s">
        <v>64</v>
      </c>
      <c r="M351" s="4">
        <v>4.9000000000000004</v>
      </c>
      <c r="N351" s="5">
        <v>22</v>
      </c>
      <c r="O351" s="3">
        <v>45833</v>
      </c>
      <c r="P351" s="2" t="s">
        <v>2392</v>
      </c>
      <c r="Q351" s="2" t="s">
        <v>65</v>
      </c>
      <c r="R351" s="2" t="s">
        <v>30</v>
      </c>
      <c r="S351" s="2" t="s">
        <v>31</v>
      </c>
      <c r="T351" s="2"/>
    </row>
    <row r="352" spans="1:20" ht="12.5" x14ac:dyDescent="0.25">
      <c r="A352" s="2" t="s">
        <v>1392</v>
      </c>
      <c r="B352" s="2" t="s">
        <v>858</v>
      </c>
      <c r="C352" s="2" t="s">
        <v>1393</v>
      </c>
      <c r="D352" s="2" t="s">
        <v>1394</v>
      </c>
      <c r="E352" s="2" t="s">
        <v>116</v>
      </c>
      <c r="F352" s="2" t="s">
        <v>117</v>
      </c>
      <c r="G352" s="5">
        <v>2487</v>
      </c>
      <c r="H352" s="5">
        <v>30</v>
      </c>
      <c r="I352" s="5">
        <v>1741</v>
      </c>
      <c r="J352" s="5">
        <v>1</v>
      </c>
      <c r="K352" s="2" t="s">
        <v>226</v>
      </c>
      <c r="L352" s="2" t="s">
        <v>168</v>
      </c>
      <c r="M352" s="4">
        <v>4.3</v>
      </c>
      <c r="N352" s="5">
        <v>198</v>
      </c>
      <c r="O352" s="3">
        <v>45835</v>
      </c>
      <c r="P352" s="2" t="s">
        <v>2392</v>
      </c>
      <c r="Q352" s="2" t="s">
        <v>78</v>
      </c>
      <c r="R352" s="2" t="s">
        <v>30</v>
      </c>
      <c r="S352" s="2" t="s">
        <v>31</v>
      </c>
      <c r="T352" s="2"/>
    </row>
    <row r="353" spans="1:20" ht="12.5" x14ac:dyDescent="0.25">
      <c r="A353" s="2" t="s">
        <v>1395</v>
      </c>
      <c r="B353" s="2" t="s">
        <v>1396</v>
      </c>
      <c r="C353" s="2" t="s">
        <v>1397</v>
      </c>
      <c r="D353" s="2" t="s">
        <v>1398</v>
      </c>
      <c r="E353" s="2" t="s">
        <v>247</v>
      </c>
      <c r="F353" s="2" t="s">
        <v>248</v>
      </c>
      <c r="G353" s="5">
        <v>3435</v>
      </c>
      <c r="H353" s="5">
        <v>35</v>
      </c>
      <c r="I353" s="5">
        <v>2233</v>
      </c>
      <c r="J353" s="5">
        <v>2</v>
      </c>
      <c r="K353" s="2">
        <v>42</v>
      </c>
      <c r="L353" s="2" t="s">
        <v>103</v>
      </c>
      <c r="M353" s="4">
        <v>3.5</v>
      </c>
      <c r="N353" s="5">
        <v>123</v>
      </c>
      <c r="O353" s="3">
        <v>45827</v>
      </c>
      <c r="P353" s="2" t="s">
        <v>2392</v>
      </c>
      <c r="Q353" s="2" t="s">
        <v>65</v>
      </c>
      <c r="R353" s="2" t="s">
        <v>30</v>
      </c>
      <c r="S353" s="2" t="s">
        <v>31</v>
      </c>
      <c r="T353" s="2"/>
    </row>
    <row r="354" spans="1:20" ht="12.5" x14ac:dyDescent="0.25">
      <c r="A354" s="2" t="s">
        <v>1399</v>
      </c>
      <c r="B354" s="2" t="s">
        <v>258</v>
      </c>
      <c r="C354" s="2" t="s">
        <v>1400</v>
      </c>
      <c r="D354" s="2" t="s">
        <v>1401</v>
      </c>
      <c r="E354" s="2" t="s">
        <v>24</v>
      </c>
      <c r="F354" s="2" t="s">
        <v>25</v>
      </c>
      <c r="G354" s="5">
        <v>671</v>
      </c>
      <c r="H354" s="5">
        <v>15</v>
      </c>
      <c r="I354" s="5">
        <v>571</v>
      </c>
      <c r="J354" s="5">
        <v>1</v>
      </c>
      <c r="K354" s="2" t="s">
        <v>226</v>
      </c>
      <c r="L354" s="2" t="s">
        <v>27</v>
      </c>
      <c r="M354" s="4">
        <v>3.6</v>
      </c>
      <c r="N354" s="5">
        <v>78</v>
      </c>
      <c r="O354" s="3">
        <v>45856</v>
      </c>
      <c r="P354" s="2" t="s">
        <v>2392</v>
      </c>
      <c r="Q354" s="2" t="s">
        <v>65</v>
      </c>
      <c r="R354" s="2" t="s">
        <v>149</v>
      </c>
      <c r="S354" s="2" t="s">
        <v>150</v>
      </c>
      <c r="T354" s="2"/>
    </row>
    <row r="355" spans="1:20" ht="12.5" x14ac:dyDescent="0.25">
      <c r="A355" s="2" t="s">
        <v>1402</v>
      </c>
      <c r="B355" s="2" t="s">
        <v>917</v>
      </c>
      <c r="C355" s="2" t="s">
        <v>1403</v>
      </c>
      <c r="D355" s="2" t="s">
        <v>1404</v>
      </c>
      <c r="E355" s="2" t="s">
        <v>147</v>
      </c>
      <c r="F355" s="2" t="s">
        <v>148</v>
      </c>
      <c r="G355" s="5">
        <v>4216</v>
      </c>
      <c r="H355" s="5">
        <v>15</v>
      </c>
      <c r="I355" s="5">
        <v>3584</v>
      </c>
      <c r="J355" s="5">
        <v>1</v>
      </c>
      <c r="K355" s="2" t="s">
        <v>26</v>
      </c>
      <c r="L355" s="2" t="s">
        <v>73</v>
      </c>
      <c r="M355" s="4">
        <v>4.3</v>
      </c>
      <c r="N355" s="5">
        <v>43</v>
      </c>
      <c r="O355" s="3">
        <v>45792</v>
      </c>
      <c r="P355" s="2" t="s">
        <v>2391</v>
      </c>
      <c r="Q355" s="2" t="s">
        <v>65</v>
      </c>
      <c r="R355" s="2" t="s">
        <v>66</v>
      </c>
      <c r="S355" s="2" t="s">
        <v>67</v>
      </c>
      <c r="T355" s="2" t="s">
        <v>43</v>
      </c>
    </row>
    <row r="356" spans="1:20" ht="12.5" x14ac:dyDescent="0.25">
      <c r="A356" s="2" t="s">
        <v>1405</v>
      </c>
      <c r="B356" s="2" t="s">
        <v>713</v>
      </c>
      <c r="C356" s="2" t="s">
        <v>1406</v>
      </c>
      <c r="D356" s="2" t="s">
        <v>1407</v>
      </c>
      <c r="E356" s="2" t="s">
        <v>116</v>
      </c>
      <c r="F356" s="2" t="s">
        <v>117</v>
      </c>
      <c r="G356" s="5">
        <v>1776</v>
      </c>
      <c r="H356" s="5">
        <v>10</v>
      </c>
      <c r="I356" s="5">
        <v>1599</v>
      </c>
      <c r="J356" s="5">
        <v>1</v>
      </c>
      <c r="K356" s="2" t="s">
        <v>163</v>
      </c>
      <c r="L356" s="2" t="s">
        <v>73</v>
      </c>
      <c r="M356" s="4">
        <v>3.9</v>
      </c>
      <c r="N356" s="5">
        <v>271</v>
      </c>
      <c r="O356" s="3">
        <v>45784</v>
      </c>
      <c r="P356" s="2" t="s">
        <v>2392</v>
      </c>
      <c r="Q356" s="2" t="s">
        <v>29</v>
      </c>
      <c r="R356" s="2" t="s">
        <v>41</v>
      </c>
      <c r="S356" s="2" t="s">
        <v>42</v>
      </c>
      <c r="T356" s="2"/>
    </row>
    <row r="357" spans="1:20" ht="12.5" x14ac:dyDescent="0.25">
      <c r="A357" s="2" t="s">
        <v>1408</v>
      </c>
      <c r="B357" s="2" t="s">
        <v>1409</v>
      </c>
      <c r="C357" s="2" t="s">
        <v>571</v>
      </c>
      <c r="D357" s="2" t="s">
        <v>1410</v>
      </c>
      <c r="E357" s="2" t="s">
        <v>147</v>
      </c>
      <c r="F357" s="2" t="s">
        <v>148</v>
      </c>
      <c r="G357" s="5">
        <v>2213</v>
      </c>
      <c r="H357" s="5">
        <v>40</v>
      </c>
      <c r="I357" s="5">
        <v>1328</v>
      </c>
      <c r="J357" s="5">
        <v>1</v>
      </c>
      <c r="K357" s="2">
        <v>40</v>
      </c>
      <c r="L357" s="2" t="s">
        <v>133</v>
      </c>
      <c r="M357" s="4">
        <v>3.8</v>
      </c>
      <c r="N357" s="5">
        <v>234</v>
      </c>
      <c r="O357" s="3">
        <v>45839</v>
      </c>
      <c r="P357" s="2" t="s">
        <v>2391</v>
      </c>
      <c r="Q357" s="2" t="s">
        <v>78</v>
      </c>
      <c r="R357" s="2" t="s">
        <v>110</v>
      </c>
      <c r="S357" s="2" t="s">
        <v>111</v>
      </c>
      <c r="T357" s="2" t="s">
        <v>134</v>
      </c>
    </row>
    <row r="358" spans="1:20" ht="12.5" x14ac:dyDescent="0.25">
      <c r="A358" s="2" t="s">
        <v>1411</v>
      </c>
      <c r="B358" s="2" t="s">
        <v>1412</v>
      </c>
      <c r="C358" s="2" t="s">
        <v>1413</v>
      </c>
      <c r="D358" s="2" t="s">
        <v>1414</v>
      </c>
      <c r="E358" s="2" t="s">
        <v>122</v>
      </c>
      <c r="F358" s="2" t="s">
        <v>123</v>
      </c>
      <c r="G358" s="5">
        <v>3573</v>
      </c>
      <c r="H358" s="5">
        <v>10</v>
      </c>
      <c r="I358" s="5">
        <v>3216</v>
      </c>
      <c r="J358" s="5">
        <v>1</v>
      </c>
      <c r="K358" s="2">
        <v>42</v>
      </c>
      <c r="L358" s="2" t="s">
        <v>39</v>
      </c>
      <c r="M358" s="4">
        <v>4.4000000000000004</v>
      </c>
      <c r="N358" s="5">
        <v>182</v>
      </c>
      <c r="O358" s="3">
        <v>45836</v>
      </c>
      <c r="P358" s="2" t="s">
        <v>2391</v>
      </c>
      <c r="Q358" s="2" t="s">
        <v>78</v>
      </c>
      <c r="R358" s="2" t="s">
        <v>41</v>
      </c>
      <c r="S358" s="2" t="s">
        <v>42</v>
      </c>
      <c r="T358" s="2" t="s">
        <v>134</v>
      </c>
    </row>
    <row r="359" spans="1:20" ht="12.5" x14ac:dyDescent="0.25">
      <c r="A359" s="2" t="s">
        <v>1415</v>
      </c>
      <c r="B359" s="2" t="s">
        <v>61</v>
      </c>
      <c r="C359" s="2" t="s">
        <v>1416</v>
      </c>
      <c r="D359" s="2" t="s">
        <v>1417</v>
      </c>
      <c r="E359" s="2" t="s">
        <v>247</v>
      </c>
      <c r="F359" s="2" t="s">
        <v>248</v>
      </c>
      <c r="G359" s="5">
        <v>3798</v>
      </c>
      <c r="H359" s="5">
        <v>30</v>
      </c>
      <c r="I359" s="5">
        <v>2659</v>
      </c>
      <c r="J359" s="5">
        <v>2</v>
      </c>
      <c r="K359" s="2" t="s">
        <v>72</v>
      </c>
      <c r="L359" s="2" t="s">
        <v>88</v>
      </c>
      <c r="M359" s="4">
        <v>4.3</v>
      </c>
      <c r="N359" s="5">
        <v>199</v>
      </c>
      <c r="O359" s="3">
        <v>45840</v>
      </c>
      <c r="P359" s="2" t="s">
        <v>2392</v>
      </c>
      <c r="Q359" s="2" t="s">
        <v>65</v>
      </c>
      <c r="R359" s="2" t="s">
        <v>83</v>
      </c>
      <c r="S359" s="2" t="s">
        <v>83</v>
      </c>
      <c r="T359" s="2"/>
    </row>
    <row r="360" spans="1:20" ht="12.5" x14ac:dyDescent="0.25">
      <c r="A360" s="2" t="s">
        <v>1418</v>
      </c>
      <c r="B360" s="2" t="s">
        <v>205</v>
      </c>
      <c r="C360" s="2" t="s">
        <v>1419</v>
      </c>
      <c r="D360" s="2" t="s">
        <v>1420</v>
      </c>
      <c r="E360" s="2" t="s">
        <v>122</v>
      </c>
      <c r="F360" s="2" t="s">
        <v>123</v>
      </c>
      <c r="G360" s="5">
        <v>4281</v>
      </c>
      <c r="H360" s="5">
        <v>35</v>
      </c>
      <c r="I360" s="5">
        <v>2783</v>
      </c>
      <c r="J360" s="5">
        <v>3</v>
      </c>
      <c r="K360" s="2" t="s">
        <v>226</v>
      </c>
      <c r="L360" s="2" t="s">
        <v>39</v>
      </c>
      <c r="M360" s="4">
        <v>3.6</v>
      </c>
      <c r="N360" s="5">
        <v>11</v>
      </c>
      <c r="O360" s="3">
        <v>45838</v>
      </c>
      <c r="P360" s="2" t="s">
        <v>2391</v>
      </c>
      <c r="Q360" s="2" t="s">
        <v>29</v>
      </c>
      <c r="R360" s="2" t="s">
        <v>89</v>
      </c>
      <c r="S360" s="2" t="s">
        <v>90</v>
      </c>
      <c r="T360" s="2" t="s">
        <v>43</v>
      </c>
    </row>
    <row r="361" spans="1:20" ht="12.5" x14ac:dyDescent="0.25">
      <c r="A361" s="2" t="s">
        <v>1421</v>
      </c>
      <c r="B361" s="2" t="s">
        <v>271</v>
      </c>
      <c r="C361" s="2" t="s">
        <v>1422</v>
      </c>
      <c r="D361" s="2" t="s">
        <v>1423</v>
      </c>
      <c r="E361" s="2" t="s">
        <v>37</v>
      </c>
      <c r="F361" s="2" t="s">
        <v>38</v>
      </c>
      <c r="G361" s="5">
        <v>3265</v>
      </c>
      <c r="H361" s="5">
        <v>15</v>
      </c>
      <c r="I361" s="5">
        <v>2776</v>
      </c>
      <c r="J361" s="5">
        <v>1</v>
      </c>
      <c r="K361" s="2" t="s">
        <v>226</v>
      </c>
      <c r="L361" s="2" t="s">
        <v>73</v>
      </c>
      <c r="M361" s="4">
        <v>4.5999999999999996</v>
      </c>
      <c r="N361" s="5">
        <v>37</v>
      </c>
      <c r="O361" s="3">
        <v>45852</v>
      </c>
      <c r="P361" s="2" t="s">
        <v>2391</v>
      </c>
      <c r="Q361" s="2" t="s">
        <v>29</v>
      </c>
      <c r="R361" s="2" t="s">
        <v>41</v>
      </c>
      <c r="S361" s="2" t="s">
        <v>42</v>
      </c>
      <c r="T361" s="2" t="s">
        <v>134</v>
      </c>
    </row>
    <row r="362" spans="1:20" ht="12.5" x14ac:dyDescent="0.25">
      <c r="A362" s="2" t="s">
        <v>1424</v>
      </c>
      <c r="B362" s="2" t="s">
        <v>1425</v>
      </c>
      <c r="C362" s="2" t="s">
        <v>1426</v>
      </c>
      <c r="D362" s="2" t="s">
        <v>1427</v>
      </c>
      <c r="E362" s="2" t="s">
        <v>247</v>
      </c>
      <c r="F362" s="2" t="s">
        <v>248</v>
      </c>
      <c r="G362" s="5">
        <v>1118</v>
      </c>
      <c r="H362" s="5">
        <v>30</v>
      </c>
      <c r="I362" s="5">
        <v>783</v>
      </c>
      <c r="J362" s="5">
        <v>3</v>
      </c>
      <c r="K362" s="2">
        <v>44</v>
      </c>
      <c r="L362" s="2" t="s">
        <v>64</v>
      </c>
      <c r="M362" s="4">
        <v>4.9000000000000004</v>
      </c>
      <c r="N362" s="5">
        <v>53</v>
      </c>
      <c r="O362" s="3">
        <v>45858</v>
      </c>
      <c r="P362" s="2" t="s">
        <v>2390</v>
      </c>
      <c r="Q362" s="2" t="s">
        <v>29</v>
      </c>
      <c r="R362" s="2" t="s">
        <v>104</v>
      </c>
      <c r="S362" s="2" t="s">
        <v>105</v>
      </c>
      <c r="T362" s="2"/>
    </row>
    <row r="363" spans="1:20" ht="12.5" x14ac:dyDescent="0.25">
      <c r="A363" s="2" t="s">
        <v>1428</v>
      </c>
      <c r="B363" s="2" t="s">
        <v>1385</v>
      </c>
      <c r="C363" s="2" t="s">
        <v>1429</v>
      </c>
      <c r="D363" s="2" t="s">
        <v>1430</v>
      </c>
      <c r="E363" s="2" t="s">
        <v>48</v>
      </c>
      <c r="F363" s="2" t="s">
        <v>25</v>
      </c>
      <c r="G363" s="5">
        <v>4659</v>
      </c>
      <c r="H363" s="5">
        <v>25</v>
      </c>
      <c r="I363" s="5">
        <v>3495</v>
      </c>
      <c r="J363" s="5">
        <v>1</v>
      </c>
      <c r="K363" s="2">
        <v>44</v>
      </c>
      <c r="L363" s="2" t="s">
        <v>88</v>
      </c>
      <c r="M363" s="4">
        <v>4.2</v>
      </c>
      <c r="N363" s="5">
        <v>13</v>
      </c>
      <c r="O363" s="3">
        <v>45783</v>
      </c>
      <c r="P363" s="2" t="s">
        <v>2392</v>
      </c>
      <c r="Q363" s="2" t="s">
        <v>29</v>
      </c>
      <c r="R363" s="2" t="s">
        <v>58</v>
      </c>
      <c r="S363" s="2" t="s">
        <v>59</v>
      </c>
      <c r="T363" s="2"/>
    </row>
    <row r="364" spans="1:20" ht="12.5" x14ac:dyDescent="0.25">
      <c r="A364" s="2" t="s">
        <v>1431</v>
      </c>
      <c r="B364" s="2" t="s">
        <v>1432</v>
      </c>
      <c r="C364" s="2" t="s">
        <v>1433</v>
      </c>
      <c r="D364" s="2" t="s">
        <v>1434</v>
      </c>
      <c r="E364" s="2" t="s">
        <v>37</v>
      </c>
      <c r="F364" s="2" t="s">
        <v>38</v>
      </c>
      <c r="G364" s="5">
        <v>866</v>
      </c>
      <c r="H364" s="5">
        <v>40</v>
      </c>
      <c r="I364" s="5">
        <v>520</v>
      </c>
      <c r="J364" s="5">
        <v>2</v>
      </c>
      <c r="K364" s="2" t="s">
        <v>163</v>
      </c>
      <c r="L364" s="2" t="s">
        <v>39</v>
      </c>
      <c r="M364" s="4">
        <v>4.2</v>
      </c>
      <c r="N364" s="5">
        <v>294</v>
      </c>
      <c r="O364" s="3">
        <v>45829</v>
      </c>
      <c r="P364" s="2" t="s">
        <v>2391</v>
      </c>
      <c r="Q364" s="2" t="s">
        <v>29</v>
      </c>
      <c r="R364" s="2" t="s">
        <v>66</v>
      </c>
      <c r="S364" s="2" t="s">
        <v>67</v>
      </c>
      <c r="T364" s="2" t="s">
        <v>203</v>
      </c>
    </row>
    <row r="365" spans="1:20" ht="12.5" x14ac:dyDescent="0.25">
      <c r="A365" s="2" t="s">
        <v>1435</v>
      </c>
      <c r="B365" s="2" t="s">
        <v>369</v>
      </c>
      <c r="C365" s="2" t="s">
        <v>1436</v>
      </c>
      <c r="D365" s="2" t="s">
        <v>1437</v>
      </c>
      <c r="E365" s="2" t="s">
        <v>24</v>
      </c>
      <c r="F365" s="2" t="s">
        <v>25</v>
      </c>
      <c r="G365" s="5">
        <v>777</v>
      </c>
      <c r="H365" s="5">
        <v>15</v>
      </c>
      <c r="I365" s="5">
        <v>661</v>
      </c>
      <c r="J365" s="5">
        <v>1</v>
      </c>
      <c r="K365" s="2" t="s">
        <v>163</v>
      </c>
      <c r="L365" s="2" t="s">
        <v>133</v>
      </c>
      <c r="M365" s="4">
        <v>3.7</v>
      </c>
      <c r="N365" s="5">
        <v>198</v>
      </c>
      <c r="O365" s="3">
        <v>45792</v>
      </c>
      <c r="P365" s="2" t="s">
        <v>2391</v>
      </c>
      <c r="Q365" s="2" t="s">
        <v>78</v>
      </c>
      <c r="R365" s="2" t="s">
        <v>89</v>
      </c>
      <c r="S365" s="2" t="s">
        <v>90</v>
      </c>
      <c r="T365" s="2" t="s">
        <v>203</v>
      </c>
    </row>
    <row r="366" spans="1:20" ht="12.5" x14ac:dyDescent="0.25">
      <c r="A366" s="2" t="s">
        <v>1438</v>
      </c>
      <c r="B366" s="2" t="s">
        <v>1439</v>
      </c>
      <c r="C366" s="2" t="s">
        <v>1440</v>
      </c>
      <c r="D366" s="2" t="s">
        <v>1441</v>
      </c>
      <c r="E366" s="2" t="s">
        <v>247</v>
      </c>
      <c r="F366" s="2" t="s">
        <v>248</v>
      </c>
      <c r="G366" s="5">
        <v>1091</v>
      </c>
      <c r="H366" s="5">
        <v>30</v>
      </c>
      <c r="I366" s="5">
        <v>764</v>
      </c>
      <c r="J366" s="5">
        <v>3</v>
      </c>
      <c r="K366" s="2" t="s">
        <v>226</v>
      </c>
      <c r="L366" s="2" t="s">
        <v>209</v>
      </c>
      <c r="M366" s="4">
        <v>3.6</v>
      </c>
      <c r="N366" s="5">
        <v>274</v>
      </c>
      <c r="O366" s="3">
        <v>45813</v>
      </c>
      <c r="P366" s="2" t="s">
        <v>2392</v>
      </c>
      <c r="Q366" s="2" t="s">
        <v>65</v>
      </c>
      <c r="R366" s="2" t="s">
        <v>89</v>
      </c>
      <c r="S366" s="2" t="s">
        <v>90</v>
      </c>
      <c r="T366" s="2"/>
    </row>
    <row r="367" spans="1:20" ht="12.5" x14ac:dyDescent="0.25">
      <c r="A367" s="2" t="s">
        <v>1442</v>
      </c>
      <c r="B367" s="2" t="s">
        <v>483</v>
      </c>
      <c r="C367" s="2" t="s">
        <v>1443</v>
      </c>
      <c r="D367" s="2" t="s">
        <v>1444</v>
      </c>
      <c r="E367" s="2" t="s">
        <v>37</v>
      </c>
      <c r="F367" s="2" t="s">
        <v>38</v>
      </c>
      <c r="G367" s="5">
        <v>2783</v>
      </c>
      <c r="H367" s="5">
        <v>30</v>
      </c>
      <c r="I367" s="5">
        <v>1949</v>
      </c>
      <c r="J367" s="5">
        <v>1</v>
      </c>
      <c r="K367" s="2" t="s">
        <v>226</v>
      </c>
      <c r="L367" s="2" t="s">
        <v>88</v>
      </c>
      <c r="M367" s="4">
        <v>5</v>
      </c>
      <c r="N367" s="5">
        <v>236</v>
      </c>
      <c r="O367" s="3">
        <v>45799</v>
      </c>
      <c r="P367" s="2" t="s">
        <v>2392</v>
      </c>
      <c r="Q367" s="2" t="s">
        <v>29</v>
      </c>
      <c r="R367" s="2" t="s">
        <v>185</v>
      </c>
      <c r="S367" s="2" t="s">
        <v>186</v>
      </c>
      <c r="T367" s="2"/>
    </row>
    <row r="368" spans="1:20" ht="12.5" x14ac:dyDescent="0.25">
      <c r="A368" s="2" t="s">
        <v>1445</v>
      </c>
      <c r="B368" s="2" t="s">
        <v>862</v>
      </c>
      <c r="C368" s="2" t="s">
        <v>296</v>
      </c>
      <c r="D368" s="2" t="s">
        <v>1446</v>
      </c>
      <c r="E368" s="2" t="s">
        <v>24</v>
      </c>
      <c r="F368" s="2" t="s">
        <v>25</v>
      </c>
      <c r="G368" s="5">
        <v>700</v>
      </c>
      <c r="H368" s="5">
        <v>25</v>
      </c>
      <c r="I368" s="5">
        <v>525</v>
      </c>
      <c r="J368" s="5">
        <v>3</v>
      </c>
      <c r="K368" s="2" t="s">
        <v>56</v>
      </c>
      <c r="L368" s="2" t="s">
        <v>73</v>
      </c>
      <c r="M368" s="4">
        <v>3.8</v>
      </c>
      <c r="N368" s="5">
        <v>286</v>
      </c>
      <c r="O368" s="3">
        <v>45826</v>
      </c>
      <c r="P368" s="2" t="s">
        <v>2392</v>
      </c>
      <c r="Q368" s="2" t="s">
        <v>65</v>
      </c>
      <c r="R368" s="2" t="s">
        <v>185</v>
      </c>
      <c r="S368" s="2" t="s">
        <v>186</v>
      </c>
      <c r="T368" s="2"/>
    </row>
    <row r="369" spans="1:20" ht="12.5" x14ac:dyDescent="0.25">
      <c r="A369" s="2" t="s">
        <v>1447</v>
      </c>
      <c r="B369" s="2" t="s">
        <v>1378</v>
      </c>
      <c r="C369" s="2" t="s">
        <v>1448</v>
      </c>
      <c r="D369" s="2" t="s">
        <v>1449</v>
      </c>
      <c r="E369" s="2" t="s">
        <v>37</v>
      </c>
      <c r="F369" s="2" t="s">
        <v>38</v>
      </c>
      <c r="G369" s="5">
        <v>1092</v>
      </c>
      <c r="H369" s="5">
        <v>30</v>
      </c>
      <c r="I369" s="5">
        <v>765</v>
      </c>
      <c r="J369" s="5">
        <v>2</v>
      </c>
      <c r="K369" s="2" t="s">
        <v>56</v>
      </c>
      <c r="L369" s="2" t="s">
        <v>64</v>
      </c>
      <c r="M369" s="4">
        <v>4.3</v>
      </c>
      <c r="N369" s="5">
        <v>74</v>
      </c>
      <c r="O369" s="3">
        <v>45806</v>
      </c>
      <c r="P369" s="2" t="s">
        <v>2391</v>
      </c>
      <c r="Q369" s="2" t="s">
        <v>65</v>
      </c>
      <c r="R369" s="2" t="s">
        <v>30</v>
      </c>
      <c r="S369" s="2" t="s">
        <v>31</v>
      </c>
      <c r="T369" s="2" t="s">
        <v>203</v>
      </c>
    </row>
    <row r="370" spans="1:20" ht="12.5" x14ac:dyDescent="0.25">
      <c r="A370" s="2" t="s">
        <v>1450</v>
      </c>
      <c r="B370" s="2" t="s">
        <v>1136</v>
      </c>
      <c r="C370" s="2" t="s">
        <v>1451</v>
      </c>
      <c r="D370" s="2" t="s">
        <v>1452</v>
      </c>
      <c r="E370" s="2" t="s">
        <v>132</v>
      </c>
      <c r="F370" s="2" t="s">
        <v>38</v>
      </c>
      <c r="G370" s="5">
        <v>1608</v>
      </c>
      <c r="H370" s="5">
        <v>40</v>
      </c>
      <c r="I370" s="5">
        <v>965</v>
      </c>
      <c r="J370" s="5">
        <v>1</v>
      </c>
      <c r="K370" s="2" t="s">
        <v>72</v>
      </c>
      <c r="L370" s="2" t="s">
        <v>133</v>
      </c>
      <c r="M370" s="4">
        <v>3.7</v>
      </c>
      <c r="N370" s="5">
        <v>172</v>
      </c>
      <c r="O370" s="3">
        <v>45793</v>
      </c>
      <c r="P370" s="2" t="s">
        <v>2391</v>
      </c>
      <c r="Q370" s="2" t="s">
        <v>29</v>
      </c>
      <c r="R370" s="2" t="s">
        <v>58</v>
      </c>
      <c r="S370" s="2" t="s">
        <v>59</v>
      </c>
      <c r="T370" s="2" t="s">
        <v>203</v>
      </c>
    </row>
    <row r="371" spans="1:20" ht="12.5" x14ac:dyDescent="0.25">
      <c r="A371" s="2" t="s">
        <v>1453</v>
      </c>
      <c r="B371" s="2" t="s">
        <v>1000</v>
      </c>
      <c r="C371" s="2" t="s">
        <v>1454</v>
      </c>
      <c r="D371" s="2" t="s">
        <v>1455</v>
      </c>
      <c r="E371" s="2" t="s">
        <v>48</v>
      </c>
      <c r="F371" s="2" t="s">
        <v>25</v>
      </c>
      <c r="G371" s="5">
        <v>1317</v>
      </c>
      <c r="H371" s="5">
        <v>10</v>
      </c>
      <c r="I371" s="5">
        <v>1186</v>
      </c>
      <c r="J371" s="5">
        <v>1</v>
      </c>
      <c r="K371" s="2">
        <v>44</v>
      </c>
      <c r="L371" s="2" t="s">
        <v>39</v>
      </c>
      <c r="M371" s="4">
        <v>4.9000000000000004</v>
      </c>
      <c r="N371" s="5">
        <v>139</v>
      </c>
      <c r="O371" s="3">
        <v>45843</v>
      </c>
      <c r="P371" s="2" t="s">
        <v>2390</v>
      </c>
      <c r="Q371" s="2" t="s">
        <v>65</v>
      </c>
      <c r="R371" s="2" t="s">
        <v>83</v>
      </c>
      <c r="S371" s="2" t="s">
        <v>83</v>
      </c>
      <c r="T371" s="2"/>
    </row>
    <row r="372" spans="1:20" ht="12.5" x14ac:dyDescent="0.25">
      <c r="A372" s="2" t="s">
        <v>1456</v>
      </c>
      <c r="B372" s="2" t="s">
        <v>1132</v>
      </c>
      <c r="C372" s="2" t="s">
        <v>1457</v>
      </c>
      <c r="D372" s="2" t="s">
        <v>1458</v>
      </c>
      <c r="E372" s="2" t="s">
        <v>116</v>
      </c>
      <c r="F372" s="2" t="s">
        <v>117</v>
      </c>
      <c r="G372" s="5">
        <v>868</v>
      </c>
      <c r="H372" s="5">
        <v>40</v>
      </c>
      <c r="I372" s="5">
        <v>521</v>
      </c>
      <c r="J372" s="5">
        <v>3</v>
      </c>
      <c r="K372" s="2" t="s">
        <v>261</v>
      </c>
      <c r="L372" s="2" t="s">
        <v>103</v>
      </c>
      <c r="M372" s="4">
        <v>4.2</v>
      </c>
      <c r="N372" s="5">
        <v>112</v>
      </c>
      <c r="O372" s="3">
        <v>45850</v>
      </c>
      <c r="P372" s="2" t="s">
        <v>2391</v>
      </c>
      <c r="Q372" s="2" t="s">
        <v>65</v>
      </c>
      <c r="R372" s="2" t="s">
        <v>30</v>
      </c>
      <c r="S372" s="2" t="s">
        <v>31</v>
      </c>
      <c r="T372" s="2" t="s">
        <v>203</v>
      </c>
    </row>
    <row r="373" spans="1:20" ht="12.5" x14ac:dyDescent="0.25">
      <c r="A373" s="2" t="s">
        <v>1459</v>
      </c>
      <c r="B373" s="2" t="s">
        <v>1460</v>
      </c>
      <c r="C373" s="2" t="s">
        <v>997</v>
      </c>
      <c r="D373" s="2" t="s">
        <v>1461</v>
      </c>
      <c r="E373" s="2" t="s">
        <v>55</v>
      </c>
      <c r="F373" s="2" t="s">
        <v>38</v>
      </c>
      <c r="G373" s="5">
        <v>2872</v>
      </c>
      <c r="H373" s="5">
        <v>35</v>
      </c>
      <c r="I373" s="5">
        <v>1867</v>
      </c>
      <c r="J373" s="5">
        <v>1</v>
      </c>
      <c r="K373" s="2" t="s">
        <v>226</v>
      </c>
      <c r="L373" s="2" t="s">
        <v>168</v>
      </c>
      <c r="M373" s="4">
        <v>4.9000000000000004</v>
      </c>
      <c r="N373" s="5">
        <v>215</v>
      </c>
      <c r="O373" s="3">
        <v>45771</v>
      </c>
      <c r="P373" s="2" t="s">
        <v>2391</v>
      </c>
      <c r="Q373" s="2" t="s">
        <v>78</v>
      </c>
      <c r="R373" s="2" t="s">
        <v>185</v>
      </c>
      <c r="S373" s="2" t="s">
        <v>186</v>
      </c>
      <c r="T373" s="2"/>
    </row>
    <row r="374" spans="1:20" ht="12.5" x14ac:dyDescent="0.25">
      <c r="A374" s="2" t="s">
        <v>1462</v>
      </c>
      <c r="B374" s="2" t="s">
        <v>765</v>
      </c>
      <c r="C374" s="2" t="s">
        <v>1463</v>
      </c>
      <c r="D374" s="2" t="s">
        <v>1464</v>
      </c>
      <c r="E374" s="2" t="s">
        <v>37</v>
      </c>
      <c r="F374" s="2" t="s">
        <v>38</v>
      </c>
      <c r="G374" s="5">
        <v>4146</v>
      </c>
      <c r="H374" s="5">
        <v>15</v>
      </c>
      <c r="I374" s="5">
        <v>3525</v>
      </c>
      <c r="J374" s="5">
        <v>2</v>
      </c>
      <c r="K374" s="2">
        <v>44</v>
      </c>
      <c r="L374" s="2" t="s">
        <v>73</v>
      </c>
      <c r="M374" s="4">
        <v>4.7</v>
      </c>
      <c r="N374" s="5">
        <v>50</v>
      </c>
      <c r="O374" s="3">
        <v>45845</v>
      </c>
      <c r="P374" s="2" t="s">
        <v>2392</v>
      </c>
      <c r="Q374" s="2" t="s">
        <v>29</v>
      </c>
      <c r="R374" s="2" t="s">
        <v>89</v>
      </c>
      <c r="S374" s="2" t="s">
        <v>90</v>
      </c>
      <c r="T374" s="2"/>
    </row>
    <row r="375" spans="1:20" ht="12.5" x14ac:dyDescent="0.25">
      <c r="A375" s="2" t="s">
        <v>1465</v>
      </c>
      <c r="B375" s="2" t="s">
        <v>1318</v>
      </c>
      <c r="C375" s="2" t="s">
        <v>1466</v>
      </c>
      <c r="D375" s="2" t="s">
        <v>1467</v>
      </c>
      <c r="E375" s="2" t="s">
        <v>48</v>
      </c>
      <c r="F375" s="2" t="s">
        <v>25</v>
      </c>
      <c r="G375" s="5">
        <v>3789</v>
      </c>
      <c r="H375" s="5">
        <v>25</v>
      </c>
      <c r="I375" s="5">
        <v>2842</v>
      </c>
      <c r="J375" s="5">
        <v>3</v>
      </c>
      <c r="K375" s="2" t="s">
        <v>72</v>
      </c>
      <c r="L375" s="2" t="s">
        <v>49</v>
      </c>
      <c r="M375" s="4">
        <v>3.7</v>
      </c>
      <c r="N375" s="5">
        <v>101</v>
      </c>
      <c r="O375" s="3">
        <v>45791</v>
      </c>
      <c r="P375" s="2" t="s">
        <v>2390</v>
      </c>
      <c r="Q375" s="2" t="s">
        <v>29</v>
      </c>
      <c r="R375" s="2" t="s">
        <v>58</v>
      </c>
      <c r="S375" s="2" t="s">
        <v>59</v>
      </c>
      <c r="T375" s="2"/>
    </row>
    <row r="376" spans="1:20" ht="12.5" x14ac:dyDescent="0.25">
      <c r="A376" s="2" t="s">
        <v>1468</v>
      </c>
      <c r="B376" s="2" t="s">
        <v>1469</v>
      </c>
      <c r="C376" s="2" t="s">
        <v>1470</v>
      </c>
      <c r="D376" s="2" t="s">
        <v>1471</v>
      </c>
      <c r="E376" s="2" t="s">
        <v>147</v>
      </c>
      <c r="F376" s="2" t="s">
        <v>148</v>
      </c>
      <c r="G376" s="5">
        <v>3401</v>
      </c>
      <c r="H376" s="5">
        <v>30</v>
      </c>
      <c r="I376" s="5">
        <v>2381</v>
      </c>
      <c r="J376" s="5">
        <v>1</v>
      </c>
      <c r="K376" s="2" t="s">
        <v>163</v>
      </c>
      <c r="L376" s="2" t="s">
        <v>39</v>
      </c>
      <c r="M376" s="4">
        <v>4.0999999999999996</v>
      </c>
      <c r="N376" s="5">
        <v>282</v>
      </c>
      <c r="O376" s="3">
        <v>45807</v>
      </c>
      <c r="P376" s="2" t="s">
        <v>2391</v>
      </c>
      <c r="Q376" s="2" t="s">
        <v>78</v>
      </c>
      <c r="R376" s="2" t="s">
        <v>104</v>
      </c>
      <c r="S376" s="2" t="s">
        <v>105</v>
      </c>
      <c r="T376" s="2" t="s">
        <v>203</v>
      </c>
    </row>
    <row r="377" spans="1:20" ht="12.5" x14ac:dyDescent="0.25">
      <c r="A377" s="2" t="s">
        <v>1472</v>
      </c>
      <c r="B377" s="2" t="s">
        <v>85</v>
      </c>
      <c r="C377" s="2" t="s">
        <v>1473</v>
      </c>
      <c r="D377" s="2" t="s">
        <v>1474</v>
      </c>
      <c r="E377" s="2" t="s">
        <v>116</v>
      </c>
      <c r="F377" s="2" t="s">
        <v>117</v>
      </c>
      <c r="G377" s="5">
        <v>4567</v>
      </c>
      <c r="H377" s="5">
        <v>20</v>
      </c>
      <c r="I377" s="5">
        <v>3654</v>
      </c>
      <c r="J377" s="5">
        <v>3</v>
      </c>
      <c r="K377" s="2">
        <v>42</v>
      </c>
      <c r="L377" s="2" t="s">
        <v>168</v>
      </c>
      <c r="M377" s="4">
        <v>4.7</v>
      </c>
      <c r="N377" s="5">
        <v>152</v>
      </c>
      <c r="O377" s="3">
        <v>45810</v>
      </c>
      <c r="P377" s="2" t="s">
        <v>2390</v>
      </c>
      <c r="Q377" s="2" t="s">
        <v>29</v>
      </c>
      <c r="R377" s="2" t="s">
        <v>104</v>
      </c>
      <c r="S377" s="2" t="s">
        <v>105</v>
      </c>
      <c r="T377" s="2"/>
    </row>
    <row r="378" spans="1:20" ht="12.5" x14ac:dyDescent="0.25">
      <c r="A378" s="2" t="s">
        <v>1475</v>
      </c>
      <c r="B378" s="2" t="s">
        <v>325</v>
      </c>
      <c r="C378" s="2" t="s">
        <v>1476</v>
      </c>
      <c r="D378" s="2" t="s">
        <v>1477</v>
      </c>
      <c r="E378" s="2" t="s">
        <v>37</v>
      </c>
      <c r="F378" s="2" t="s">
        <v>38</v>
      </c>
      <c r="G378" s="5">
        <v>3310</v>
      </c>
      <c r="H378" s="5">
        <v>10</v>
      </c>
      <c r="I378" s="5">
        <v>2979</v>
      </c>
      <c r="J378" s="5">
        <v>3</v>
      </c>
      <c r="K378" s="2" t="s">
        <v>32</v>
      </c>
      <c r="L378" s="2" t="s">
        <v>39</v>
      </c>
      <c r="M378" s="4">
        <v>3.6</v>
      </c>
      <c r="N378" s="5">
        <v>112</v>
      </c>
      <c r="O378" s="3">
        <v>45854</v>
      </c>
      <c r="P378" s="2" t="s">
        <v>2391</v>
      </c>
      <c r="Q378" s="2" t="s">
        <v>65</v>
      </c>
      <c r="R378" s="2" t="s">
        <v>149</v>
      </c>
      <c r="S378" s="2" t="s">
        <v>150</v>
      </c>
      <c r="T378" s="2" t="s">
        <v>43</v>
      </c>
    </row>
    <row r="379" spans="1:20" ht="12.5" x14ac:dyDescent="0.25">
      <c r="A379" s="2" t="s">
        <v>1478</v>
      </c>
      <c r="B379" s="2" t="s">
        <v>1479</v>
      </c>
      <c r="C379" s="2" t="s">
        <v>1480</v>
      </c>
      <c r="D379" s="2" t="s">
        <v>1481</v>
      </c>
      <c r="E379" s="2" t="s">
        <v>24</v>
      </c>
      <c r="F379" s="2" t="s">
        <v>25</v>
      </c>
      <c r="G379" s="5">
        <v>2750</v>
      </c>
      <c r="H379" s="5">
        <v>10</v>
      </c>
      <c r="I379" s="5">
        <v>2475</v>
      </c>
      <c r="J379" s="5">
        <v>3</v>
      </c>
      <c r="K379" s="2" t="s">
        <v>226</v>
      </c>
      <c r="L379" s="2" t="s">
        <v>88</v>
      </c>
      <c r="M379" s="4">
        <v>3.8</v>
      </c>
      <c r="N379" s="5">
        <v>127</v>
      </c>
      <c r="O379" s="3">
        <v>45834</v>
      </c>
      <c r="P379" s="2" t="s">
        <v>2392</v>
      </c>
      <c r="Q379" s="2" t="s">
        <v>78</v>
      </c>
      <c r="R379" s="2" t="s">
        <v>89</v>
      </c>
      <c r="S379" s="2" t="s">
        <v>90</v>
      </c>
      <c r="T379" s="2"/>
    </row>
    <row r="380" spans="1:20" ht="12.5" x14ac:dyDescent="0.25">
      <c r="A380" s="2" t="s">
        <v>1482</v>
      </c>
      <c r="B380" s="2" t="s">
        <v>1483</v>
      </c>
      <c r="C380" s="2" t="s">
        <v>1484</v>
      </c>
      <c r="D380" s="2" t="s">
        <v>1485</v>
      </c>
      <c r="E380" s="2" t="s">
        <v>24</v>
      </c>
      <c r="F380" s="2" t="s">
        <v>25</v>
      </c>
      <c r="G380" s="5">
        <v>2927</v>
      </c>
      <c r="H380" s="5">
        <v>15</v>
      </c>
      <c r="I380" s="5">
        <v>2488</v>
      </c>
      <c r="J380" s="5">
        <v>1</v>
      </c>
      <c r="K380" s="2">
        <v>44</v>
      </c>
      <c r="L380" s="2" t="s">
        <v>133</v>
      </c>
      <c r="M380" s="4">
        <v>4.3</v>
      </c>
      <c r="N380" s="5">
        <v>230</v>
      </c>
      <c r="O380" s="3">
        <v>45774</v>
      </c>
      <c r="P380" s="2" t="s">
        <v>2390</v>
      </c>
      <c r="Q380" s="2" t="s">
        <v>29</v>
      </c>
      <c r="R380" s="2" t="s">
        <v>30</v>
      </c>
      <c r="S380" s="2" t="s">
        <v>31</v>
      </c>
      <c r="T380" s="2"/>
    </row>
    <row r="381" spans="1:20" ht="12.5" x14ac:dyDescent="0.25">
      <c r="A381" s="2" t="s">
        <v>1486</v>
      </c>
      <c r="B381" s="2" t="s">
        <v>1487</v>
      </c>
      <c r="C381" s="2" t="s">
        <v>1488</v>
      </c>
      <c r="D381" s="2" t="s">
        <v>1489</v>
      </c>
      <c r="E381" s="2" t="s">
        <v>132</v>
      </c>
      <c r="F381" s="2" t="s">
        <v>38</v>
      </c>
      <c r="G381" s="5">
        <v>2233</v>
      </c>
      <c r="H381" s="5">
        <v>10</v>
      </c>
      <c r="I381" s="5">
        <v>2010</v>
      </c>
      <c r="J381" s="5">
        <v>1</v>
      </c>
      <c r="K381" s="2" t="s">
        <v>226</v>
      </c>
      <c r="L381" s="2" t="s">
        <v>39</v>
      </c>
      <c r="M381" s="4">
        <v>4</v>
      </c>
      <c r="N381" s="5">
        <v>233</v>
      </c>
      <c r="O381" s="3">
        <v>45787</v>
      </c>
      <c r="P381" s="2" t="s">
        <v>2390</v>
      </c>
      <c r="Q381" s="2" t="s">
        <v>78</v>
      </c>
      <c r="R381" s="2" t="s">
        <v>149</v>
      </c>
      <c r="S381" s="2" t="s">
        <v>150</v>
      </c>
      <c r="T381" s="2"/>
    </row>
    <row r="382" spans="1:20" ht="12.5" x14ac:dyDescent="0.25">
      <c r="A382" s="2" t="s">
        <v>1490</v>
      </c>
      <c r="B382" s="2" t="s">
        <v>1491</v>
      </c>
      <c r="C382" s="2" t="s">
        <v>1492</v>
      </c>
      <c r="D382" s="2" t="s">
        <v>1493</v>
      </c>
      <c r="E382" s="2" t="s">
        <v>132</v>
      </c>
      <c r="F382" s="2" t="s">
        <v>38</v>
      </c>
      <c r="G382" s="5">
        <v>3734</v>
      </c>
      <c r="H382" s="5">
        <v>10</v>
      </c>
      <c r="I382" s="5">
        <v>3361</v>
      </c>
      <c r="J382" s="5">
        <v>1</v>
      </c>
      <c r="K382" s="2">
        <v>44</v>
      </c>
      <c r="L382" s="2" t="s">
        <v>64</v>
      </c>
      <c r="M382" s="4">
        <v>4.4000000000000004</v>
      </c>
      <c r="N382" s="5">
        <v>215</v>
      </c>
      <c r="O382" s="3">
        <v>45783</v>
      </c>
      <c r="P382" s="2" t="s">
        <v>2391</v>
      </c>
      <c r="Q382" s="2" t="s">
        <v>65</v>
      </c>
      <c r="R382" s="2" t="s">
        <v>58</v>
      </c>
      <c r="S382" s="2" t="s">
        <v>59</v>
      </c>
      <c r="T382" s="2" t="s">
        <v>134</v>
      </c>
    </row>
    <row r="383" spans="1:20" ht="12.5" x14ac:dyDescent="0.25">
      <c r="A383" s="2" t="s">
        <v>1494</v>
      </c>
      <c r="B383" s="2" t="s">
        <v>1495</v>
      </c>
      <c r="C383" s="2" t="s">
        <v>1496</v>
      </c>
      <c r="D383" s="2" t="s">
        <v>1497</v>
      </c>
      <c r="E383" s="2" t="s">
        <v>37</v>
      </c>
      <c r="F383" s="2" t="s">
        <v>38</v>
      </c>
      <c r="G383" s="5">
        <v>3222</v>
      </c>
      <c r="H383" s="5">
        <v>40</v>
      </c>
      <c r="I383" s="5">
        <v>1934</v>
      </c>
      <c r="J383" s="5">
        <v>1</v>
      </c>
      <c r="K383" s="2">
        <v>44</v>
      </c>
      <c r="L383" s="2" t="s">
        <v>209</v>
      </c>
      <c r="M383" s="4">
        <v>5</v>
      </c>
      <c r="N383" s="5">
        <v>26</v>
      </c>
      <c r="O383" s="3">
        <v>45841</v>
      </c>
      <c r="P383" s="2" t="s">
        <v>2391</v>
      </c>
      <c r="Q383" s="2" t="s">
        <v>78</v>
      </c>
      <c r="R383" s="2" t="s">
        <v>30</v>
      </c>
      <c r="S383" s="2" t="s">
        <v>31</v>
      </c>
      <c r="T383" s="2" t="s">
        <v>50</v>
      </c>
    </row>
    <row r="384" spans="1:20" ht="12.5" x14ac:dyDescent="0.25">
      <c r="A384" s="2" t="s">
        <v>1498</v>
      </c>
      <c r="B384" s="2" t="s">
        <v>603</v>
      </c>
      <c r="C384" s="2" t="s">
        <v>1499</v>
      </c>
      <c r="D384" s="2" t="s">
        <v>1500</v>
      </c>
      <c r="E384" s="2" t="s">
        <v>247</v>
      </c>
      <c r="F384" s="2" t="s">
        <v>248</v>
      </c>
      <c r="G384" s="5">
        <v>1794</v>
      </c>
      <c r="H384" s="5">
        <v>40</v>
      </c>
      <c r="I384" s="5">
        <v>1077</v>
      </c>
      <c r="J384" s="5">
        <v>2</v>
      </c>
      <c r="K384" s="2" t="s">
        <v>26</v>
      </c>
      <c r="L384" s="2" t="s">
        <v>88</v>
      </c>
      <c r="M384" s="4">
        <v>4.3</v>
      </c>
      <c r="N384" s="5">
        <v>71</v>
      </c>
      <c r="O384" s="3">
        <v>45798</v>
      </c>
      <c r="P384" s="2" t="s">
        <v>2392</v>
      </c>
      <c r="Q384" s="2" t="s">
        <v>29</v>
      </c>
      <c r="R384" s="2" t="s">
        <v>41</v>
      </c>
      <c r="S384" s="2" t="s">
        <v>42</v>
      </c>
      <c r="T384" s="2"/>
    </row>
    <row r="385" spans="1:20" ht="12.5" x14ac:dyDescent="0.25">
      <c r="A385" s="2" t="s">
        <v>1501</v>
      </c>
      <c r="B385" s="2" t="s">
        <v>1502</v>
      </c>
      <c r="C385" s="2" t="s">
        <v>1503</v>
      </c>
      <c r="D385" s="2" t="s">
        <v>1504</v>
      </c>
      <c r="E385" s="2" t="s">
        <v>55</v>
      </c>
      <c r="F385" s="2" t="s">
        <v>38</v>
      </c>
      <c r="G385" s="5">
        <v>1336</v>
      </c>
      <c r="H385" s="5">
        <v>35</v>
      </c>
      <c r="I385" s="5">
        <v>869</v>
      </c>
      <c r="J385" s="5">
        <v>3</v>
      </c>
      <c r="K385" s="2" t="s">
        <v>56</v>
      </c>
      <c r="L385" s="2" t="s">
        <v>73</v>
      </c>
      <c r="M385" s="4">
        <v>4.2</v>
      </c>
      <c r="N385" s="5">
        <v>74</v>
      </c>
      <c r="O385" s="3">
        <v>45825</v>
      </c>
      <c r="P385" s="2" t="s">
        <v>2391</v>
      </c>
      <c r="Q385" s="2" t="s">
        <v>29</v>
      </c>
      <c r="R385" s="2" t="s">
        <v>89</v>
      </c>
      <c r="S385" s="2" t="s">
        <v>90</v>
      </c>
      <c r="T385" s="2" t="s">
        <v>43</v>
      </c>
    </row>
    <row r="386" spans="1:20" ht="12.5" x14ac:dyDescent="0.25">
      <c r="A386" s="2" t="s">
        <v>1505</v>
      </c>
      <c r="B386" s="2" t="s">
        <v>1506</v>
      </c>
      <c r="C386" s="2" t="s">
        <v>1507</v>
      </c>
      <c r="D386" s="2" t="s">
        <v>1508</v>
      </c>
      <c r="E386" s="2" t="s">
        <v>24</v>
      </c>
      <c r="F386" s="2" t="s">
        <v>25</v>
      </c>
      <c r="G386" s="5">
        <v>1272</v>
      </c>
      <c r="H386" s="5">
        <v>15</v>
      </c>
      <c r="I386" s="5">
        <v>1082</v>
      </c>
      <c r="J386" s="5">
        <v>3</v>
      </c>
      <c r="K386" s="2">
        <v>44</v>
      </c>
      <c r="L386" s="2" t="s">
        <v>73</v>
      </c>
      <c r="M386" s="4">
        <v>4</v>
      </c>
      <c r="N386" s="5">
        <v>281</v>
      </c>
      <c r="O386" s="3">
        <v>45781</v>
      </c>
      <c r="P386" s="2" t="s">
        <v>2390</v>
      </c>
      <c r="Q386" s="2" t="s">
        <v>29</v>
      </c>
      <c r="R386" s="2" t="s">
        <v>58</v>
      </c>
      <c r="S386" s="2" t="s">
        <v>59</v>
      </c>
      <c r="T386" s="2"/>
    </row>
    <row r="387" spans="1:20" ht="12.5" x14ac:dyDescent="0.25">
      <c r="A387" s="2" t="s">
        <v>1509</v>
      </c>
      <c r="B387" s="2" t="s">
        <v>626</v>
      </c>
      <c r="C387" s="2" t="s">
        <v>1510</v>
      </c>
      <c r="D387" s="2" t="s">
        <v>1511</v>
      </c>
      <c r="E387" s="2" t="s">
        <v>55</v>
      </c>
      <c r="F387" s="2" t="s">
        <v>38</v>
      </c>
      <c r="G387" s="5">
        <v>2984</v>
      </c>
      <c r="H387" s="5">
        <v>15</v>
      </c>
      <c r="I387" s="5">
        <v>2537</v>
      </c>
      <c r="J387" s="5">
        <v>1</v>
      </c>
      <c r="K387" s="2">
        <v>40</v>
      </c>
      <c r="L387" s="2" t="s">
        <v>27</v>
      </c>
      <c r="M387" s="4">
        <v>4.0999999999999996</v>
      </c>
      <c r="N387" s="5">
        <v>104</v>
      </c>
      <c r="O387" s="3">
        <v>45784</v>
      </c>
      <c r="P387" s="2" t="s">
        <v>2392</v>
      </c>
      <c r="Q387" s="2" t="s">
        <v>65</v>
      </c>
      <c r="R387" s="2" t="s">
        <v>110</v>
      </c>
      <c r="S387" s="2" t="s">
        <v>111</v>
      </c>
      <c r="T387" s="2"/>
    </row>
    <row r="388" spans="1:20" ht="12.5" x14ac:dyDescent="0.25">
      <c r="A388" s="2" t="s">
        <v>1512</v>
      </c>
      <c r="B388" s="2" t="s">
        <v>1182</v>
      </c>
      <c r="C388" s="2" t="s">
        <v>1513</v>
      </c>
      <c r="D388" s="2" t="s">
        <v>1514</v>
      </c>
      <c r="E388" s="2" t="s">
        <v>48</v>
      </c>
      <c r="F388" s="2" t="s">
        <v>25</v>
      </c>
      <c r="G388" s="5">
        <v>3062</v>
      </c>
      <c r="H388" s="5">
        <v>40</v>
      </c>
      <c r="I388" s="5">
        <v>1838</v>
      </c>
      <c r="J388" s="5">
        <v>1</v>
      </c>
      <c r="K388" s="2" t="s">
        <v>226</v>
      </c>
      <c r="L388" s="2" t="s">
        <v>64</v>
      </c>
      <c r="M388" s="4">
        <v>3.6</v>
      </c>
      <c r="N388" s="5">
        <v>76</v>
      </c>
      <c r="O388" s="3">
        <v>45799</v>
      </c>
      <c r="P388" s="2" t="s">
        <v>2391</v>
      </c>
      <c r="Q388" s="2" t="s">
        <v>65</v>
      </c>
      <c r="R388" s="2" t="s">
        <v>104</v>
      </c>
      <c r="S388" s="2" t="s">
        <v>105</v>
      </c>
      <c r="T388" s="2"/>
    </row>
    <row r="389" spans="1:20" ht="12.5" x14ac:dyDescent="0.25">
      <c r="A389" s="2" t="s">
        <v>1515</v>
      </c>
      <c r="B389" s="2" t="s">
        <v>1516</v>
      </c>
      <c r="C389" s="2" t="s">
        <v>694</v>
      </c>
      <c r="D389" s="2" t="s">
        <v>1517</v>
      </c>
      <c r="E389" s="2" t="s">
        <v>55</v>
      </c>
      <c r="F389" s="2" t="s">
        <v>38</v>
      </c>
      <c r="G389" s="5">
        <v>724</v>
      </c>
      <c r="H389" s="5">
        <v>35</v>
      </c>
      <c r="I389" s="5">
        <v>471</v>
      </c>
      <c r="J389" s="5">
        <v>1</v>
      </c>
      <c r="K389" s="2">
        <v>44</v>
      </c>
      <c r="L389" s="2" t="s">
        <v>27</v>
      </c>
      <c r="M389" s="4">
        <v>4.7</v>
      </c>
      <c r="N389" s="5">
        <v>130</v>
      </c>
      <c r="O389" s="3">
        <v>45849</v>
      </c>
      <c r="P389" s="2" t="s">
        <v>2391</v>
      </c>
      <c r="Q389" s="2" t="s">
        <v>78</v>
      </c>
      <c r="R389" s="2" t="s">
        <v>110</v>
      </c>
      <c r="S389" s="2" t="s">
        <v>111</v>
      </c>
      <c r="T389" s="2" t="s">
        <v>134</v>
      </c>
    </row>
    <row r="390" spans="1:20" ht="12.5" x14ac:dyDescent="0.25">
      <c r="A390" s="2" t="s">
        <v>1518</v>
      </c>
      <c r="B390" s="2" t="s">
        <v>1169</v>
      </c>
      <c r="C390" s="2" t="s">
        <v>1519</v>
      </c>
      <c r="D390" s="2" t="s">
        <v>1520</v>
      </c>
      <c r="E390" s="2" t="s">
        <v>147</v>
      </c>
      <c r="F390" s="2" t="s">
        <v>148</v>
      </c>
      <c r="G390" s="5">
        <v>3817</v>
      </c>
      <c r="H390" s="5">
        <v>40</v>
      </c>
      <c r="I390" s="5">
        <v>2291</v>
      </c>
      <c r="J390" s="5">
        <v>2</v>
      </c>
      <c r="K390" s="2" t="s">
        <v>261</v>
      </c>
      <c r="L390" s="2" t="s">
        <v>39</v>
      </c>
      <c r="M390" s="4">
        <v>4.8</v>
      </c>
      <c r="N390" s="5">
        <v>82</v>
      </c>
      <c r="O390" s="3">
        <v>45775</v>
      </c>
      <c r="P390" s="2" t="s">
        <v>2392</v>
      </c>
      <c r="Q390" s="2" t="s">
        <v>65</v>
      </c>
      <c r="R390" s="2" t="s">
        <v>89</v>
      </c>
      <c r="S390" s="2" t="s">
        <v>90</v>
      </c>
      <c r="T390" s="2"/>
    </row>
    <row r="391" spans="1:20" ht="12.5" x14ac:dyDescent="0.25">
      <c r="A391" s="2" t="s">
        <v>1521</v>
      </c>
      <c r="B391" s="2" t="s">
        <v>522</v>
      </c>
      <c r="C391" s="2" t="s">
        <v>1522</v>
      </c>
      <c r="D391" s="2" t="s">
        <v>1523</v>
      </c>
      <c r="E391" s="2" t="s">
        <v>48</v>
      </c>
      <c r="F391" s="2" t="s">
        <v>25</v>
      </c>
      <c r="G391" s="5">
        <v>1104</v>
      </c>
      <c r="H391" s="5">
        <v>10</v>
      </c>
      <c r="I391" s="5">
        <v>994</v>
      </c>
      <c r="J391" s="5">
        <v>3</v>
      </c>
      <c r="K391" s="2" t="s">
        <v>261</v>
      </c>
      <c r="L391" s="2" t="s">
        <v>103</v>
      </c>
      <c r="M391" s="4">
        <v>3.8</v>
      </c>
      <c r="N391" s="5">
        <v>146</v>
      </c>
      <c r="O391" s="3">
        <v>45802</v>
      </c>
      <c r="P391" s="2" t="s">
        <v>2392</v>
      </c>
      <c r="Q391" s="2" t="s">
        <v>78</v>
      </c>
      <c r="R391" s="2" t="s">
        <v>185</v>
      </c>
      <c r="S391" s="2" t="s">
        <v>186</v>
      </c>
      <c r="T391" s="2"/>
    </row>
    <row r="392" spans="1:20" ht="12.5" x14ac:dyDescent="0.25">
      <c r="A392" s="2" t="s">
        <v>1524</v>
      </c>
      <c r="B392" s="2" t="s">
        <v>1525</v>
      </c>
      <c r="C392" s="2" t="s">
        <v>330</v>
      </c>
      <c r="D392" s="2" t="s">
        <v>1526</v>
      </c>
      <c r="E392" s="2" t="s">
        <v>147</v>
      </c>
      <c r="F392" s="2" t="s">
        <v>148</v>
      </c>
      <c r="G392" s="5">
        <v>1669</v>
      </c>
      <c r="H392" s="5">
        <v>40</v>
      </c>
      <c r="I392" s="5">
        <v>1002</v>
      </c>
      <c r="J392" s="5">
        <v>1</v>
      </c>
      <c r="K392" s="2" t="s">
        <v>32</v>
      </c>
      <c r="L392" s="2" t="s">
        <v>103</v>
      </c>
      <c r="M392" s="4">
        <v>4.9000000000000004</v>
      </c>
      <c r="N392" s="5">
        <v>52</v>
      </c>
      <c r="O392" s="3">
        <v>45780</v>
      </c>
      <c r="P392" s="2" t="s">
        <v>2390</v>
      </c>
      <c r="Q392" s="2" t="s">
        <v>29</v>
      </c>
      <c r="R392" s="2" t="s">
        <v>66</v>
      </c>
      <c r="S392" s="2" t="s">
        <v>67</v>
      </c>
      <c r="T392" s="2"/>
    </row>
    <row r="393" spans="1:20" ht="12.5" x14ac:dyDescent="0.25">
      <c r="A393" s="2" t="s">
        <v>1527</v>
      </c>
      <c r="B393" s="2" t="s">
        <v>125</v>
      </c>
      <c r="C393" s="2" t="s">
        <v>1528</v>
      </c>
      <c r="D393" s="2" t="s">
        <v>1529</v>
      </c>
      <c r="E393" s="2" t="s">
        <v>147</v>
      </c>
      <c r="F393" s="2" t="s">
        <v>148</v>
      </c>
      <c r="G393" s="5">
        <v>3651</v>
      </c>
      <c r="H393" s="5">
        <v>40</v>
      </c>
      <c r="I393" s="5">
        <v>2191</v>
      </c>
      <c r="J393" s="5">
        <v>3</v>
      </c>
      <c r="K393" s="2">
        <v>42</v>
      </c>
      <c r="L393" s="2" t="s">
        <v>49</v>
      </c>
      <c r="M393" s="4">
        <v>4.7</v>
      </c>
      <c r="N393" s="5">
        <v>231</v>
      </c>
      <c r="O393" s="3">
        <v>45839</v>
      </c>
      <c r="P393" s="2" t="s">
        <v>2392</v>
      </c>
      <c r="Q393" s="2" t="s">
        <v>29</v>
      </c>
      <c r="R393" s="2" t="s">
        <v>41</v>
      </c>
      <c r="S393" s="2" t="s">
        <v>42</v>
      </c>
      <c r="T393" s="2"/>
    </row>
    <row r="394" spans="1:20" ht="12.5" x14ac:dyDescent="0.25">
      <c r="A394" s="2" t="s">
        <v>1530</v>
      </c>
      <c r="B394" s="2" t="s">
        <v>1531</v>
      </c>
      <c r="C394" s="2" t="s">
        <v>652</v>
      </c>
      <c r="D394" s="2" t="s">
        <v>1532</v>
      </c>
      <c r="E394" s="2" t="s">
        <v>48</v>
      </c>
      <c r="F394" s="2" t="s">
        <v>25</v>
      </c>
      <c r="G394" s="5">
        <v>2068</v>
      </c>
      <c r="H394" s="5">
        <v>40</v>
      </c>
      <c r="I394" s="5">
        <v>1241</v>
      </c>
      <c r="J394" s="5">
        <v>2</v>
      </c>
      <c r="K394" s="2" t="s">
        <v>26</v>
      </c>
      <c r="L394" s="2" t="s">
        <v>168</v>
      </c>
      <c r="M394" s="4">
        <v>3.5</v>
      </c>
      <c r="N394" s="5">
        <v>112</v>
      </c>
      <c r="O394" s="3">
        <v>45800</v>
      </c>
      <c r="P394" s="2" t="s">
        <v>2390</v>
      </c>
      <c r="Q394" s="2" t="s">
        <v>65</v>
      </c>
      <c r="R394" s="2" t="s">
        <v>41</v>
      </c>
      <c r="S394" s="2" t="s">
        <v>42</v>
      </c>
      <c r="T394" s="2"/>
    </row>
    <row r="395" spans="1:20" ht="12.5" x14ac:dyDescent="0.25">
      <c r="A395" s="2" t="s">
        <v>1533</v>
      </c>
      <c r="B395" s="2" t="s">
        <v>1534</v>
      </c>
      <c r="C395" s="2" t="s">
        <v>1535</v>
      </c>
      <c r="D395" s="2" t="s">
        <v>1536</v>
      </c>
      <c r="E395" s="2" t="s">
        <v>48</v>
      </c>
      <c r="F395" s="2" t="s">
        <v>25</v>
      </c>
      <c r="G395" s="5">
        <v>2298</v>
      </c>
      <c r="H395" s="5">
        <v>35</v>
      </c>
      <c r="I395" s="5">
        <v>1494</v>
      </c>
      <c r="J395" s="5">
        <v>3</v>
      </c>
      <c r="K395" s="2" t="s">
        <v>26</v>
      </c>
      <c r="L395" s="2" t="s">
        <v>168</v>
      </c>
      <c r="M395" s="4">
        <v>3.8</v>
      </c>
      <c r="N395" s="5">
        <v>28</v>
      </c>
      <c r="O395" s="3">
        <v>45777</v>
      </c>
      <c r="P395" s="2" t="s">
        <v>2390</v>
      </c>
      <c r="Q395" s="2" t="s">
        <v>65</v>
      </c>
      <c r="R395" s="2" t="s">
        <v>58</v>
      </c>
      <c r="S395" s="2" t="s">
        <v>59</v>
      </c>
      <c r="T395" s="2"/>
    </row>
    <row r="396" spans="1:20" ht="12.5" x14ac:dyDescent="0.25">
      <c r="A396" s="2" t="s">
        <v>1537</v>
      </c>
      <c r="B396" s="2" t="s">
        <v>1538</v>
      </c>
      <c r="C396" s="2" t="s">
        <v>1539</v>
      </c>
      <c r="D396" s="2" t="s">
        <v>1540</v>
      </c>
      <c r="E396" s="2" t="s">
        <v>132</v>
      </c>
      <c r="F396" s="2" t="s">
        <v>38</v>
      </c>
      <c r="G396" s="5">
        <v>4656</v>
      </c>
      <c r="H396" s="5">
        <v>20</v>
      </c>
      <c r="I396" s="5">
        <v>3725</v>
      </c>
      <c r="J396" s="5">
        <v>2</v>
      </c>
      <c r="K396" s="2">
        <v>42</v>
      </c>
      <c r="L396" s="2" t="s">
        <v>88</v>
      </c>
      <c r="M396" s="4">
        <v>4.5999999999999996</v>
      </c>
      <c r="N396" s="5">
        <v>115</v>
      </c>
      <c r="O396" s="3">
        <v>45786</v>
      </c>
      <c r="P396" s="2" t="s">
        <v>2391</v>
      </c>
      <c r="Q396" s="2" t="s">
        <v>78</v>
      </c>
      <c r="R396" s="2" t="s">
        <v>149</v>
      </c>
      <c r="S396" s="2" t="s">
        <v>150</v>
      </c>
      <c r="T396" s="2" t="s">
        <v>203</v>
      </c>
    </row>
    <row r="397" spans="1:20" ht="12.5" x14ac:dyDescent="0.25">
      <c r="A397" s="2" t="s">
        <v>1541</v>
      </c>
      <c r="B397" s="2" t="s">
        <v>314</v>
      </c>
      <c r="C397" s="2" t="s">
        <v>1542</v>
      </c>
      <c r="D397" s="2" t="s">
        <v>1543</v>
      </c>
      <c r="E397" s="2" t="s">
        <v>208</v>
      </c>
      <c r="F397" s="2" t="s">
        <v>117</v>
      </c>
      <c r="G397" s="5">
        <v>4279</v>
      </c>
      <c r="H397" s="5">
        <v>40</v>
      </c>
      <c r="I397" s="5">
        <v>2568</v>
      </c>
      <c r="J397" s="5">
        <v>1</v>
      </c>
      <c r="K397" s="2" t="s">
        <v>226</v>
      </c>
      <c r="L397" s="2" t="s">
        <v>133</v>
      </c>
      <c r="M397" s="4">
        <v>3.6</v>
      </c>
      <c r="N397" s="5">
        <v>122</v>
      </c>
      <c r="O397" s="3">
        <v>45824</v>
      </c>
      <c r="P397" s="2" t="s">
        <v>2391</v>
      </c>
      <c r="Q397" s="2" t="s">
        <v>78</v>
      </c>
      <c r="R397" s="2" t="s">
        <v>185</v>
      </c>
      <c r="S397" s="2" t="s">
        <v>186</v>
      </c>
      <c r="T397" s="2" t="s">
        <v>203</v>
      </c>
    </row>
    <row r="398" spans="1:20" ht="12.5" x14ac:dyDescent="0.25">
      <c r="A398" s="2" t="s">
        <v>1544</v>
      </c>
      <c r="B398" s="2" t="s">
        <v>1545</v>
      </c>
      <c r="C398" s="2" t="s">
        <v>1546</v>
      </c>
      <c r="D398" s="2" t="s">
        <v>1547</v>
      </c>
      <c r="E398" s="2" t="s">
        <v>247</v>
      </c>
      <c r="F398" s="2" t="s">
        <v>248</v>
      </c>
      <c r="G398" s="5">
        <v>1119</v>
      </c>
      <c r="H398" s="5">
        <v>15</v>
      </c>
      <c r="I398" s="5">
        <v>952</v>
      </c>
      <c r="J398" s="5">
        <v>3</v>
      </c>
      <c r="K398" s="2" t="s">
        <v>163</v>
      </c>
      <c r="L398" s="2" t="s">
        <v>88</v>
      </c>
      <c r="M398" s="4">
        <v>4.8</v>
      </c>
      <c r="N398" s="5">
        <v>132</v>
      </c>
      <c r="O398" s="3">
        <v>45781</v>
      </c>
      <c r="P398" s="2" t="s">
        <v>2390</v>
      </c>
      <c r="Q398" s="2" t="s">
        <v>29</v>
      </c>
      <c r="R398" s="2" t="s">
        <v>30</v>
      </c>
      <c r="S398" s="2" t="s">
        <v>31</v>
      </c>
      <c r="T398" s="2"/>
    </row>
    <row r="399" spans="1:20" ht="12.5" x14ac:dyDescent="0.25">
      <c r="A399" s="2" t="s">
        <v>1548</v>
      </c>
      <c r="B399" s="2" t="s">
        <v>1549</v>
      </c>
      <c r="C399" s="2" t="s">
        <v>1550</v>
      </c>
      <c r="D399" s="2" t="s">
        <v>1551</v>
      </c>
      <c r="E399" s="2" t="s">
        <v>208</v>
      </c>
      <c r="F399" s="2" t="s">
        <v>117</v>
      </c>
      <c r="G399" s="5">
        <v>3450</v>
      </c>
      <c r="H399" s="5">
        <v>10</v>
      </c>
      <c r="I399" s="5">
        <v>3105</v>
      </c>
      <c r="J399" s="5">
        <v>3</v>
      </c>
      <c r="K399" s="2" t="s">
        <v>56</v>
      </c>
      <c r="L399" s="2" t="s">
        <v>133</v>
      </c>
      <c r="M399" s="4">
        <v>5</v>
      </c>
      <c r="N399" s="5">
        <v>29</v>
      </c>
      <c r="O399" s="3">
        <v>45857</v>
      </c>
      <c r="P399" s="2" t="s">
        <v>2390</v>
      </c>
      <c r="Q399" s="2" t="s">
        <v>78</v>
      </c>
      <c r="R399" s="2" t="s">
        <v>104</v>
      </c>
      <c r="S399" s="2" t="s">
        <v>105</v>
      </c>
      <c r="T399" s="2"/>
    </row>
    <row r="400" spans="1:20" ht="12.5" x14ac:dyDescent="0.25">
      <c r="A400" s="2" t="s">
        <v>1552</v>
      </c>
      <c r="B400" s="2" t="s">
        <v>1553</v>
      </c>
      <c r="C400" s="2" t="s">
        <v>1554</v>
      </c>
      <c r="D400" s="2" t="s">
        <v>1555</v>
      </c>
      <c r="E400" s="2" t="s">
        <v>122</v>
      </c>
      <c r="F400" s="2" t="s">
        <v>123</v>
      </c>
      <c r="G400" s="5">
        <v>4054</v>
      </c>
      <c r="H400" s="5">
        <v>10</v>
      </c>
      <c r="I400" s="5">
        <v>3649</v>
      </c>
      <c r="J400" s="5">
        <v>3</v>
      </c>
      <c r="K400" s="2" t="s">
        <v>261</v>
      </c>
      <c r="L400" s="2" t="s">
        <v>103</v>
      </c>
      <c r="M400" s="4">
        <v>4.9000000000000004</v>
      </c>
      <c r="N400" s="5">
        <v>92</v>
      </c>
      <c r="O400" s="3">
        <v>45835</v>
      </c>
      <c r="P400" s="2" t="s">
        <v>2391</v>
      </c>
      <c r="Q400" s="2" t="s">
        <v>29</v>
      </c>
      <c r="R400" s="2" t="s">
        <v>104</v>
      </c>
      <c r="S400" s="2" t="s">
        <v>105</v>
      </c>
      <c r="T400" s="2" t="s">
        <v>134</v>
      </c>
    </row>
    <row r="401" spans="1:20" ht="12.5" x14ac:dyDescent="0.25">
      <c r="A401" s="2" t="s">
        <v>1556</v>
      </c>
      <c r="B401" s="2" t="s">
        <v>1557</v>
      </c>
      <c r="C401" s="2" t="s">
        <v>1558</v>
      </c>
      <c r="D401" s="2" t="s">
        <v>1559</v>
      </c>
      <c r="E401" s="2" t="s">
        <v>247</v>
      </c>
      <c r="F401" s="2" t="s">
        <v>248</v>
      </c>
      <c r="G401" s="5">
        <v>4586</v>
      </c>
      <c r="H401" s="5">
        <v>10</v>
      </c>
      <c r="I401" s="5">
        <v>4128</v>
      </c>
      <c r="J401" s="5">
        <v>2</v>
      </c>
      <c r="K401" s="2">
        <v>42</v>
      </c>
      <c r="L401" s="2" t="s">
        <v>209</v>
      </c>
      <c r="M401" s="4">
        <v>4.5</v>
      </c>
      <c r="N401" s="5">
        <v>239</v>
      </c>
      <c r="O401" s="3">
        <v>45848</v>
      </c>
      <c r="P401" s="2" t="s">
        <v>2390</v>
      </c>
      <c r="Q401" s="2" t="s">
        <v>29</v>
      </c>
      <c r="R401" s="2" t="s">
        <v>30</v>
      </c>
      <c r="S401" s="2" t="s">
        <v>31</v>
      </c>
      <c r="T401" s="2"/>
    </row>
    <row r="402" spans="1:20" ht="12.5" x14ac:dyDescent="0.25">
      <c r="A402" s="2" t="s">
        <v>1560</v>
      </c>
      <c r="B402" s="2" t="s">
        <v>275</v>
      </c>
      <c r="C402" s="2" t="s">
        <v>1561</v>
      </c>
      <c r="D402" s="2" t="s">
        <v>1562</v>
      </c>
      <c r="E402" s="2" t="s">
        <v>116</v>
      </c>
      <c r="F402" s="2" t="s">
        <v>117</v>
      </c>
      <c r="G402" s="5">
        <v>1578</v>
      </c>
      <c r="H402" s="5">
        <v>10</v>
      </c>
      <c r="I402" s="5">
        <v>1421</v>
      </c>
      <c r="J402" s="5">
        <v>2</v>
      </c>
      <c r="K402" s="2">
        <v>44</v>
      </c>
      <c r="L402" s="2" t="s">
        <v>27</v>
      </c>
      <c r="M402" s="4">
        <v>3.7</v>
      </c>
      <c r="N402" s="5">
        <v>38</v>
      </c>
      <c r="O402" s="3">
        <v>45773</v>
      </c>
      <c r="P402" s="2" t="s">
        <v>2392</v>
      </c>
      <c r="Q402" s="2" t="s">
        <v>29</v>
      </c>
      <c r="R402" s="2" t="s">
        <v>66</v>
      </c>
      <c r="S402" s="2" t="s">
        <v>67</v>
      </c>
      <c r="T402" s="2"/>
    </row>
    <row r="403" spans="1:20" ht="12.5" x14ac:dyDescent="0.25">
      <c r="A403" s="2" t="s">
        <v>1563</v>
      </c>
      <c r="B403" s="2" t="s">
        <v>1564</v>
      </c>
      <c r="C403" s="2" t="s">
        <v>1565</v>
      </c>
      <c r="D403" s="2" t="s">
        <v>1566</v>
      </c>
      <c r="E403" s="2" t="s">
        <v>48</v>
      </c>
      <c r="F403" s="2" t="s">
        <v>25</v>
      </c>
      <c r="G403" s="5">
        <v>3118</v>
      </c>
      <c r="H403" s="5">
        <v>20</v>
      </c>
      <c r="I403" s="5">
        <v>2495</v>
      </c>
      <c r="J403" s="5">
        <v>2</v>
      </c>
      <c r="K403" s="2" t="s">
        <v>226</v>
      </c>
      <c r="L403" s="2" t="s">
        <v>133</v>
      </c>
      <c r="M403" s="4">
        <v>4.2</v>
      </c>
      <c r="N403" s="5">
        <v>186</v>
      </c>
      <c r="O403" s="3">
        <v>45840</v>
      </c>
      <c r="P403" s="2" t="s">
        <v>2392</v>
      </c>
      <c r="Q403" s="2" t="s">
        <v>78</v>
      </c>
      <c r="R403" s="2" t="s">
        <v>185</v>
      </c>
      <c r="S403" s="2" t="s">
        <v>186</v>
      </c>
      <c r="T403" s="2"/>
    </row>
    <row r="404" spans="1:20" ht="12.5" x14ac:dyDescent="0.25">
      <c r="A404" s="2" t="s">
        <v>1567</v>
      </c>
      <c r="B404" s="2" t="s">
        <v>1568</v>
      </c>
      <c r="C404" s="2" t="s">
        <v>1569</v>
      </c>
      <c r="D404" s="2" t="s">
        <v>1570</v>
      </c>
      <c r="E404" s="2" t="s">
        <v>55</v>
      </c>
      <c r="F404" s="2" t="s">
        <v>38</v>
      </c>
      <c r="G404" s="5">
        <v>3792</v>
      </c>
      <c r="H404" s="5">
        <v>30</v>
      </c>
      <c r="I404" s="5">
        <v>2655</v>
      </c>
      <c r="J404" s="5">
        <v>3</v>
      </c>
      <c r="K404" s="2" t="s">
        <v>261</v>
      </c>
      <c r="L404" s="2" t="s">
        <v>73</v>
      </c>
      <c r="M404" s="4">
        <v>4.7</v>
      </c>
      <c r="N404" s="5">
        <v>133</v>
      </c>
      <c r="O404" s="3">
        <v>45782</v>
      </c>
      <c r="P404" s="2" t="s">
        <v>2390</v>
      </c>
      <c r="Q404" s="2" t="s">
        <v>65</v>
      </c>
      <c r="R404" s="2" t="s">
        <v>30</v>
      </c>
      <c r="S404" s="2" t="s">
        <v>31</v>
      </c>
      <c r="T404" s="2"/>
    </row>
    <row r="405" spans="1:20" ht="12.5" x14ac:dyDescent="0.25">
      <c r="A405" s="2" t="s">
        <v>1571</v>
      </c>
      <c r="B405" s="2" t="s">
        <v>160</v>
      </c>
      <c r="C405" s="2" t="s">
        <v>1572</v>
      </c>
      <c r="D405" s="2" t="s">
        <v>1573</v>
      </c>
      <c r="E405" s="2" t="s">
        <v>55</v>
      </c>
      <c r="F405" s="2" t="s">
        <v>38</v>
      </c>
      <c r="G405" s="5">
        <v>4550</v>
      </c>
      <c r="H405" s="5">
        <v>40</v>
      </c>
      <c r="I405" s="5">
        <v>2730</v>
      </c>
      <c r="J405" s="5">
        <v>3</v>
      </c>
      <c r="K405" s="2" t="s">
        <v>32</v>
      </c>
      <c r="L405" s="2" t="s">
        <v>39</v>
      </c>
      <c r="M405" s="4">
        <v>3.5</v>
      </c>
      <c r="N405" s="5">
        <v>252</v>
      </c>
      <c r="O405" s="3">
        <v>45786</v>
      </c>
      <c r="P405" s="2" t="s">
        <v>2391</v>
      </c>
      <c r="Q405" s="2" t="s">
        <v>78</v>
      </c>
      <c r="R405" s="2" t="s">
        <v>185</v>
      </c>
      <c r="S405" s="2" t="s">
        <v>186</v>
      </c>
      <c r="T405" s="2"/>
    </row>
    <row r="406" spans="1:20" ht="12.5" x14ac:dyDescent="0.25">
      <c r="A406" s="2" t="s">
        <v>1574</v>
      </c>
      <c r="B406" s="2" t="s">
        <v>69</v>
      </c>
      <c r="C406" s="2" t="s">
        <v>1575</v>
      </c>
      <c r="D406" s="2" t="s">
        <v>1576</v>
      </c>
      <c r="E406" s="2" t="s">
        <v>122</v>
      </c>
      <c r="F406" s="2" t="s">
        <v>123</v>
      </c>
      <c r="G406" s="5">
        <v>1729</v>
      </c>
      <c r="H406" s="5">
        <v>20</v>
      </c>
      <c r="I406" s="5">
        <v>1384</v>
      </c>
      <c r="J406" s="5">
        <v>2</v>
      </c>
      <c r="K406" s="2">
        <v>44</v>
      </c>
      <c r="L406" s="2" t="s">
        <v>133</v>
      </c>
      <c r="M406" s="4">
        <v>4.0999999999999996</v>
      </c>
      <c r="N406" s="5">
        <v>37</v>
      </c>
      <c r="O406" s="3">
        <v>45818</v>
      </c>
      <c r="P406" s="2" t="s">
        <v>2390</v>
      </c>
      <c r="Q406" s="2" t="s">
        <v>65</v>
      </c>
      <c r="R406" s="2" t="s">
        <v>66</v>
      </c>
      <c r="S406" s="2" t="s">
        <v>67</v>
      </c>
      <c r="T406" s="2"/>
    </row>
    <row r="407" spans="1:20" ht="12.5" x14ac:dyDescent="0.25">
      <c r="A407" s="2" t="s">
        <v>1577</v>
      </c>
      <c r="B407" s="2" t="s">
        <v>80</v>
      </c>
      <c r="C407" s="2" t="s">
        <v>1578</v>
      </c>
      <c r="D407" s="2" t="s">
        <v>1579</v>
      </c>
      <c r="E407" s="2" t="s">
        <v>132</v>
      </c>
      <c r="F407" s="2" t="s">
        <v>38</v>
      </c>
      <c r="G407" s="5">
        <v>1792</v>
      </c>
      <c r="H407" s="5">
        <v>25</v>
      </c>
      <c r="I407" s="5">
        <v>1344</v>
      </c>
      <c r="J407" s="5">
        <v>2</v>
      </c>
      <c r="K407" s="2" t="s">
        <v>32</v>
      </c>
      <c r="L407" s="2" t="s">
        <v>209</v>
      </c>
      <c r="M407" s="4">
        <v>4.5</v>
      </c>
      <c r="N407" s="5">
        <v>141</v>
      </c>
      <c r="O407" s="3">
        <v>45799</v>
      </c>
      <c r="P407" s="2" t="s">
        <v>2391</v>
      </c>
      <c r="Q407" s="2" t="s">
        <v>65</v>
      </c>
      <c r="R407" s="2" t="s">
        <v>185</v>
      </c>
      <c r="S407" s="2" t="s">
        <v>186</v>
      </c>
      <c r="T407" s="2" t="s">
        <v>203</v>
      </c>
    </row>
    <row r="408" spans="1:20" ht="12.5" x14ac:dyDescent="0.25">
      <c r="A408" s="2" t="s">
        <v>1580</v>
      </c>
      <c r="B408" s="2" t="s">
        <v>809</v>
      </c>
      <c r="C408" s="2" t="s">
        <v>1581</v>
      </c>
      <c r="D408" s="2" t="s">
        <v>1582</v>
      </c>
      <c r="E408" s="2" t="s">
        <v>48</v>
      </c>
      <c r="F408" s="2" t="s">
        <v>25</v>
      </c>
      <c r="G408" s="5">
        <v>2430</v>
      </c>
      <c r="H408" s="5">
        <v>35</v>
      </c>
      <c r="I408" s="5">
        <v>1580</v>
      </c>
      <c r="J408" s="5">
        <v>1</v>
      </c>
      <c r="K408" s="2" t="s">
        <v>261</v>
      </c>
      <c r="L408" s="2" t="s">
        <v>64</v>
      </c>
      <c r="M408" s="4">
        <v>3.7</v>
      </c>
      <c r="N408" s="5">
        <v>221</v>
      </c>
      <c r="O408" s="3">
        <v>45795</v>
      </c>
      <c r="P408" s="2" t="s">
        <v>2391</v>
      </c>
      <c r="Q408" s="2" t="s">
        <v>65</v>
      </c>
      <c r="R408" s="2" t="s">
        <v>41</v>
      </c>
      <c r="S408" s="2" t="s">
        <v>42</v>
      </c>
      <c r="T408" s="2" t="s">
        <v>134</v>
      </c>
    </row>
    <row r="409" spans="1:20" ht="12.5" x14ac:dyDescent="0.25">
      <c r="A409" s="2" t="s">
        <v>1583</v>
      </c>
      <c r="B409" s="2" t="s">
        <v>905</v>
      </c>
      <c r="C409" s="2" t="s">
        <v>1584</v>
      </c>
      <c r="D409" s="2" t="s">
        <v>1585</v>
      </c>
      <c r="E409" s="2" t="s">
        <v>37</v>
      </c>
      <c r="F409" s="2" t="s">
        <v>38</v>
      </c>
      <c r="G409" s="5">
        <v>4647</v>
      </c>
      <c r="H409" s="5">
        <v>40</v>
      </c>
      <c r="I409" s="5">
        <v>2789</v>
      </c>
      <c r="J409" s="5">
        <v>2</v>
      </c>
      <c r="K409" s="2">
        <v>44</v>
      </c>
      <c r="L409" s="2" t="s">
        <v>49</v>
      </c>
      <c r="M409" s="4">
        <v>4.2</v>
      </c>
      <c r="N409" s="5">
        <v>267</v>
      </c>
      <c r="O409" s="3">
        <v>45825</v>
      </c>
      <c r="P409" s="2" t="s">
        <v>2390</v>
      </c>
      <c r="Q409" s="2" t="s">
        <v>29</v>
      </c>
      <c r="R409" s="2" t="s">
        <v>83</v>
      </c>
      <c r="S409" s="2" t="s">
        <v>83</v>
      </c>
      <c r="T409" s="2"/>
    </row>
    <row r="410" spans="1:20" ht="12.5" x14ac:dyDescent="0.25">
      <c r="A410" s="2" t="s">
        <v>1586</v>
      </c>
      <c r="B410" s="2" t="s">
        <v>1050</v>
      </c>
      <c r="C410" s="2" t="s">
        <v>1587</v>
      </c>
      <c r="D410" s="2" t="s">
        <v>1588</v>
      </c>
      <c r="E410" s="2" t="s">
        <v>116</v>
      </c>
      <c r="F410" s="2" t="s">
        <v>117</v>
      </c>
      <c r="G410" s="5">
        <v>4486</v>
      </c>
      <c r="H410" s="5">
        <v>20</v>
      </c>
      <c r="I410" s="5">
        <v>3589</v>
      </c>
      <c r="J410" s="5">
        <v>1</v>
      </c>
      <c r="K410" s="2">
        <v>44</v>
      </c>
      <c r="L410" s="2" t="s">
        <v>39</v>
      </c>
      <c r="M410" s="4">
        <v>4.9000000000000004</v>
      </c>
      <c r="N410" s="5">
        <v>63</v>
      </c>
      <c r="O410" s="3">
        <v>45823</v>
      </c>
      <c r="P410" s="2" t="s">
        <v>2390</v>
      </c>
      <c r="Q410" s="2" t="s">
        <v>65</v>
      </c>
      <c r="R410" s="2" t="s">
        <v>149</v>
      </c>
      <c r="S410" s="2" t="s">
        <v>150</v>
      </c>
      <c r="T410" s="2"/>
    </row>
    <row r="411" spans="1:20" ht="12.5" x14ac:dyDescent="0.25">
      <c r="A411" s="2" t="s">
        <v>1589</v>
      </c>
      <c r="B411" s="2" t="s">
        <v>107</v>
      </c>
      <c r="C411" s="2" t="s">
        <v>1590</v>
      </c>
      <c r="D411" s="2" t="s">
        <v>1591</v>
      </c>
      <c r="E411" s="2" t="s">
        <v>132</v>
      </c>
      <c r="F411" s="2" t="s">
        <v>38</v>
      </c>
      <c r="G411" s="5">
        <v>3126</v>
      </c>
      <c r="H411" s="5">
        <v>10</v>
      </c>
      <c r="I411" s="5">
        <v>2814</v>
      </c>
      <c r="J411" s="5">
        <v>3</v>
      </c>
      <c r="K411" s="2" t="s">
        <v>226</v>
      </c>
      <c r="L411" s="2" t="s">
        <v>133</v>
      </c>
      <c r="M411" s="4">
        <v>3.7</v>
      </c>
      <c r="N411" s="5">
        <v>15</v>
      </c>
      <c r="O411" s="3">
        <v>45837</v>
      </c>
      <c r="P411" s="2" t="s">
        <v>2390</v>
      </c>
      <c r="Q411" s="2" t="s">
        <v>29</v>
      </c>
      <c r="R411" s="2" t="s">
        <v>104</v>
      </c>
      <c r="S411" s="2" t="s">
        <v>105</v>
      </c>
      <c r="T411" s="2"/>
    </row>
    <row r="412" spans="1:20" ht="12.5" x14ac:dyDescent="0.25">
      <c r="A412" s="2" t="s">
        <v>1592</v>
      </c>
      <c r="B412" s="2" t="s">
        <v>677</v>
      </c>
      <c r="C412" s="2" t="s">
        <v>1593</v>
      </c>
      <c r="D412" s="2" t="s">
        <v>1594</v>
      </c>
      <c r="E412" s="2" t="s">
        <v>37</v>
      </c>
      <c r="F412" s="2" t="s">
        <v>38</v>
      </c>
      <c r="G412" s="5">
        <v>1404</v>
      </c>
      <c r="H412" s="5">
        <v>10</v>
      </c>
      <c r="I412" s="5">
        <v>1264</v>
      </c>
      <c r="J412" s="5">
        <v>1</v>
      </c>
      <c r="K412" s="2">
        <v>44</v>
      </c>
      <c r="L412" s="2" t="s">
        <v>168</v>
      </c>
      <c r="M412" s="4">
        <v>3.7</v>
      </c>
      <c r="N412" s="5">
        <v>239</v>
      </c>
      <c r="O412" s="3">
        <v>45791</v>
      </c>
      <c r="P412" s="2" t="s">
        <v>2391</v>
      </c>
      <c r="Q412" s="2" t="s">
        <v>29</v>
      </c>
      <c r="R412" s="2" t="s">
        <v>66</v>
      </c>
      <c r="S412" s="2" t="s">
        <v>67</v>
      </c>
      <c r="T412" s="2" t="s">
        <v>134</v>
      </c>
    </row>
    <row r="413" spans="1:20" ht="12.5" x14ac:dyDescent="0.25">
      <c r="A413" s="2" t="s">
        <v>1595</v>
      </c>
      <c r="B413" s="2" t="s">
        <v>1596</v>
      </c>
      <c r="C413" s="2" t="s">
        <v>1597</v>
      </c>
      <c r="D413" s="2" t="s">
        <v>1598</v>
      </c>
      <c r="E413" s="2" t="s">
        <v>55</v>
      </c>
      <c r="F413" s="2" t="s">
        <v>38</v>
      </c>
      <c r="G413" s="5">
        <v>4075</v>
      </c>
      <c r="H413" s="5">
        <v>10</v>
      </c>
      <c r="I413" s="5">
        <v>3668</v>
      </c>
      <c r="J413" s="5">
        <v>3</v>
      </c>
      <c r="K413" s="2" t="s">
        <v>72</v>
      </c>
      <c r="L413" s="2" t="s">
        <v>27</v>
      </c>
      <c r="M413" s="4">
        <v>4.2</v>
      </c>
      <c r="N413" s="5">
        <v>170</v>
      </c>
      <c r="O413" s="3">
        <v>45802</v>
      </c>
      <c r="P413" s="2" t="s">
        <v>2390</v>
      </c>
      <c r="Q413" s="2" t="s">
        <v>65</v>
      </c>
      <c r="R413" s="2" t="s">
        <v>89</v>
      </c>
      <c r="S413" s="2" t="s">
        <v>90</v>
      </c>
      <c r="T413" s="2"/>
    </row>
    <row r="414" spans="1:20" ht="12.5" x14ac:dyDescent="0.25">
      <c r="A414" s="2" t="s">
        <v>1599</v>
      </c>
      <c r="B414" s="2" t="s">
        <v>1600</v>
      </c>
      <c r="C414" s="2" t="s">
        <v>1601</v>
      </c>
      <c r="D414" s="2" t="s">
        <v>1602</v>
      </c>
      <c r="E414" s="2" t="s">
        <v>48</v>
      </c>
      <c r="F414" s="2" t="s">
        <v>25</v>
      </c>
      <c r="G414" s="5">
        <v>1014</v>
      </c>
      <c r="H414" s="5">
        <v>20</v>
      </c>
      <c r="I414" s="5">
        <v>812</v>
      </c>
      <c r="J414" s="5">
        <v>2</v>
      </c>
      <c r="K414" s="2" t="s">
        <v>261</v>
      </c>
      <c r="L414" s="2" t="s">
        <v>133</v>
      </c>
      <c r="M414" s="4">
        <v>3.7</v>
      </c>
      <c r="N414" s="5">
        <v>12</v>
      </c>
      <c r="O414" s="3">
        <v>45827</v>
      </c>
      <c r="P414" s="2" t="s">
        <v>2392</v>
      </c>
      <c r="Q414" s="2" t="s">
        <v>65</v>
      </c>
      <c r="R414" s="2" t="s">
        <v>58</v>
      </c>
      <c r="S414" s="2" t="s">
        <v>59</v>
      </c>
      <c r="T414" s="2"/>
    </row>
    <row r="415" spans="1:20" ht="12.5" x14ac:dyDescent="0.25">
      <c r="A415" s="2" t="s">
        <v>1603</v>
      </c>
      <c r="B415" s="2" t="s">
        <v>677</v>
      </c>
      <c r="C415" s="2" t="s">
        <v>1604</v>
      </c>
      <c r="D415" s="2" t="s">
        <v>1605</v>
      </c>
      <c r="E415" s="2" t="s">
        <v>122</v>
      </c>
      <c r="F415" s="2" t="s">
        <v>123</v>
      </c>
      <c r="G415" s="5">
        <v>2286</v>
      </c>
      <c r="H415" s="5">
        <v>10</v>
      </c>
      <c r="I415" s="5">
        <v>2058</v>
      </c>
      <c r="J415" s="5">
        <v>3</v>
      </c>
      <c r="K415" s="2" t="s">
        <v>226</v>
      </c>
      <c r="L415" s="2" t="s">
        <v>209</v>
      </c>
      <c r="M415" s="4">
        <v>4.8</v>
      </c>
      <c r="N415" s="5">
        <v>269</v>
      </c>
      <c r="O415" s="3">
        <v>45838</v>
      </c>
      <c r="P415" s="2" t="s">
        <v>2392</v>
      </c>
      <c r="Q415" s="2" t="s">
        <v>29</v>
      </c>
      <c r="R415" s="2" t="s">
        <v>41</v>
      </c>
      <c r="S415" s="2" t="s">
        <v>42</v>
      </c>
      <c r="T415" s="2"/>
    </row>
    <row r="416" spans="1:20" ht="12.5" x14ac:dyDescent="0.25">
      <c r="A416" s="2" t="s">
        <v>1606</v>
      </c>
      <c r="B416" s="2" t="s">
        <v>1549</v>
      </c>
      <c r="C416" s="2" t="s">
        <v>1607</v>
      </c>
      <c r="D416" s="2" t="s">
        <v>1608</v>
      </c>
      <c r="E416" s="2" t="s">
        <v>132</v>
      </c>
      <c r="F416" s="2" t="s">
        <v>38</v>
      </c>
      <c r="G416" s="5">
        <v>1508</v>
      </c>
      <c r="H416" s="5">
        <v>35</v>
      </c>
      <c r="I416" s="5">
        <v>981</v>
      </c>
      <c r="J416" s="5">
        <v>2</v>
      </c>
      <c r="K416" s="2" t="s">
        <v>72</v>
      </c>
      <c r="L416" s="2" t="s">
        <v>209</v>
      </c>
      <c r="M416" s="4">
        <v>4.8</v>
      </c>
      <c r="N416" s="5">
        <v>142</v>
      </c>
      <c r="O416" s="3">
        <v>45799</v>
      </c>
      <c r="P416" s="2" t="s">
        <v>2390</v>
      </c>
      <c r="Q416" s="2" t="s">
        <v>78</v>
      </c>
      <c r="R416" s="2" t="s">
        <v>149</v>
      </c>
      <c r="S416" s="2" t="s">
        <v>150</v>
      </c>
      <c r="T416" s="2"/>
    </row>
    <row r="417" spans="1:20" ht="12.5" x14ac:dyDescent="0.25">
      <c r="A417" s="2" t="s">
        <v>1609</v>
      </c>
      <c r="B417" s="2" t="s">
        <v>1610</v>
      </c>
      <c r="C417" s="2" t="s">
        <v>1611</v>
      </c>
      <c r="D417" s="2" t="s">
        <v>1612</v>
      </c>
      <c r="E417" s="2" t="s">
        <v>116</v>
      </c>
      <c r="F417" s="2" t="s">
        <v>117</v>
      </c>
      <c r="G417" s="5">
        <v>1716</v>
      </c>
      <c r="H417" s="5">
        <v>35</v>
      </c>
      <c r="I417" s="5">
        <v>1116</v>
      </c>
      <c r="J417" s="5">
        <v>1</v>
      </c>
      <c r="K417" s="2" t="s">
        <v>26</v>
      </c>
      <c r="L417" s="2" t="s">
        <v>49</v>
      </c>
      <c r="M417" s="4">
        <v>4.9000000000000004</v>
      </c>
      <c r="N417" s="5">
        <v>272</v>
      </c>
      <c r="O417" s="3">
        <v>45791</v>
      </c>
      <c r="P417" s="2" t="s">
        <v>2392</v>
      </c>
      <c r="Q417" s="2" t="s">
        <v>78</v>
      </c>
      <c r="R417" s="2" t="s">
        <v>110</v>
      </c>
      <c r="S417" s="2" t="s">
        <v>111</v>
      </c>
      <c r="T417" s="2"/>
    </row>
    <row r="418" spans="1:20" ht="12.5" x14ac:dyDescent="0.25">
      <c r="A418" s="2" t="s">
        <v>1613</v>
      </c>
      <c r="B418" s="2" t="s">
        <v>34</v>
      </c>
      <c r="C418" s="2" t="s">
        <v>1614</v>
      </c>
      <c r="D418" s="2" t="s">
        <v>1615</v>
      </c>
      <c r="E418" s="2" t="s">
        <v>24</v>
      </c>
      <c r="F418" s="2" t="s">
        <v>25</v>
      </c>
      <c r="G418" s="5">
        <v>789</v>
      </c>
      <c r="H418" s="5">
        <v>20</v>
      </c>
      <c r="I418" s="5">
        <v>632</v>
      </c>
      <c r="J418" s="5">
        <v>3</v>
      </c>
      <c r="K418" s="2" t="s">
        <v>72</v>
      </c>
      <c r="L418" s="2" t="s">
        <v>49</v>
      </c>
      <c r="M418" s="4">
        <v>4.8</v>
      </c>
      <c r="N418" s="5">
        <v>35</v>
      </c>
      <c r="O418" s="3">
        <v>45803</v>
      </c>
      <c r="P418" s="2" t="s">
        <v>2390</v>
      </c>
      <c r="Q418" s="2" t="s">
        <v>78</v>
      </c>
      <c r="R418" s="2" t="s">
        <v>41</v>
      </c>
      <c r="S418" s="2" t="s">
        <v>42</v>
      </c>
      <c r="T418" s="2"/>
    </row>
    <row r="419" spans="1:20" ht="12.5" x14ac:dyDescent="0.25">
      <c r="A419" s="2" t="s">
        <v>1616</v>
      </c>
      <c r="B419" s="2" t="s">
        <v>1617</v>
      </c>
      <c r="C419" s="2" t="s">
        <v>1618</v>
      </c>
      <c r="D419" s="2" t="s">
        <v>1619</v>
      </c>
      <c r="E419" s="2" t="s">
        <v>147</v>
      </c>
      <c r="F419" s="2" t="s">
        <v>148</v>
      </c>
      <c r="G419" s="5">
        <v>1627</v>
      </c>
      <c r="H419" s="5">
        <v>10</v>
      </c>
      <c r="I419" s="5">
        <v>1465</v>
      </c>
      <c r="J419" s="5">
        <v>3</v>
      </c>
      <c r="K419" s="2" t="s">
        <v>26</v>
      </c>
      <c r="L419" s="2" t="s">
        <v>209</v>
      </c>
      <c r="M419" s="4">
        <v>3.6</v>
      </c>
      <c r="N419" s="5">
        <v>216</v>
      </c>
      <c r="O419" s="3">
        <v>45852</v>
      </c>
      <c r="P419" s="2" t="s">
        <v>2391</v>
      </c>
      <c r="Q419" s="2" t="s">
        <v>78</v>
      </c>
      <c r="R419" s="2" t="s">
        <v>104</v>
      </c>
      <c r="S419" s="2" t="s">
        <v>105</v>
      </c>
      <c r="T419" s="2"/>
    </row>
    <row r="420" spans="1:20" ht="12.5" x14ac:dyDescent="0.25">
      <c r="A420" s="2" t="s">
        <v>1620</v>
      </c>
      <c r="B420" s="2" t="s">
        <v>125</v>
      </c>
      <c r="C420" s="2" t="s">
        <v>1621</v>
      </c>
      <c r="D420" s="2" t="s">
        <v>1622</v>
      </c>
      <c r="E420" s="2" t="s">
        <v>24</v>
      </c>
      <c r="F420" s="2" t="s">
        <v>25</v>
      </c>
      <c r="G420" s="5">
        <v>3925</v>
      </c>
      <c r="H420" s="5">
        <v>40</v>
      </c>
      <c r="I420" s="5">
        <v>2355</v>
      </c>
      <c r="J420" s="5">
        <v>1</v>
      </c>
      <c r="K420" s="2" t="s">
        <v>72</v>
      </c>
      <c r="L420" s="2" t="s">
        <v>209</v>
      </c>
      <c r="M420" s="4">
        <v>4</v>
      </c>
      <c r="N420" s="5">
        <v>257</v>
      </c>
      <c r="O420" s="3">
        <v>45824</v>
      </c>
      <c r="P420" s="2" t="s">
        <v>2392</v>
      </c>
      <c r="Q420" s="2" t="s">
        <v>78</v>
      </c>
      <c r="R420" s="2" t="s">
        <v>104</v>
      </c>
      <c r="S420" s="2" t="s">
        <v>105</v>
      </c>
      <c r="T420" s="2"/>
    </row>
    <row r="421" spans="1:20" ht="12.5" x14ac:dyDescent="0.25">
      <c r="A421" s="2" t="s">
        <v>1623</v>
      </c>
      <c r="B421" s="2" t="s">
        <v>1624</v>
      </c>
      <c r="C421" s="2" t="s">
        <v>1625</v>
      </c>
      <c r="D421" s="2" t="s">
        <v>1626</v>
      </c>
      <c r="E421" s="2" t="s">
        <v>37</v>
      </c>
      <c r="F421" s="2" t="s">
        <v>38</v>
      </c>
      <c r="G421" s="5">
        <v>1736</v>
      </c>
      <c r="H421" s="5">
        <v>15</v>
      </c>
      <c r="I421" s="5">
        <v>1476</v>
      </c>
      <c r="J421" s="5">
        <v>2</v>
      </c>
      <c r="K421" s="2" t="s">
        <v>32</v>
      </c>
      <c r="L421" s="2" t="s">
        <v>88</v>
      </c>
      <c r="M421" s="4">
        <v>4.7</v>
      </c>
      <c r="N421" s="5">
        <v>33</v>
      </c>
      <c r="O421" s="3">
        <v>45825</v>
      </c>
      <c r="P421" s="2" t="s">
        <v>2392</v>
      </c>
      <c r="Q421" s="2" t="s">
        <v>78</v>
      </c>
      <c r="R421" s="2" t="s">
        <v>58</v>
      </c>
      <c r="S421" s="2" t="s">
        <v>59</v>
      </c>
      <c r="T421" s="2"/>
    </row>
    <row r="422" spans="1:20" ht="12.5" x14ac:dyDescent="0.25">
      <c r="A422" s="2" t="s">
        <v>1627</v>
      </c>
      <c r="B422" s="2" t="s">
        <v>981</v>
      </c>
      <c r="C422" s="2" t="s">
        <v>1628</v>
      </c>
      <c r="D422" s="2" t="s">
        <v>1629</v>
      </c>
      <c r="E422" s="2" t="s">
        <v>208</v>
      </c>
      <c r="F422" s="2" t="s">
        <v>117</v>
      </c>
      <c r="G422" s="5">
        <v>3837</v>
      </c>
      <c r="H422" s="5">
        <v>25</v>
      </c>
      <c r="I422" s="5">
        <v>2878</v>
      </c>
      <c r="J422" s="5">
        <v>1</v>
      </c>
      <c r="K422" s="2">
        <v>44</v>
      </c>
      <c r="L422" s="2" t="s">
        <v>209</v>
      </c>
      <c r="M422" s="4">
        <v>3.8</v>
      </c>
      <c r="N422" s="5">
        <v>25</v>
      </c>
      <c r="O422" s="3">
        <v>45819</v>
      </c>
      <c r="P422" s="2" t="s">
        <v>2391</v>
      </c>
      <c r="Q422" s="2" t="s">
        <v>65</v>
      </c>
      <c r="R422" s="2" t="s">
        <v>104</v>
      </c>
      <c r="S422" s="2" t="s">
        <v>105</v>
      </c>
      <c r="T422" s="2" t="s">
        <v>134</v>
      </c>
    </row>
    <row r="423" spans="1:20" ht="12.5" x14ac:dyDescent="0.25">
      <c r="A423" s="2" t="s">
        <v>1630</v>
      </c>
      <c r="B423" s="2" t="s">
        <v>1631</v>
      </c>
      <c r="C423" s="2" t="s">
        <v>1632</v>
      </c>
      <c r="D423" s="2" t="s">
        <v>1633</v>
      </c>
      <c r="E423" s="2" t="s">
        <v>208</v>
      </c>
      <c r="F423" s="2" t="s">
        <v>117</v>
      </c>
      <c r="G423" s="5">
        <v>4027</v>
      </c>
      <c r="H423" s="5">
        <v>35</v>
      </c>
      <c r="I423" s="5">
        <v>2618</v>
      </c>
      <c r="J423" s="5">
        <v>2</v>
      </c>
      <c r="K423" s="2">
        <v>42</v>
      </c>
      <c r="L423" s="2" t="s">
        <v>103</v>
      </c>
      <c r="M423" s="4">
        <v>4.0999999999999996</v>
      </c>
      <c r="N423" s="5">
        <v>260</v>
      </c>
      <c r="O423" s="3">
        <v>45845</v>
      </c>
      <c r="P423" s="2" t="s">
        <v>2392</v>
      </c>
      <c r="Q423" s="2" t="s">
        <v>78</v>
      </c>
      <c r="R423" s="2" t="s">
        <v>149</v>
      </c>
      <c r="S423" s="2" t="s">
        <v>150</v>
      </c>
      <c r="T423" s="2"/>
    </row>
    <row r="424" spans="1:20" ht="12.5" x14ac:dyDescent="0.25">
      <c r="A424" s="2" t="s">
        <v>1634</v>
      </c>
      <c r="B424" s="2" t="s">
        <v>626</v>
      </c>
      <c r="C424" s="2" t="s">
        <v>1635</v>
      </c>
      <c r="D424" s="2" t="s">
        <v>1636</v>
      </c>
      <c r="E424" s="2" t="s">
        <v>116</v>
      </c>
      <c r="F424" s="2" t="s">
        <v>117</v>
      </c>
      <c r="G424" s="5">
        <v>3991</v>
      </c>
      <c r="H424" s="5">
        <v>35</v>
      </c>
      <c r="I424" s="5">
        <v>2595</v>
      </c>
      <c r="J424" s="5">
        <v>2</v>
      </c>
      <c r="K424" s="2" t="s">
        <v>56</v>
      </c>
      <c r="L424" s="2" t="s">
        <v>73</v>
      </c>
      <c r="M424" s="4">
        <v>3.6</v>
      </c>
      <c r="N424" s="5">
        <v>178</v>
      </c>
      <c r="O424" s="3">
        <v>45853</v>
      </c>
      <c r="P424" s="2" t="s">
        <v>2392</v>
      </c>
      <c r="Q424" s="2" t="s">
        <v>78</v>
      </c>
      <c r="R424" s="2" t="s">
        <v>149</v>
      </c>
      <c r="S424" s="2" t="s">
        <v>150</v>
      </c>
      <c r="T424" s="2"/>
    </row>
    <row r="425" spans="1:20" ht="12.5" x14ac:dyDescent="0.25">
      <c r="A425" s="2" t="s">
        <v>1637</v>
      </c>
      <c r="B425" s="2" t="s">
        <v>854</v>
      </c>
      <c r="C425" s="2" t="s">
        <v>1638</v>
      </c>
      <c r="D425" s="2" t="s">
        <v>1639</v>
      </c>
      <c r="E425" s="2" t="s">
        <v>208</v>
      </c>
      <c r="F425" s="2" t="s">
        <v>117</v>
      </c>
      <c r="G425" s="5">
        <v>2956</v>
      </c>
      <c r="H425" s="5">
        <v>40</v>
      </c>
      <c r="I425" s="5">
        <v>1774</v>
      </c>
      <c r="J425" s="5">
        <v>2</v>
      </c>
      <c r="K425" s="2" t="s">
        <v>32</v>
      </c>
      <c r="L425" s="2" t="s">
        <v>64</v>
      </c>
      <c r="M425" s="4">
        <v>3.8</v>
      </c>
      <c r="N425" s="5">
        <v>65</v>
      </c>
      <c r="O425" s="3">
        <v>45793</v>
      </c>
      <c r="P425" s="2" t="s">
        <v>2392</v>
      </c>
      <c r="Q425" s="2" t="s">
        <v>78</v>
      </c>
      <c r="R425" s="2" t="s">
        <v>89</v>
      </c>
      <c r="S425" s="2" t="s">
        <v>90</v>
      </c>
      <c r="T425" s="2"/>
    </row>
    <row r="426" spans="1:20" ht="12.5" x14ac:dyDescent="0.25">
      <c r="A426" s="2" t="s">
        <v>1640</v>
      </c>
      <c r="B426" s="2" t="s">
        <v>1325</v>
      </c>
      <c r="C426" s="2" t="s">
        <v>1641</v>
      </c>
      <c r="D426" s="2" t="s">
        <v>1642</v>
      </c>
      <c r="E426" s="2" t="s">
        <v>122</v>
      </c>
      <c r="F426" s="2" t="s">
        <v>123</v>
      </c>
      <c r="G426" s="5">
        <v>1835</v>
      </c>
      <c r="H426" s="5">
        <v>25</v>
      </c>
      <c r="I426" s="5">
        <v>1377</v>
      </c>
      <c r="J426" s="5">
        <v>2</v>
      </c>
      <c r="K426" s="2" t="s">
        <v>56</v>
      </c>
      <c r="L426" s="2" t="s">
        <v>49</v>
      </c>
      <c r="M426" s="4">
        <v>5</v>
      </c>
      <c r="N426" s="5">
        <v>191</v>
      </c>
      <c r="O426" s="3">
        <v>45839</v>
      </c>
      <c r="P426" s="2" t="s">
        <v>2391</v>
      </c>
      <c r="Q426" s="2" t="s">
        <v>78</v>
      </c>
      <c r="R426" s="2" t="s">
        <v>104</v>
      </c>
      <c r="S426" s="2" t="s">
        <v>105</v>
      </c>
      <c r="T426" s="2" t="s">
        <v>43</v>
      </c>
    </row>
    <row r="427" spans="1:20" ht="12.5" x14ac:dyDescent="0.25">
      <c r="A427" s="2" t="s">
        <v>1643</v>
      </c>
      <c r="B427" s="2" t="s">
        <v>1502</v>
      </c>
      <c r="C427" s="2" t="s">
        <v>1644</v>
      </c>
      <c r="D427" s="2" t="s">
        <v>1645</v>
      </c>
      <c r="E427" s="2" t="s">
        <v>55</v>
      </c>
      <c r="F427" s="2" t="s">
        <v>38</v>
      </c>
      <c r="G427" s="5">
        <v>4106</v>
      </c>
      <c r="H427" s="5">
        <v>20</v>
      </c>
      <c r="I427" s="5">
        <v>3285</v>
      </c>
      <c r="J427" s="5">
        <v>1</v>
      </c>
      <c r="K427" s="2" t="s">
        <v>56</v>
      </c>
      <c r="L427" s="2" t="s">
        <v>209</v>
      </c>
      <c r="M427" s="4">
        <v>4.5999999999999996</v>
      </c>
      <c r="N427" s="5">
        <v>248</v>
      </c>
      <c r="O427" s="3">
        <v>45851</v>
      </c>
      <c r="P427" s="2" t="s">
        <v>2390</v>
      </c>
      <c r="Q427" s="2" t="s">
        <v>78</v>
      </c>
      <c r="R427" s="2" t="s">
        <v>104</v>
      </c>
      <c r="S427" s="2" t="s">
        <v>105</v>
      </c>
      <c r="T427" s="2"/>
    </row>
    <row r="428" spans="1:20" ht="12.5" x14ac:dyDescent="0.25">
      <c r="A428" s="2" t="s">
        <v>1646</v>
      </c>
      <c r="B428" s="2" t="s">
        <v>761</v>
      </c>
      <c r="C428" s="2" t="s">
        <v>1647</v>
      </c>
      <c r="D428" s="2" t="s">
        <v>1648</v>
      </c>
      <c r="E428" s="2" t="s">
        <v>147</v>
      </c>
      <c r="F428" s="2" t="s">
        <v>148</v>
      </c>
      <c r="G428" s="5">
        <v>3411</v>
      </c>
      <c r="H428" s="5">
        <v>30</v>
      </c>
      <c r="I428" s="5">
        <v>2388</v>
      </c>
      <c r="J428" s="5">
        <v>1</v>
      </c>
      <c r="K428" s="2" t="s">
        <v>32</v>
      </c>
      <c r="L428" s="2" t="s">
        <v>209</v>
      </c>
      <c r="M428" s="4">
        <v>3.9</v>
      </c>
      <c r="N428" s="5">
        <v>208</v>
      </c>
      <c r="O428" s="3">
        <v>45803</v>
      </c>
      <c r="P428" s="2" t="s">
        <v>2390</v>
      </c>
      <c r="Q428" s="2" t="s">
        <v>29</v>
      </c>
      <c r="R428" s="2" t="s">
        <v>110</v>
      </c>
      <c r="S428" s="2" t="s">
        <v>111</v>
      </c>
      <c r="T428" s="2"/>
    </row>
    <row r="429" spans="1:20" ht="12.5" x14ac:dyDescent="0.25">
      <c r="A429" s="2" t="s">
        <v>1649</v>
      </c>
      <c r="B429" s="2" t="s">
        <v>303</v>
      </c>
      <c r="C429" s="2" t="s">
        <v>1650</v>
      </c>
      <c r="D429" s="2" t="s">
        <v>1651</v>
      </c>
      <c r="E429" s="2" t="s">
        <v>24</v>
      </c>
      <c r="F429" s="2" t="s">
        <v>25</v>
      </c>
      <c r="G429" s="5">
        <v>1561</v>
      </c>
      <c r="H429" s="5">
        <v>30</v>
      </c>
      <c r="I429" s="5">
        <v>1093</v>
      </c>
      <c r="J429" s="5">
        <v>1</v>
      </c>
      <c r="K429" s="2">
        <v>42</v>
      </c>
      <c r="L429" s="2" t="s">
        <v>64</v>
      </c>
      <c r="M429" s="4">
        <v>5</v>
      </c>
      <c r="N429" s="5">
        <v>220</v>
      </c>
      <c r="O429" s="3">
        <v>45773</v>
      </c>
      <c r="P429" s="2" t="s">
        <v>2391</v>
      </c>
      <c r="Q429" s="2" t="s">
        <v>65</v>
      </c>
      <c r="R429" s="2" t="s">
        <v>83</v>
      </c>
      <c r="S429" s="2" t="s">
        <v>83</v>
      </c>
      <c r="T429" s="2" t="s">
        <v>43</v>
      </c>
    </row>
    <row r="430" spans="1:20" ht="12.5" x14ac:dyDescent="0.25">
      <c r="A430" s="2" t="s">
        <v>1652</v>
      </c>
      <c r="B430" s="2" t="s">
        <v>1182</v>
      </c>
      <c r="C430" s="2" t="s">
        <v>1653</v>
      </c>
      <c r="D430" s="2" t="s">
        <v>1654</v>
      </c>
      <c r="E430" s="2" t="s">
        <v>122</v>
      </c>
      <c r="F430" s="2" t="s">
        <v>123</v>
      </c>
      <c r="G430" s="5">
        <v>1926</v>
      </c>
      <c r="H430" s="5">
        <v>10</v>
      </c>
      <c r="I430" s="5">
        <v>1734</v>
      </c>
      <c r="J430" s="5">
        <v>2</v>
      </c>
      <c r="K430" s="2" t="s">
        <v>72</v>
      </c>
      <c r="L430" s="2" t="s">
        <v>64</v>
      </c>
      <c r="M430" s="4">
        <v>3.7</v>
      </c>
      <c r="N430" s="5">
        <v>242</v>
      </c>
      <c r="O430" s="3">
        <v>45783</v>
      </c>
      <c r="P430" s="2" t="s">
        <v>2392</v>
      </c>
      <c r="Q430" s="2" t="s">
        <v>29</v>
      </c>
      <c r="R430" s="2" t="s">
        <v>149</v>
      </c>
      <c r="S430" s="2" t="s">
        <v>150</v>
      </c>
      <c r="T430" s="2"/>
    </row>
    <row r="431" spans="1:20" ht="12.5" x14ac:dyDescent="0.25">
      <c r="A431" s="2" t="s">
        <v>1655</v>
      </c>
      <c r="B431" s="2" t="s">
        <v>448</v>
      </c>
      <c r="C431" s="2" t="s">
        <v>1656</v>
      </c>
      <c r="D431" s="2" t="s">
        <v>1657</v>
      </c>
      <c r="E431" s="2" t="s">
        <v>55</v>
      </c>
      <c r="F431" s="2" t="s">
        <v>38</v>
      </c>
      <c r="G431" s="5">
        <v>1371</v>
      </c>
      <c r="H431" s="5">
        <v>40</v>
      </c>
      <c r="I431" s="5">
        <v>823</v>
      </c>
      <c r="J431" s="5">
        <v>2</v>
      </c>
      <c r="K431" s="2" t="s">
        <v>56</v>
      </c>
      <c r="L431" s="2" t="s">
        <v>64</v>
      </c>
      <c r="M431" s="4">
        <v>4.9000000000000004</v>
      </c>
      <c r="N431" s="5">
        <v>97</v>
      </c>
      <c r="O431" s="3">
        <v>45808</v>
      </c>
      <c r="P431" s="2" t="s">
        <v>2390</v>
      </c>
      <c r="Q431" s="2" t="s">
        <v>78</v>
      </c>
      <c r="R431" s="2" t="s">
        <v>89</v>
      </c>
      <c r="S431" s="2" t="s">
        <v>90</v>
      </c>
      <c r="T431" s="2"/>
    </row>
    <row r="432" spans="1:20" ht="12.5" x14ac:dyDescent="0.25">
      <c r="A432" s="2" t="s">
        <v>1658</v>
      </c>
      <c r="B432" s="2" t="s">
        <v>240</v>
      </c>
      <c r="C432" s="2" t="s">
        <v>1659</v>
      </c>
      <c r="D432" s="2" t="s">
        <v>1660</v>
      </c>
      <c r="E432" s="2" t="s">
        <v>37</v>
      </c>
      <c r="F432" s="2" t="s">
        <v>38</v>
      </c>
      <c r="G432" s="5">
        <v>1892</v>
      </c>
      <c r="H432" s="5">
        <v>25</v>
      </c>
      <c r="I432" s="5">
        <v>1419</v>
      </c>
      <c r="J432" s="5">
        <v>2</v>
      </c>
      <c r="K432" s="2" t="s">
        <v>261</v>
      </c>
      <c r="L432" s="2" t="s">
        <v>209</v>
      </c>
      <c r="M432" s="4">
        <v>3.9</v>
      </c>
      <c r="N432" s="5">
        <v>131</v>
      </c>
      <c r="O432" s="3">
        <v>45823</v>
      </c>
      <c r="P432" s="2" t="s">
        <v>2392</v>
      </c>
      <c r="Q432" s="2" t="s">
        <v>29</v>
      </c>
      <c r="R432" s="2" t="s">
        <v>58</v>
      </c>
      <c r="S432" s="2" t="s">
        <v>59</v>
      </c>
      <c r="T432" s="2"/>
    </row>
    <row r="433" spans="1:20" ht="12.5" x14ac:dyDescent="0.25">
      <c r="A433" s="2" t="s">
        <v>1661</v>
      </c>
      <c r="B433" s="2" t="s">
        <v>1662</v>
      </c>
      <c r="C433" s="2" t="s">
        <v>1663</v>
      </c>
      <c r="D433" s="2" t="s">
        <v>1664</v>
      </c>
      <c r="E433" s="2" t="s">
        <v>24</v>
      </c>
      <c r="F433" s="2" t="s">
        <v>25</v>
      </c>
      <c r="G433" s="5">
        <v>4316</v>
      </c>
      <c r="H433" s="5">
        <v>40</v>
      </c>
      <c r="I433" s="5">
        <v>2590</v>
      </c>
      <c r="J433" s="5">
        <v>1</v>
      </c>
      <c r="K433" s="2" t="s">
        <v>26</v>
      </c>
      <c r="L433" s="2" t="s">
        <v>133</v>
      </c>
      <c r="M433" s="4">
        <v>3.5</v>
      </c>
      <c r="N433" s="5">
        <v>240</v>
      </c>
      <c r="O433" s="3">
        <v>45844</v>
      </c>
      <c r="P433" s="2" t="s">
        <v>2391</v>
      </c>
      <c r="Q433" s="2" t="s">
        <v>78</v>
      </c>
      <c r="R433" s="2" t="s">
        <v>89</v>
      </c>
      <c r="S433" s="2" t="s">
        <v>90</v>
      </c>
      <c r="T433" s="2" t="s">
        <v>134</v>
      </c>
    </row>
    <row r="434" spans="1:20" ht="12.5" x14ac:dyDescent="0.25">
      <c r="A434" s="2" t="s">
        <v>1665</v>
      </c>
      <c r="B434" s="2" t="s">
        <v>693</v>
      </c>
      <c r="C434" s="2" t="s">
        <v>1666</v>
      </c>
      <c r="D434" s="2" t="s">
        <v>1667</v>
      </c>
      <c r="E434" s="2" t="s">
        <v>24</v>
      </c>
      <c r="F434" s="2" t="s">
        <v>25</v>
      </c>
      <c r="G434" s="5">
        <v>2914</v>
      </c>
      <c r="H434" s="5">
        <v>25</v>
      </c>
      <c r="I434" s="5">
        <v>2186</v>
      </c>
      <c r="J434" s="5">
        <v>2</v>
      </c>
      <c r="K434" s="2" t="s">
        <v>163</v>
      </c>
      <c r="L434" s="2" t="s">
        <v>88</v>
      </c>
      <c r="M434" s="4">
        <v>4.5</v>
      </c>
      <c r="N434" s="5">
        <v>107</v>
      </c>
      <c r="O434" s="3">
        <v>45792</v>
      </c>
      <c r="P434" s="2" t="s">
        <v>2390</v>
      </c>
      <c r="Q434" s="2" t="s">
        <v>29</v>
      </c>
      <c r="R434" s="2" t="s">
        <v>30</v>
      </c>
      <c r="S434" s="2" t="s">
        <v>31</v>
      </c>
      <c r="T434" s="2"/>
    </row>
    <row r="435" spans="1:20" ht="12.5" x14ac:dyDescent="0.25">
      <c r="A435" s="2" t="s">
        <v>1668</v>
      </c>
      <c r="B435" s="2" t="s">
        <v>1669</v>
      </c>
      <c r="C435" s="2" t="s">
        <v>1670</v>
      </c>
      <c r="D435" s="2" t="s">
        <v>1671</v>
      </c>
      <c r="E435" s="2" t="s">
        <v>208</v>
      </c>
      <c r="F435" s="2" t="s">
        <v>117</v>
      </c>
      <c r="G435" s="5">
        <v>2434</v>
      </c>
      <c r="H435" s="5">
        <v>30</v>
      </c>
      <c r="I435" s="5">
        <v>1704</v>
      </c>
      <c r="J435" s="5">
        <v>1</v>
      </c>
      <c r="K435" s="2" t="s">
        <v>56</v>
      </c>
      <c r="L435" s="2" t="s">
        <v>49</v>
      </c>
      <c r="M435" s="4">
        <v>4.3</v>
      </c>
      <c r="N435" s="5">
        <v>204</v>
      </c>
      <c r="O435" s="3">
        <v>45781</v>
      </c>
      <c r="P435" s="2" t="s">
        <v>2390</v>
      </c>
      <c r="Q435" s="2" t="s">
        <v>29</v>
      </c>
      <c r="R435" s="2" t="s">
        <v>89</v>
      </c>
      <c r="S435" s="2" t="s">
        <v>90</v>
      </c>
      <c r="T435" s="2"/>
    </row>
    <row r="436" spans="1:20" ht="12.5" x14ac:dyDescent="0.25">
      <c r="A436" s="2" t="s">
        <v>1672</v>
      </c>
      <c r="B436" s="2" t="s">
        <v>1132</v>
      </c>
      <c r="C436" s="2" t="s">
        <v>1673</v>
      </c>
      <c r="D436" s="2" t="s">
        <v>1674</v>
      </c>
      <c r="E436" s="2" t="s">
        <v>116</v>
      </c>
      <c r="F436" s="2" t="s">
        <v>117</v>
      </c>
      <c r="G436" s="5">
        <v>1180</v>
      </c>
      <c r="H436" s="5">
        <v>20</v>
      </c>
      <c r="I436" s="5">
        <v>944</v>
      </c>
      <c r="J436" s="5">
        <v>1</v>
      </c>
      <c r="K436" s="2" t="s">
        <v>261</v>
      </c>
      <c r="L436" s="2" t="s">
        <v>27</v>
      </c>
      <c r="M436" s="4">
        <v>4.3</v>
      </c>
      <c r="N436" s="5">
        <v>231</v>
      </c>
      <c r="O436" s="3">
        <v>45838</v>
      </c>
      <c r="P436" s="2" t="s">
        <v>2392</v>
      </c>
      <c r="Q436" s="2" t="s">
        <v>65</v>
      </c>
      <c r="R436" s="2" t="s">
        <v>66</v>
      </c>
      <c r="S436" s="2" t="s">
        <v>67</v>
      </c>
      <c r="T436" s="2"/>
    </row>
    <row r="437" spans="1:20" ht="12.5" x14ac:dyDescent="0.25">
      <c r="A437" s="2" t="s">
        <v>1675</v>
      </c>
      <c r="B437" s="2" t="s">
        <v>1676</v>
      </c>
      <c r="C437" s="2" t="s">
        <v>1677</v>
      </c>
      <c r="D437" s="2" t="s">
        <v>1678</v>
      </c>
      <c r="E437" s="2" t="s">
        <v>37</v>
      </c>
      <c r="F437" s="2" t="s">
        <v>38</v>
      </c>
      <c r="G437" s="5">
        <v>3465</v>
      </c>
      <c r="H437" s="5">
        <v>10</v>
      </c>
      <c r="I437" s="5">
        <v>3119</v>
      </c>
      <c r="J437" s="5">
        <v>3</v>
      </c>
      <c r="K437" s="2" t="s">
        <v>163</v>
      </c>
      <c r="L437" s="2" t="s">
        <v>73</v>
      </c>
      <c r="M437" s="4">
        <v>3.9</v>
      </c>
      <c r="N437" s="5">
        <v>257</v>
      </c>
      <c r="O437" s="3">
        <v>45843</v>
      </c>
      <c r="P437" s="2" t="s">
        <v>2390</v>
      </c>
      <c r="Q437" s="2" t="s">
        <v>29</v>
      </c>
      <c r="R437" s="2" t="s">
        <v>58</v>
      </c>
      <c r="S437" s="2" t="s">
        <v>59</v>
      </c>
      <c r="T437" s="2"/>
    </row>
    <row r="438" spans="1:20" ht="12.5" x14ac:dyDescent="0.25">
      <c r="A438" s="2" t="s">
        <v>1679</v>
      </c>
      <c r="B438" s="2" t="s">
        <v>349</v>
      </c>
      <c r="C438" s="2" t="s">
        <v>1680</v>
      </c>
      <c r="D438" s="2" t="s">
        <v>1681</v>
      </c>
      <c r="E438" s="2" t="s">
        <v>247</v>
      </c>
      <c r="F438" s="2" t="s">
        <v>248</v>
      </c>
      <c r="G438" s="5">
        <v>1947</v>
      </c>
      <c r="H438" s="5">
        <v>40</v>
      </c>
      <c r="I438" s="5">
        <v>1169</v>
      </c>
      <c r="J438" s="5">
        <v>2</v>
      </c>
      <c r="K438" s="2">
        <v>44</v>
      </c>
      <c r="L438" s="2" t="s">
        <v>88</v>
      </c>
      <c r="M438" s="4">
        <v>3.8</v>
      </c>
      <c r="N438" s="5">
        <v>45</v>
      </c>
      <c r="O438" s="3">
        <v>45818</v>
      </c>
      <c r="P438" s="2" t="s">
        <v>2390</v>
      </c>
      <c r="Q438" s="2" t="s">
        <v>29</v>
      </c>
      <c r="R438" s="2" t="s">
        <v>104</v>
      </c>
      <c r="S438" s="2" t="s">
        <v>105</v>
      </c>
      <c r="T438" s="2"/>
    </row>
    <row r="439" spans="1:20" ht="12.5" x14ac:dyDescent="0.25">
      <c r="A439" s="2" t="s">
        <v>1682</v>
      </c>
      <c r="B439" s="2" t="s">
        <v>835</v>
      </c>
      <c r="C439" s="2" t="s">
        <v>1683</v>
      </c>
      <c r="D439" s="2" t="s">
        <v>1684</v>
      </c>
      <c r="E439" s="2" t="s">
        <v>116</v>
      </c>
      <c r="F439" s="2" t="s">
        <v>117</v>
      </c>
      <c r="G439" s="5">
        <v>3975</v>
      </c>
      <c r="H439" s="5">
        <v>35</v>
      </c>
      <c r="I439" s="5">
        <v>2584</v>
      </c>
      <c r="J439" s="5">
        <v>3</v>
      </c>
      <c r="K439" s="2" t="s">
        <v>56</v>
      </c>
      <c r="L439" s="2" t="s">
        <v>73</v>
      </c>
      <c r="M439" s="4">
        <v>4</v>
      </c>
      <c r="N439" s="5">
        <v>112</v>
      </c>
      <c r="O439" s="3">
        <v>45840</v>
      </c>
      <c r="P439" s="2" t="s">
        <v>2391</v>
      </c>
      <c r="Q439" s="2" t="s">
        <v>65</v>
      </c>
      <c r="R439" s="2" t="s">
        <v>30</v>
      </c>
      <c r="S439" s="2" t="s">
        <v>31</v>
      </c>
      <c r="T439" s="2" t="s">
        <v>43</v>
      </c>
    </row>
    <row r="440" spans="1:20" ht="12.5" x14ac:dyDescent="0.25">
      <c r="A440" s="2" t="s">
        <v>1685</v>
      </c>
      <c r="B440" s="2" t="s">
        <v>314</v>
      </c>
      <c r="C440" s="2" t="s">
        <v>1686</v>
      </c>
      <c r="D440" s="2" t="s">
        <v>1687</v>
      </c>
      <c r="E440" s="2" t="s">
        <v>37</v>
      </c>
      <c r="F440" s="2" t="s">
        <v>38</v>
      </c>
      <c r="G440" s="5">
        <v>1355</v>
      </c>
      <c r="H440" s="5">
        <v>15</v>
      </c>
      <c r="I440" s="5">
        <v>1152</v>
      </c>
      <c r="J440" s="5">
        <v>2</v>
      </c>
      <c r="K440" s="2">
        <v>40</v>
      </c>
      <c r="L440" s="2" t="s">
        <v>168</v>
      </c>
      <c r="M440" s="4">
        <v>4.9000000000000004</v>
      </c>
      <c r="N440" s="5">
        <v>114</v>
      </c>
      <c r="O440" s="3">
        <v>45804</v>
      </c>
      <c r="P440" s="2" t="s">
        <v>2392</v>
      </c>
      <c r="Q440" s="2" t="s">
        <v>78</v>
      </c>
      <c r="R440" s="2" t="s">
        <v>89</v>
      </c>
      <c r="S440" s="2" t="s">
        <v>90</v>
      </c>
      <c r="T440" s="2"/>
    </row>
    <row r="441" spans="1:20" ht="12.5" x14ac:dyDescent="0.25">
      <c r="A441" s="2" t="s">
        <v>1688</v>
      </c>
      <c r="B441" s="2" t="s">
        <v>1487</v>
      </c>
      <c r="C441" s="2" t="s">
        <v>1689</v>
      </c>
      <c r="D441" s="2" t="s">
        <v>1690</v>
      </c>
      <c r="E441" s="2" t="s">
        <v>147</v>
      </c>
      <c r="F441" s="2" t="s">
        <v>148</v>
      </c>
      <c r="G441" s="5">
        <v>3420</v>
      </c>
      <c r="H441" s="5">
        <v>40</v>
      </c>
      <c r="I441" s="5">
        <v>2052</v>
      </c>
      <c r="J441" s="5">
        <v>1</v>
      </c>
      <c r="K441" s="2" t="s">
        <v>26</v>
      </c>
      <c r="L441" s="2" t="s">
        <v>168</v>
      </c>
      <c r="M441" s="4">
        <v>5</v>
      </c>
      <c r="N441" s="5">
        <v>132</v>
      </c>
      <c r="O441" s="3">
        <v>45779</v>
      </c>
      <c r="P441" s="2" t="s">
        <v>2390</v>
      </c>
      <c r="Q441" s="2" t="s">
        <v>65</v>
      </c>
      <c r="R441" s="2" t="s">
        <v>89</v>
      </c>
      <c r="S441" s="2" t="s">
        <v>90</v>
      </c>
      <c r="T441" s="2"/>
    </row>
    <row r="442" spans="1:20" ht="12.5" x14ac:dyDescent="0.25">
      <c r="A442" s="2" t="s">
        <v>1691</v>
      </c>
      <c r="B442" s="2" t="s">
        <v>1692</v>
      </c>
      <c r="C442" s="2" t="s">
        <v>1693</v>
      </c>
      <c r="D442" s="2" t="s">
        <v>1694</v>
      </c>
      <c r="E442" s="2" t="s">
        <v>247</v>
      </c>
      <c r="F442" s="2" t="s">
        <v>248</v>
      </c>
      <c r="G442" s="5">
        <v>1600</v>
      </c>
      <c r="H442" s="5">
        <v>15</v>
      </c>
      <c r="I442" s="5">
        <v>1360</v>
      </c>
      <c r="J442" s="5">
        <v>2</v>
      </c>
      <c r="K442" s="2">
        <v>42</v>
      </c>
      <c r="L442" s="2" t="s">
        <v>49</v>
      </c>
      <c r="M442" s="4">
        <v>5</v>
      </c>
      <c r="N442" s="5">
        <v>83</v>
      </c>
      <c r="O442" s="3">
        <v>45853</v>
      </c>
      <c r="P442" s="2" t="s">
        <v>2390</v>
      </c>
      <c r="Q442" s="2" t="s">
        <v>65</v>
      </c>
      <c r="R442" s="2" t="s">
        <v>58</v>
      </c>
      <c r="S442" s="2" t="s">
        <v>59</v>
      </c>
      <c r="T442" s="2"/>
    </row>
    <row r="443" spans="1:20" ht="12.5" x14ac:dyDescent="0.25">
      <c r="A443" s="2" t="s">
        <v>1695</v>
      </c>
      <c r="B443" s="2" t="s">
        <v>1696</v>
      </c>
      <c r="C443" s="2" t="s">
        <v>1697</v>
      </c>
      <c r="D443" s="2" t="s">
        <v>1698</v>
      </c>
      <c r="E443" s="2" t="s">
        <v>116</v>
      </c>
      <c r="F443" s="2" t="s">
        <v>117</v>
      </c>
      <c r="G443" s="5">
        <v>811</v>
      </c>
      <c r="H443" s="5">
        <v>35</v>
      </c>
      <c r="I443" s="5">
        <v>528</v>
      </c>
      <c r="J443" s="5">
        <v>2</v>
      </c>
      <c r="K443" s="2">
        <v>40</v>
      </c>
      <c r="L443" s="2" t="s">
        <v>64</v>
      </c>
      <c r="M443" s="4">
        <v>4.3</v>
      </c>
      <c r="N443" s="5">
        <v>108</v>
      </c>
      <c r="O443" s="3">
        <v>45784</v>
      </c>
      <c r="P443" s="2" t="s">
        <v>2390</v>
      </c>
      <c r="Q443" s="2" t="s">
        <v>65</v>
      </c>
      <c r="R443" s="2" t="s">
        <v>89</v>
      </c>
      <c r="S443" s="2" t="s">
        <v>90</v>
      </c>
      <c r="T443" s="2"/>
    </row>
    <row r="444" spans="1:20" ht="12.5" x14ac:dyDescent="0.25">
      <c r="A444" s="2" t="s">
        <v>1699</v>
      </c>
      <c r="B444" s="2" t="s">
        <v>1700</v>
      </c>
      <c r="C444" s="2" t="s">
        <v>1701</v>
      </c>
      <c r="D444" s="2" t="s">
        <v>1702</v>
      </c>
      <c r="E444" s="2" t="s">
        <v>116</v>
      </c>
      <c r="F444" s="2" t="s">
        <v>117</v>
      </c>
      <c r="G444" s="5">
        <v>2718</v>
      </c>
      <c r="H444" s="5">
        <v>25</v>
      </c>
      <c r="I444" s="5">
        <v>2039</v>
      </c>
      <c r="J444" s="5">
        <v>1</v>
      </c>
      <c r="K444" s="2" t="s">
        <v>56</v>
      </c>
      <c r="L444" s="2" t="s">
        <v>73</v>
      </c>
      <c r="M444" s="4">
        <v>3.8</v>
      </c>
      <c r="N444" s="5">
        <v>163</v>
      </c>
      <c r="O444" s="3">
        <v>45802</v>
      </c>
      <c r="P444" s="2" t="s">
        <v>2390</v>
      </c>
      <c r="Q444" s="2" t="s">
        <v>29</v>
      </c>
      <c r="R444" s="2" t="s">
        <v>41</v>
      </c>
      <c r="S444" s="2" t="s">
        <v>42</v>
      </c>
      <c r="T444" s="2"/>
    </row>
    <row r="445" spans="1:20" ht="12.5" x14ac:dyDescent="0.25">
      <c r="A445" s="2" t="s">
        <v>1703</v>
      </c>
      <c r="B445" s="2" t="s">
        <v>909</v>
      </c>
      <c r="C445" s="2" t="s">
        <v>1704</v>
      </c>
      <c r="D445" s="2" t="s">
        <v>1705</v>
      </c>
      <c r="E445" s="2" t="s">
        <v>55</v>
      </c>
      <c r="F445" s="2" t="s">
        <v>38</v>
      </c>
      <c r="G445" s="5">
        <v>3604</v>
      </c>
      <c r="H445" s="5">
        <v>20</v>
      </c>
      <c r="I445" s="5">
        <v>2884</v>
      </c>
      <c r="J445" s="5">
        <v>1</v>
      </c>
      <c r="K445" s="2" t="s">
        <v>72</v>
      </c>
      <c r="L445" s="2" t="s">
        <v>168</v>
      </c>
      <c r="M445" s="4">
        <v>4</v>
      </c>
      <c r="N445" s="5">
        <v>258</v>
      </c>
      <c r="O445" s="3">
        <v>45811</v>
      </c>
      <c r="P445" s="2" t="s">
        <v>2391</v>
      </c>
      <c r="Q445" s="2" t="s">
        <v>78</v>
      </c>
      <c r="R445" s="2" t="s">
        <v>83</v>
      </c>
      <c r="S445" s="2" t="s">
        <v>83</v>
      </c>
      <c r="T445" s="2" t="s">
        <v>134</v>
      </c>
    </row>
    <row r="446" spans="1:20" ht="12.5" x14ac:dyDescent="0.25">
      <c r="A446" s="2" t="s">
        <v>1706</v>
      </c>
      <c r="B446" s="2" t="s">
        <v>228</v>
      </c>
      <c r="C446" s="2" t="s">
        <v>1707</v>
      </c>
      <c r="D446" s="2" t="s">
        <v>1708</v>
      </c>
      <c r="E446" s="2" t="s">
        <v>48</v>
      </c>
      <c r="F446" s="2" t="s">
        <v>25</v>
      </c>
      <c r="G446" s="5">
        <v>753</v>
      </c>
      <c r="H446" s="5">
        <v>20</v>
      </c>
      <c r="I446" s="5">
        <v>603</v>
      </c>
      <c r="J446" s="5">
        <v>1</v>
      </c>
      <c r="K446" s="2">
        <v>40</v>
      </c>
      <c r="L446" s="2" t="s">
        <v>168</v>
      </c>
      <c r="M446" s="4">
        <v>4.7</v>
      </c>
      <c r="N446" s="5">
        <v>294</v>
      </c>
      <c r="O446" s="3">
        <v>45810</v>
      </c>
      <c r="P446" s="2" t="s">
        <v>2390</v>
      </c>
      <c r="Q446" s="2" t="s">
        <v>29</v>
      </c>
      <c r="R446" s="2" t="s">
        <v>110</v>
      </c>
      <c r="S446" s="2" t="s">
        <v>111</v>
      </c>
      <c r="T446" s="2"/>
    </row>
    <row r="447" spans="1:20" ht="12.5" x14ac:dyDescent="0.25">
      <c r="A447" s="2" t="s">
        <v>1709</v>
      </c>
      <c r="B447" s="2" t="s">
        <v>1710</v>
      </c>
      <c r="C447" s="2" t="s">
        <v>1711</v>
      </c>
      <c r="D447" s="2" t="s">
        <v>1712</v>
      </c>
      <c r="E447" s="2" t="s">
        <v>116</v>
      </c>
      <c r="F447" s="2" t="s">
        <v>117</v>
      </c>
      <c r="G447" s="5">
        <v>4862</v>
      </c>
      <c r="H447" s="5">
        <v>35</v>
      </c>
      <c r="I447" s="5">
        <v>3161</v>
      </c>
      <c r="J447" s="5">
        <v>2</v>
      </c>
      <c r="K447" s="2" t="s">
        <v>56</v>
      </c>
      <c r="L447" s="2" t="s">
        <v>73</v>
      </c>
      <c r="M447" s="4">
        <v>4.2</v>
      </c>
      <c r="N447" s="5">
        <v>262</v>
      </c>
      <c r="O447" s="3">
        <v>45788</v>
      </c>
      <c r="P447" s="2" t="s">
        <v>2390</v>
      </c>
      <c r="Q447" s="2" t="s">
        <v>78</v>
      </c>
      <c r="R447" s="2" t="s">
        <v>83</v>
      </c>
      <c r="S447" s="2" t="s">
        <v>83</v>
      </c>
      <c r="T447" s="2"/>
    </row>
    <row r="448" spans="1:20" ht="12.5" x14ac:dyDescent="0.25">
      <c r="A448" s="2" t="s">
        <v>1713</v>
      </c>
      <c r="B448" s="2" t="s">
        <v>1714</v>
      </c>
      <c r="C448" s="2" t="s">
        <v>1715</v>
      </c>
      <c r="D448" s="2" t="s">
        <v>1716</v>
      </c>
      <c r="E448" s="2" t="s">
        <v>48</v>
      </c>
      <c r="F448" s="2" t="s">
        <v>25</v>
      </c>
      <c r="G448" s="5">
        <v>2128</v>
      </c>
      <c r="H448" s="5">
        <v>40</v>
      </c>
      <c r="I448" s="5">
        <v>1277</v>
      </c>
      <c r="J448" s="5">
        <v>2</v>
      </c>
      <c r="K448" s="2" t="s">
        <v>163</v>
      </c>
      <c r="L448" s="2" t="s">
        <v>133</v>
      </c>
      <c r="M448" s="4">
        <v>4.8</v>
      </c>
      <c r="N448" s="5">
        <v>236</v>
      </c>
      <c r="O448" s="3">
        <v>45771</v>
      </c>
      <c r="P448" s="2" t="s">
        <v>2391</v>
      </c>
      <c r="Q448" s="2" t="s">
        <v>29</v>
      </c>
      <c r="R448" s="2" t="s">
        <v>66</v>
      </c>
      <c r="S448" s="2" t="s">
        <v>67</v>
      </c>
      <c r="T448" s="2"/>
    </row>
    <row r="449" spans="1:20" ht="12.5" x14ac:dyDescent="0.25">
      <c r="A449" s="2" t="s">
        <v>1717</v>
      </c>
      <c r="B449" s="2" t="s">
        <v>1034</v>
      </c>
      <c r="C449" s="2" t="s">
        <v>1718</v>
      </c>
      <c r="D449" s="2" t="s">
        <v>1719</v>
      </c>
      <c r="E449" s="2" t="s">
        <v>122</v>
      </c>
      <c r="F449" s="2" t="s">
        <v>123</v>
      </c>
      <c r="G449" s="5">
        <v>2985</v>
      </c>
      <c r="H449" s="5">
        <v>35</v>
      </c>
      <c r="I449" s="5">
        <v>1941</v>
      </c>
      <c r="J449" s="5">
        <v>2</v>
      </c>
      <c r="K449" s="2" t="s">
        <v>163</v>
      </c>
      <c r="L449" s="2" t="s">
        <v>73</v>
      </c>
      <c r="M449" s="4">
        <v>3.5</v>
      </c>
      <c r="N449" s="5">
        <v>262</v>
      </c>
      <c r="O449" s="3">
        <v>45775</v>
      </c>
      <c r="P449" s="2" t="s">
        <v>2390</v>
      </c>
      <c r="Q449" s="2" t="s">
        <v>65</v>
      </c>
      <c r="R449" s="2" t="s">
        <v>30</v>
      </c>
      <c r="S449" s="2" t="s">
        <v>31</v>
      </c>
      <c r="T449" s="2"/>
    </row>
    <row r="450" spans="1:20" ht="12.5" x14ac:dyDescent="0.25">
      <c r="A450" s="2" t="s">
        <v>1720</v>
      </c>
      <c r="B450" s="2" t="s">
        <v>21</v>
      </c>
      <c r="C450" s="2" t="s">
        <v>1721</v>
      </c>
      <c r="D450" s="2" t="s">
        <v>1722</v>
      </c>
      <c r="E450" s="2" t="s">
        <v>247</v>
      </c>
      <c r="F450" s="2" t="s">
        <v>248</v>
      </c>
      <c r="G450" s="5">
        <v>3049</v>
      </c>
      <c r="H450" s="5">
        <v>30</v>
      </c>
      <c r="I450" s="5">
        <v>2135</v>
      </c>
      <c r="J450" s="5">
        <v>3</v>
      </c>
      <c r="K450" s="2" t="s">
        <v>226</v>
      </c>
      <c r="L450" s="2" t="s">
        <v>27</v>
      </c>
      <c r="M450" s="4">
        <v>3.7</v>
      </c>
      <c r="N450" s="5">
        <v>194</v>
      </c>
      <c r="O450" s="3">
        <v>45837</v>
      </c>
      <c r="P450" s="2" t="s">
        <v>2391</v>
      </c>
      <c r="Q450" s="2" t="s">
        <v>65</v>
      </c>
      <c r="R450" s="2" t="s">
        <v>58</v>
      </c>
      <c r="S450" s="2" t="s">
        <v>59</v>
      </c>
      <c r="T450" s="2" t="s">
        <v>134</v>
      </c>
    </row>
    <row r="451" spans="1:20" ht="12.5" x14ac:dyDescent="0.25">
      <c r="A451" s="2" t="s">
        <v>1723</v>
      </c>
      <c r="B451" s="2" t="s">
        <v>1378</v>
      </c>
      <c r="C451" s="2" t="s">
        <v>1724</v>
      </c>
      <c r="D451" s="2" t="s">
        <v>1725</v>
      </c>
      <c r="E451" s="2" t="s">
        <v>24</v>
      </c>
      <c r="F451" s="2" t="s">
        <v>25</v>
      </c>
      <c r="G451" s="5">
        <v>875</v>
      </c>
      <c r="H451" s="5">
        <v>35</v>
      </c>
      <c r="I451" s="5">
        <v>569</v>
      </c>
      <c r="J451" s="5">
        <v>1</v>
      </c>
      <c r="K451" s="2" t="s">
        <v>26</v>
      </c>
      <c r="L451" s="2" t="s">
        <v>49</v>
      </c>
      <c r="M451" s="4">
        <v>4.8</v>
      </c>
      <c r="N451" s="5">
        <v>114</v>
      </c>
      <c r="O451" s="3">
        <v>45801</v>
      </c>
      <c r="P451" s="2" t="s">
        <v>2390</v>
      </c>
      <c r="Q451" s="2" t="s">
        <v>78</v>
      </c>
      <c r="R451" s="2" t="s">
        <v>104</v>
      </c>
      <c r="S451" s="2" t="s">
        <v>105</v>
      </c>
      <c r="T451" s="2"/>
    </row>
    <row r="452" spans="1:20" ht="12.5" x14ac:dyDescent="0.25">
      <c r="A452" s="2" t="s">
        <v>1726</v>
      </c>
      <c r="B452" s="2" t="s">
        <v>518</v>
      </c>
      <c r="C452" s="2" t="s">
        <v>1727</v>
      </c>
      <c r="D452" s="2" t="s">
        <v>1728</v>
      </c>
      <c r="E452" s="2" t="s">
        <v>208</v>
      </c>
      <c r="F452" s="2" t="s">
        <v>117</v>
      </c>
      <c r="G452" s="5">
        <v>1794</v>
      </c>
      <c r="H452" s="5">
        <v>15</v>
      </c>
      <c r="I452" s="5">
        <v>1525</v>
      </c>
      <c r="J452" s="5">
        <v>1</v>
      </c>
      <c r="K452" s="2" t="s">
        <v>26</v>
      </c>
      <c r="L452" s="2" t="s">
        <v>88</v>
      </c>
      <c r="M452" s="4">
        <v>4.7</v>
      </c>
      <c r="N452" s="5">
        <v>201</v>
      </c>
      <c r="O452" s="3">
        <v>45816</v>
      </c>
      <c r="P452" s="2" t="s">
        <v>2392</v>
      </c>
      <c r="Q452" s="2" t="s">
        <v>65</v>
      </c>
      <c r="R452" s="2" t="s">
        <v>58</v>
      </c>
      <c r="S452" s="2" t="s">
        <v>59</v>
      </c>
      <c r="T452" s="2"/>
    </row>
    <row r="453" spans="1:20" ht="12.5" x14ac:dyDescent="0.25">
      <c r="A453" s="2" t="s">
        <v>1729</v>
      </c>
      <c r="B453" s="2" t="s">
        <v>503</v>
      </c>
      <c r="C453" s="2" t="s">
        <v>1730</v>
      </c>
      <c r="D453" s="2" t="s">
        <v>1731</v>
      </c>
      <c r="E453" s="2" t="s">
        <v>24</v>
      </c>
      <c r="F453" s="2" t="s">
        <v>25</v>
      </c>
      <c r="G453" s="5">
        <v>1244</v>
      </c>
      <c r="H453" s="5">
        <v>20</v>
      </c>
      <c r="I453" s="5">
        <v>996</v>
      </c>
      <c r="J453" s="5">
        <v>1</v>
      </c>
      <c r="K453" s="2" t="s">
        <v>26</v>
      </c>
      <c r="L453" s="2" t="s">
        <v>103</v>
      </c>
      <c r="M453" s="4">
        <v>3.8</v>
      </c>
      <c r="N453" s="5">
        <v>59</v>
      </c>
      <c r="O453" s="3">
        <v>45774</v>
      </c>
      <c r="P453" s="2" t="s">
        <v>2392</v>
      </c>
      <c r="Q453" s="2" t="s">
        <v>78</v>
      </c>
      <c r="R453" s="2" t="s">
        <v>41</v>
      </c>
      <c r="S453" s="2" t="s">
        <v>42</v>
      </c>
      <c r="T453" s="2"/>
    </row>
    <row r="454" spans="1:20" ht="12.5" x14ac:dyDescent="0.25">
      <c r="A454" s="2" t="s">
        <v>1732</v>
      </c>
      <c r="B454" s="2" t="s">
        <v>487</v>
      </c>
      <c r="C454" s="2" t="s">
        <v>1733</v>
      </c>
      <c r="D454" s="2" t="s">
        <v>1734</v>
      </c>
      <c r="E454" s="2" t="s">
        <v>122</v>
      </c>
      <c r="F454" s="2" t="s">
        <v>123</v>
      </c>
      <c r="G454" s="5">
        <v>853</v>
      </c>
      <c r="H454" s="5">
        <v>25</v>
      </c>
      <c r="I454" s="5">
        <v>640</v>
      </c>
      <c r="J454" s="5">
        <v>1</v>
      </c>
      <c r="K454" s="2" t="s">
        <v>32</v>
      </c>
      <c r="L454" s="2" t="s">
        <v>133</v>
      </c>
      <c r="M454" s="4">
        <v>3.5</v>
      </c>
      <c r="N454" s="5">
        <v>191</v>
      </c>
      <c r="O454" s="3">
        <v>45784</v>
      </c>
      <c r="P454" s="2" t="s">
        <v>2392</v>
      </c>
      <c r="Q454" s="2" t="s">
        <v>65</v>
      </c>
      <c r="R454" s="2" t="s">
        <v>30</v>
      </c>
      <c r="S454" s="2" t="s">
        <v>31</v>
      </c>
      <c r="T454" s="2"/>
    </row>
    <row r="455" spans="1:20" ht="12.5" x14ac:dyDescent="0.25">
      <c r="A455" s="2" t="s">
        <v>1735</v>
      </c>
      <c r="B455" s="2" t="s">
        <v>1669</v>
      </c>
      <c r="C455" s="2" t="s">
        <v>1736</v>
      </c>
      <c r="D455" s="2" t="s">
        <v>1737</v>
      </c>
      <c r="E455" s="2" t="s">
        <v>122</v>
      </c>
      <c r="F455" s="2" t="s">
        <v>123</v>
      </c>
      <c r="G455" s="5">
        <v>4529</v>
      </c>
      <c r="H455" s="5">
        <v>25</v>
      </c>
      <c r="I455" s="5">
        <v>3397</v>
      </c>
      <c r="J455" s="5">
        <v>3</v>
      </c>
      <c r="K455" s="2" t="s">
        <v>261</v>
      </c>
      <c r="L455" s="2" t="s">
        <v>49</v>
      </c>
      <c r="M455" s="4">
        <v>4.3</v>
      </c>
      <c r="N455" s="5">
        <v>275</v>
      </c>
      <c r="O455" s="3">
        <v>45771</v>
      </c>
      <c r="P455" s="2" t="s">
        <v>2391</v>
      </c>
      <c r="Q455" s="2" t="s">
        <v>65</v>
      </c>
      <c r="R455" s="2" t="s">
        <v>104</v>
      </c>
      <c r="S455" s="2" t="s">
        <v>105</v>
      </c>
      <c r="T455" s="2" t="s">
        <v>134</v>
      </c>
    </row>
    <row r="456" spans="1:20" ht="12.5" x14ac:dyDescent="0.25">
      <c r="A456" s="2" t="s">
        <v>1738</v>
      </c>
      <c r="B456" s="2" t="s">
        <v>1030</v>
      </c>
      <c r="C456" s="2" t="s">
        <v>1739</v>
      </c>
      <c r="D456" s="2" t="s">
        <v>1740</v>
      </c>
      <c r="E456" s="2" t="s">
        <v>247</v>
      </c>
      <c r="F456" s="2" t="s">
        <v>248</v>
      </c>
      <c r="G456" s="5">
        <v>3627</v>
      </c>
      <c r="H456" s="5">
        <v>40</v>
      </c>
      <c r="I456" s="5">
        <v>2177</v>
      </c>
      <c r="J456" s="5">
        <v>2</v>
      </c>
      <c r="K456" s="2">
        <v>40</v>
      </c>
      <c r="L456" s="2" t="s">
        <v>64</v>
      </c>
      <c r="M456" s="4">
        <v>4.4000000000000004</v>
      </c>
      <c r="N456" s="5">
        <v>273</v>
      </c>
      <c r="O456" s="3">
        <v>45824</v>
      </c>
      <c r="P456" s="2" t="s">
        <v>2392</v>
      </c>
      <c r="Q456" s="2" t="s">
        <v>65</v>
      </c>
      <c r="R456" s="2" t="s">
        <v>66</v>
      </c>
      <c r="S456" s="2" t="s">
        <v>67</v>
      </c>
      <c r="T456" s="2"/>
    </row>
    <row r="457" spans="1:20" ht="12.5" x14ac:dyDescent="0.25">
      <c r="A457" s="2" t="s">
        <v>1741</v>
      </c>
      <c r="B457" s="2" t="s">
        <v>993</v>
      </c>
      <c r="C457" s="2" t="s">
        <v>1742</v>
      </c>
      <c r="D457" s="2" t="s">
        <v>1743</v>
      </c>
      <c r="E457" s="2" t="s">
        <v>48</v>
      </c>
      <c r="F457" s="2" t="s">
        <v>25</v>
      </c>
      <c r="G457" s="5">
        <v>4367</v>
      </c>
      <c r="H457" s="5">
        <v>10</v>
      </c>
      <c r="I457" s="5">
        <v>3931</v>
      </c>
      <c r="J457" s="5">
        <v>3</v>
      </c>
      <c r="K457" s="2">
        <v>42</v>
      </c>
      <c r="L457" s="2" t="s">
        <v>49</v>
      </c>
      <c r="M457" s="4">
        <v>3.9</v>
      </c>
      <c r="N457" s="5">
        <v>227</v>
      </c>
      <c r="O457" s="3">
        <v>45823</v>
      </c>
      <c r="P457" s="2" t="s">
        <v>2390</v>
      </c>
      <c r="Q457" s="2" t="s">
        <v>78</v>
      </c>
      <c r="R457" s="2" t="s">
        <v>66</v>
      </c>
      <c r="S457" s="2" t="s">
        <v>67</v>
      </c>
      <c r="T457" s="2"/>
    </row>
    <row r="458" spans="1:20" ht="12.5" x14ac:dyDescent="0.25">
      <c r="A458" s="2" t="s">
        <v>1744</v>
      </c>
      <c r="B458" s="2" t="s">
        <v>585</v>
      </c>
      <c r="C458" s="2" t="s">
        <v>1745</v>
      </c>
      <c r="D458" s="2" t="s">
        <v>1746</v>
      </c>
      <c r="E458" s="2" t="s">
        <v>48</v>
      </c>
      <c r="F458" s="2" t="s">
        <v>25</v>
      </c>
      <c r="G458" s="5">
        <v>878</v>
      </c>
      <c r="H458" s="5">
        <v>40</v>
      </c>
      <c r="I458" s="5">
        <v>527</v>
      </c>
      <c r="J458" s="5">
        <v>2</v>
      </c>
      <c r="K458" s="2" t="s">
        <v>163</v>
      </c>
      <c r="L458" s="2" t="s">
        <v>27</v>
      </c>
      <c r="M458" s="4">
        <v>4.9000000000000004</v>
      </c>
      <c r="N458" s="5">
        <v>115</v>
      </c>
      <c r="O458" s="3">
        <v>45845</v>
      </c>
      <c r="P458" s="2" t="s">
        <v>2392</v>
      </c>
      <c r="Q458" s="2" t="s">
        <v>78</v>
      </c>
      <c r="R458" s="2" t="s">
        <v>66</v>
      </c>
      <c r="S458" s="2" t="s">
        <v>67</v>
      </c>
      <c r="T458" s="2"/>
    </row>
    <row r="459" spans="1:20" ht="12.5" x14ac:dyDescent="0.25">
      <c r="A459" s="2" t="s">
        <v>1747</v>
      </c>
      <c r="B459" s="2" t="s">
        <v>753</v>
      </c>
      <c r="C459" s="2" t="s">
        <v>1748</v>
      </c>
      <c r="D459" s="2" t="s">
        <v>1749</v>
      </c>
      <c r="E459" s="2" t="s">
        <v>122</v>
      </c>
      <c r="F459" s="2" t="s">
        <v>123</v>
      </c>
      <c r="G459" s="5">
        <v>2091</v>
      </c>
      <c r="H459" s="5">
        <v>10</v>
      </c>
      <c r="I459" s="5">
        <v>1882</v>
      </c>
      <c r="J459" s="5">
        <v>1</v>
      </c>
      <c r="K459" s="2" t="s">
        <v>56</v>
      </c>
      <c r="L459" s="2" t="s">
        <v>103</v>
      </c>
      <c r="M459" s="4">
        <v>4.0999999999999996</v>
      </c>
      <c r="N459" s="5">
        <v>91</v>
      </c>
      <c r="O459" s="3">
        <v>45854</v>
      </c>
      <c r="P459" s="2" t="s">
        <v>2392</v>
      </c>
      <c r="Q459" s="2" t="s">
        <v>65</v>
      </c>
      <c r="R459" s="2" t="s">
        <v>104</v>
      </c>
      <c r="S459" s="2" t="s">
        <v>105</v>
      </c>
      <c r="T459" s="2"/>
    </row>
    <row r="460" spans="1:20" ht="12.5" x14ac:dyDescent="0.25">
      <c r="A460" s="2" t="s">
        <v>1750</v>
      </c>
      <c r="B460" s="2" t="s">
        <v>85</v>
      </c>
      <c r="C460" s="2" t="s">
        <v>1751</v>
      </c>
      <c r="D460" s="2" t="s">
        <v>1752</v>
      </c>
      <c r="E460" s="2" t="s">
        <v>132</v>
      </c>
      <c r="F460" s="2" t="s">
        <v>38</v>
      </c>
      <c r="G460" s="5">
        <v>926</v>
      </c>
      <c r="H460" s="5">
        <v>40</v>
      </c>
      <c r="I460" s="5">
        <v>556</v>
      </c>
      <c r="J460" s="5">
        <v>2</v>
      </c>
      <c r="K460" s="2" t="s">
        <v>26</v>
      </c>
      <c r="L460" s="2" t="s">
        <v>133</v>
      </c>
      <c r="M460" s="4">
        <v>4.5</v>
      </c>
      <c r="N460" s="5">
        <v>152</v>
      </c>
      <c r="O460" s="3">
        <v>45770</v>
      </c>
      <c r="P460" s="2" t="s">
        <v>2391</v>
      </c>
      <c r="Q460" s="2" t="s">
        <v>29</v>
      </c>
      <c r="R460" s="2" t="s">
        <v>185</v>
      </c>
      <c r="S460" s="2" t="s">
        <v>186</v>
      </c>
      <c r="T460" s="2"/>
    </row>
    <row r="461" spans="1:20" ht="12.5" x14ac:dyDescent="0.25">
      <c r="A461" s="2" t="s">
        <v>1753</v>
      </c>
      <c r="B461" s="2" t="s">
        <v>178</v>
      </c>
      <c r="C461" s="2" t="s">
        <v>1754</v>
      </c>
      <c r="D461" s="2" t="s">
        <v>1755</v>
      </c>
      <c r="E461" s="2" t="s">
        <v>24</v>
      </c>
      <c r="F461" s="2" t="s">
        <v>25</v>
      </c>
      <c r="G461" s="5">
        <v>2441</v>
      </c>
      <c r="H461" s="5">
        <v>15</v>
      </c>
      <c r="I461" s="5">
        <v>2075</v>
      </c>
      <c r="J461" s="5">
        <v>1</v>
      </c>
      <c r="K461" s="2" t="s">
        <v>26</v>
      </c>
      <c r="L461" s="2" t="s">
        <v>88</v>
      </c>
      <c r="M461" s="4">
        <v>3.7</v>
      </c>
      <c r="N461" s="5">
        <v>166</v>
      </c>
      <c r="O461" s="3">
        <v>45852</v>
      </c>
      <c r="P461" s="2" t="s">
        <v>2390</v>
      </c>
      <c r="Q461" s="2" t="s">
        <v>78</v>
      </c>
      <c r="R461" s="2" t="s">
        <v>30</v>
      </c>
      <c r="S461" s="2" t="s">
        <v>31</v>
      </c>
      <c r="T461" s="2"/>
    </row>
    <row r="462" spans="1:20" ht="12.5" x14ac:dyDescent="0.25">
      <c r="A462" s="2" t="s">
        <v>1756</v>
      </c>
      <c r="B462" s="2" t="s">
        <v>1757</v>
      </c>
      <c r="C462" s="2" t="s">
        <v>1758</v>
      </c>
      <c r="D462" s="2" t="s">
        <v>1759</v>
      </c>
      <c r="E462" s="2" t="s">
        <v>55</v>
      </c>
      <c r="F462" s="2" t="s">
        <v>38</v>
      </c>
      <c r="G462" s="5">
        <v>1919</v>
      </c>
      <c r="H462" s="5">
        <v>30</v>
      </c>
      <c r="I462" s="5">
        <v>1344</v>
      </c>
      <c r="J462" s="5">
        <v>3</v>
      </c>
      <c r="K462" s="2" t="s">
        <v>261</v>
      </c>
      <c r="L462" s="2" t="s">
        <v>64</v>
      </c>
      <c r="M462" s="4">
        <v>4.5999999999999996</v>
      </c>
      <c r="N462" s="5">
        <v>245</v>
      </c>
      <c r="O462" s="3">
        <v>45780</v>
      </c>
      <c r="P462" s="2" t="s">
        <v>2392</v>
      </c>
      <c r="Q462" s="2" t="s">
        <v>29</v>
      </c>
      <c r="R462" s="2" t="s">
        <v>66</v>
      </c>
      <c r="S462" s="2" t="s">
        <v>67</v>
      </c>
      <c r="T462" s="2"/>
    </row>
    <row r="463" spans="1:20" ht="12.5" x14ac:dyDescent="0.25">
      <c r="A463" s="2" t="s">
        <v>1760</v>
      </c>
      <c r="B463" s="2" t="s">
        <v>1761</v>
      </c>
      <c r="C463" s="2" t="s">
        <v>1762</v>
      </c>
      <c r="D463" s="2" t="s">
        <v>1763</v>
      </c>
      <c r="E463" s="2" t="s">
        <v>24</v>
      </c>
      <c r="F463" s="2" t="s">
        <v>25</v>
      </c>
      <c r="G463" s="5">
        <v>4500</v>
      </c>
      <c r="H463" s="5">
        <v>10</v>
      </c>
      <c r="I463" s="5">
        <v>4050</v>
      </c>
      <c r="J463" s="5">
        <v>3</v>
      </c>
      <c r="K463" s="2" t="s">
        <v>32</v>
      </c>
      <c r="L463" s="2" t="s">
        <v>64</v>
      </c>
      <c r="M463" s="4">
        <v>3.6</v>
      </c>
      <c r="N463" s="5">
        <v>28</v>
      </c>
      <c r="O463" s="3">
        <v>45769</v>
      </c>
      <c r="P463" s="2" t="s">
        <v>2390</v>
      </c>
      <c r="Q463" s="2" t="s">
        <v>65</v>
      </c>
      <c r="R463" s="2" t="s">
        <v>41</v>
      </c>
      <c r="S463" s="2" t="s">
        <v>42</v>
      </c>
      <c r="T463" s="2"/>
    </row>
    <row r="464" spans="1:20" ht="12.5" x14ac:dyDescent="0.25">
      <c r="A464" s="2" t="s">
        <v>1764</v>
      </c>
      <c r="B464" s="2" t="s">
        <v>1765</v>
      </c>
      <c r="C464" s="2" t="s">
        <v>1766</v>
      </c>
      <c r="D464" s="2" t="s">
        <v>1767</v>
      </c>
      <c r="E464" s="2" t="s">
        <v>48</v>
      </c>
      <c r="F464" s="2" t="s">
        <v>25</v>
      </c>
      <c r="G464" s="5">
        <v>4719</v>
      </c>
      <c r="H464" s="5">
        <v>40</v>
      </c>
      <c r="I464" s="5">
        <v>2832</v>
      </c>
      <c r="J464" s="5">
        <v>1</v>
      </c>
      <c r="K464" s="2" t="s">
        <v>72</v>
      </c>
      <c r="L464" s="2" t="s">
        <v>103</v>
      </c>
      <c r="M464" s="4">
        <v>4.7</v>
      </c>
      <c r="N464" s="5">
        <v>269</v>
      </c>
      <c r="O464" s="3">
        <v>45858</v>
      </c>
      <c r="P464" s="2" t="s">
        <v>2390</v>
      </c>
      <c r="Q464" s="2" t="s">
        <v>29</v>
      </c>
      <c r="R464" s="2" t="s">
        <v>66</v>
      </c>
      <c r="S464" s="2" t="s">
        <v>67</v>
      </c>
      <c r="T464" s="2"/>
    </row>
    <row r="465" spans="1:20" ht="12.5" x14ac:dyDescent="0.25">
      <c r="A465" s="2" t="s">
        <v>1768</v>
      </c>
      <c r="B465" s="2" t="s">
        <v>1769</v>
      </c>
      <c r="C465" s="2" t="s">
        <v>1770</v>
      </c>
      <c r="D465" s="2" t="s">
        <v>1771</v>
      </c>
      <c r="E465" s="2" t="s">
        <v>208</v>
      </c>
      <c r="F465" s="2" t="s">
        <v>117</v>
      </c>
      <c r="G465" s="5">
        <v>3201</v>
      </c>
      <c r="H465" s="5">
        <v>10</v>
      </c>
      <c r="I465" s="5">
        <v>2881</v>
      </c>
      <c r="J465" s="5">
        <v>1</v>
      </c>
      <c r="K465" s="2">
        <v>40</v>
      </c>
      <c r="L465" s="2" t="s">
        <v>39</v>
      </c>
      <c r="M465" s="4">
        <v>3.8</v>
      </c>
      <c r="N465" s="5">
        <v>107</v>
      </c>
      <c r="O465" s="3">
        <v>45847</v>
      </c>
      <c r="P465" s="2" t="s">
        <v>2391</v>
      </c>
      <c r="Q465" s="2" t="s">
        <v>78</v>
      </c>
      <c r="R465" s="2" t="s">
        <v>83</v>
      </c>
      <c r="S465" s="2" t="s">
        <v>83</v>
      </c>
      <c r="T465" s="2" t="s">
        <v>134</v>
      </c>
    </row>
    <row r="466" spans="1:20" ht="12.5" x14ac:dyDescent="0.25">
      <c r="A466" s="2" t="s">
        <v>1772</v>
      </c>
      <c r="B466" s="2" t="s">
        <v>283</v>
      </c>
      <c r="C466" s="2" t="s">
        <v>1773</v>
      </c>
      <c r="D466" s="2" t="s">
        <v>1774</v>
      </c>
      <c r="E466" s="2" t="s">
        <v>24</v>
      </c>
      <c r="F466" s="2" t="s">
        <v>25</v>
      </c>
      <c r="G466" s="5">
        <v>4964</v>
      </c>
      <c r="H466" s="5">
        <v>20</v>
      </c>
      <c r="I466" s="5">
        <v>3972</v>
      </c>
      <c r="J466" s="5">
        <v>1</v>
      </c>
      <c r="K466" s="2" t="s">
        <v>72</v>
      </c>
      <c r="L466" s="2" t="s">
        <v>27</v>
      </c>
      <c r="M466" s="4">
        <v>3.6</v>
      </c>
      <c r="N466" s="5">
        <v>102</v>
      </c>
      <c r="O466" s="3">
        <v>45781</v>
      </c>
      <c r="P466" s="2" t="s">
        <v>2390</v>
      </c>
      <c r="Q466" s="2" t="s">
        <v>65</v>
      </c>
      <c r="R466" s="2" t="s">
        <v>30</v>
      </c>
      <c r="S466" s="2" t="s">
        <v>31</v>
      </c>
      <c r="T466" s="2"/>
    </row>
    <row r="467" spans="1:20" ht="12.5" x14ac:dyDescent="0.25">
      <c r="A467" s="2" t="s">
        <v>1775</v>
      </c>
      <c r="B467" s="2" t="s">
        <v>917</v>
      </c>
      <c r="C467" s="2" t="s">
        <v>1776</v>
      </c>
      <c r="D467" s="2" t="s">
        <v>1777</v>
      </c>
      <c r="E467" s="2" t="s">
        <v>48</v>
      </c>
      <c r="F467" s="2" t="s">
        <v>25</v>
      </c>
      <c r="G467" s="5">
        <v>1494</v>
      </c>
      <c r="H467" s="5">
        <v>10</v>
      </c>
      <c r="I467" s="5">
        <v>1345</v>
      </c>
      <c r="J467" s="5">
        <v>1</v>
      </c>
      <c r="K467" s="2">
        <v>40</v>
      </c>
      <c r="L467" s="2" t="s">
        <v>49</v>
      </c>
      <c r="M467" s="4">
        <v>4.5</v>
      </c>
      <c r="N467" s="5">
        <v>196</v>
      </c>
      <c r="O467" s="3">
        <v>45777</v>
      </c>
      <c r="P467" s="2" t="s">
        <v>2392</v>
      </c>
      <c r="Q467" s="2" t="s">
        <v>29</v>
      </c>
      <c r="R467" s="2" t="s">
        <v>149</v>
      </c>
      <c r="S467" s="2" t="s">
        <v>150</v>
      </c>
      <c r="T467" s="2"/>
    </row>
    <row r="468" spans="1:20" ht="12.5" x14ac:dyDescent="0.25">
      <c r="A468" s="2" t="s">
        <v>1778</v>
      </c>
      <c r="B468" s="2" t="s">
        <v>729</v>
      </c>
      <c r="C468" s="2" t="s">
        <v>233</v>
      </c>
      <c r="D468" s="2" t="s">
        <v>1779</v>
      </c>
      <c r="E468" s="2" t="s">
        <v>55</v>
      </c>
      <c r="F468" s="2" t="s">
        <v>38</v>
      </c>
      <c r="G468" s="5">
        <v>3538</v>
      </c>
      <c r="H468" s="5">
        <v>35</v>
      </c>
      <c r="I468" s="5">
        <v>2300</v>
      </c>
      <c r="J468" s="5">
        <v>2</v>
      </c>
      <c r="K468" s="2" t="s">
        <v>32</v>
      </c>
      <c r="L468" s="2" t="s">
        <v>27</v>
      </c>
      <c r="M468" s="4">
        <v>4.0999999999999996</v>
      </c>
      <c r="N468" s="5">
        <v>300</v>
      </c>
      <c r="O468" s="3">
        <v>45786</v>
      </c>
      <c r="P468" s="2" t="s">
        <v>2391</v>
      </c>
      <c r="Q468" s="2" t="s">
        <v>29</v>
      </c>
      <c r="R468" s="2" t="s">
        <v>66</v>
      </c>
      <c r="S468" s="2" t="s">
        <v>67</v>
      </c>
      <c r="T468" s="2" t="s">
        <v>134</v>
      </c>
    </row>
    <row r="469" spans="1:20" ht="12.5" x14ac:dyDescent="0.25">
      <c r="A469" s="2" t="s">
        <v>1780</v>
      </c>
      <c r="B469" s="2" t="s">
        <v>1781</v>
      </c>
      <c r="C469" s="2" t="s">
        <v>1782</v>
      </c>
      <c r="D469" s="2" t="s">
        <v>1783</v>
      </c>
      <c r="E469" s="2" t="s">
        <v>147</v>
      </c>
      <c r="F469" s="2" t="s">
        <v>148</v>
      </c>
      <c r="G469" s="5">
        <v>2586</v>
      </c>
      <c r="H469" s="5">
        <v>30</v>
      </c>
      <c r="I469" s="5">
        <v>1811</v>
      </c>
      <c r="J469" s="5">
        <v>3</v>
      </c>
      <c r="K469" s="2" t="s">
        <v>26</v>
      </c>
      <c r="L469" s="2" t="s">
        <v>88</v>
      </c>
      <c r="M469" s="4">
        <v>4.4000000000000004</v>
      </c>
      <c r="N469" s="5">
        <v>130</v>
      </c>
      <c r="O469" s="3">
        <v>45786</v>
      </c>
      <c r="P469" s="2" t="s">
        <v>2391</v>
      </c>
      <c r="Q469" s="2" t="s">
        <v>65</v>
      </c>
      <c r="R469" s="2" t="s">
        <v>149</v>
      </c>
      <c r="S469" s="2" t="s">
        <v>150</v>
      </c>
      <c r="T469" s="2" t="s">
        <v>43</v>
      </c>
    </row>
    <row r="470" spans="1:20" ht="12.5" x14ac:dyDescent="0.25">
      <c r="A470" s="2" t="s">
        <v>1784</v>
      </c>
      <c r="B470" s="2" t="s">
        <v>1785</v>
      </c>
      <c r="C470" s="2" t="s">
        <v>1786</v>
      </c>
      <c r="D470" s="2" t="s">
        <v>1787</v>
      </c>
      <c r="E470" s="2" t="s">
        <v>48</v>
      </c>
      <c r="F470" s="2" t="s">
        <v>25</v>
      </c>
      <c r="G470" s="5">
        <v>4243</v>
      </c>
      <c r="H470" s="5">
        <v>25</v>
      </c>
      <c r="I470" s="5">
        <v>3183</v>
      </c>
      <c r="J470" s="5">
        <v>3</v>
      </c>
      <c r="K470" s="2" t="s">
        <v>261</v>
      </c>
      <c r="L470" s="2" t="s">
        <v>73</v>
      </c>
      <c r="M470" s="4">
        <v>4</v>
      </c>
      <c r="N470" s="5">
        <v>281</v>
      </c>
      <c r="O470" s="3">
        <v>45779</v>
      </c>
      <c r="P470" s="2" t="s">
        <v>2392</v>
      </c>
      <c r="Q470" s="2" t="s">
        <v>78</v>
      </c>
      <c r="R470" s="2" t="s">
        <v>83</v>
      </c>
      <c r="S470" s="2" t="s">
        <v>83</v>
      </c>
      <c r="T470" s="2"/>
    </row>
    <row r="471" spans="1:20" ht="12.5" x14ac:dyDescent="0.25">
      <c r="A471" s="2" t="s">
        <v>1788</v>
      </c>
      <c r="B471" s="2" t="s">
        <v>1789</v>
      </c>
      <c r="C471" s="2" t="s">
        <v>1790</v>
      </c>
      <c r="D471" s="2" t="s">
        <v>1791</v>
      </c>
      <c r="E471" s="2" t="s">
        <v>132</v>
      </c>
      <c r="F471" s="2" t="s">
        <v>38</v>
      </c>
      <c r="G471" s="5">
        <v>4228</v>
      </c>
      <c r="H471" s="5">
        <v>15</v>
      </c>
      <c r="I471" s="5">
        <v>3594</v>
      </c>
      <c r="J471" s="5">
        <v>1</v>
      </c>
      <c r="K471" s="2" t="s">
        <v>26</v>
      </c>
      <c r="L471" s="2" t="s">
        <v>133</v>
      </c>
      <c r="M471" s="4">
        <v>3.7</v>
      </c>
      <c r="N471" s="5">
        <v>199</v>
      </c>
      <c r="O471" s="3">
        <v>45792</v>
      </c>
      <c r="P471" s="2" t="s">
        <v>2390</v>
      </c>
      <c r="Q471" s="2" t="s">
        <v>78</v>
      </c>
      <c r="R471" s="2" t="s">
        <v>149</v>
      </c>
      <c r="S471" s="2" t="s">
        <v>150</v>
      </c>
      <c r="T471" s="2"/>
    </row>
    <row r="472" spans="1:20" ht="12.5" x14ac:dyDescent="0.25">
      <c r="A472" s="2" t="s">
        <v>1792</v>
      </c>
      <c r="B472" s="2" t="s">
        <v>820</v>
      </c>
      <c r="C472" s="2" t="s">
        <v>1793</v>
      </c>
      <c r="D472" s="2" t="s">
        <v>1794</v>
      </c>
      <c r="E472" s="2" t="s">
        <v>116</v>
      </c>
      <c r="F472" s="2" t="s">
        <v>117</v>
      </c>
      <c r="G472" s="5">
        <v>4853</v>
      </c>
      <c r="H472" s="5">
        <v>10</v>
      </c>
      <c r="I472" s="5">
        <v>4368</v>
      </c>
      <c r="J472" s="5">
        <v>3</v>
      </c>
      <c r="K472" s="2" t="s">
        <v>56</v>
      </c>
      <c r="L472" s="2" t="s">
        <v>133</v>
      </c>
      <c r="M472" s="4">
        <v>3.8</v>
      </c>
      <c r="N472" s="5">
        <v>270</v>
      </c>
      <c r="O472" s="3">
        <v>45840</v>
      </c>
      <c r="P472" s="2" t="s">
        <v>2390</v>
      </c>
      <c r="Q472" s="2" t="s">
        <v>78</v>
      </c>
      <c r="R472" s="2" t="s">
        <v>149</v>
      </c>
      <c r="S472" s="2" t="s">
        <v>150</v>
      </c>
      <c r="T472" s="2"/>
    </row>
    <row r="473" spans="1:20" ht="12.5" x14ac:dyDescent="0.25">
      <c r="A473" s="2" t="s">
        <v>1795</v>
      </c>
      <c r="B473" s="2" t="s">
        <v>1116</v>
      </c>
      <c r="C473" s="2" t="s">
        <v>1796</v>
      </c>
      <c r="D473" s="2" t="s">
        <v>1797</v>
      </c>
      <c r="E473" s="2" t="s">
        <v>48</v>
      </c>
      <c r="F473" s="2" t="s">
        <v>25</v>
      </c>
      <c r="G473" s="5">
        <v>1648</v>
      </c>
      <c r="H473" s="5">
        <v>40</v>
      </c>
      <c r="I473" s="5">
        <v>989</v>
      </c>
      <c r="J473" s="5">
        <v>3</v>
      </c>
      <c r="K473" s="2" t="s">
        <v>26</v>
      </c>
      <c r="L473" s="2" t="s">
        <v>133</v>
      </c>
      <c r="M473" s="4">
        <v>3.9</v>
      </c>
      <c r="N473" s="5">
        <v>239</v>
      </c>
      <c r="O473" s="3">
        <v>45828</v>
      </c>
      <c r="P473" s="2" t="s">
        <v>2391</v>
      </c>
      <c r="Q473" s="2" t="s">
        <v>78</v>
      </c>
      <c r="R473" s="2" t="s">
        <v>83</v>
      </c>
      <c r="S473" s="2" t="s">
        <v>83</v>
      </c>
      <c r="T473" s="2" t="s">
        <v>203</v>
      </c>
    </row>
    <row r="474" spans="1:20" ht="12.5" x14ac:dyDescent="0.25">
      <c r="A474" s="2" t="s">
        <v>1798</v>
      </c>
      <c r="B474" s="2" t="s">
        <v>1799</v>
      </c>
      <c r="C474" s="2" t="s">
        <v>1800</v>
      </c>
      <c r="D474" s="2" t="s">
        <v>1801</v>
      </c>
      <c r="E474" s="2" t="s">
        <v>55</v>
      </c>
      <c r="F474" s="2" t="s">
        <v>38</v>
      </c>
      <c r="G474" s="5">
        <v>4465</v>
      </c>
      <c r="H474" s="5">
        <v>40</v>
      </c>
      <c r="I474" s="5">
        <v>2679</v>
      </c>
      <c r="J474" s="5">
        <v>1</v>
      </c>
      <c r="K474" s="2" t="s">
        <v>226</v>
      </c>
      <c r="L474" s="2" t="s">
        <v>49</v>
      </c>
      <c r="M474" s="4">
        <v>4.8</v>
      </c>
      <c r="N474" s="5">
        <v>279</v>
      </c>
      <c r="O474" s="3">
        <v>45830</v>
      </c>
      <c r="P474" s="2" t="s">
        <v>2391</v>
      </c>
      <c r="Q474" s="2" t="s">
        <v>78</v>
      </c>
      <c r="R474" s="2" t="s">
        <v>104</v>
      </c>
      <c r="S474" s="2" t="s">
        <v>105</v>
      </c>
      <c r="T474" s="2" t="s">
        <v>134</v>
      </c>
    </row>
    <row r="475" spans="1:20" ht="12.5" x14ac:dyDescent="0.25">
      <c r="A475" s="2" t="s">
        <v>1802</v>
      </c>
      <c r="B475" s="2" t="s">
        <v>1803</v>
      </c>
      <c r="C475" s="2" t="s">
        <v>1804</v>
      </c>
      <c r="D475" s="2" t="s">
        <v>1805</v>
      </c>
      <c r="E475" s="2" t="s">
        <v>37</v>
      </c>
      <c r="F475" s="2" t="s">
        <v>38</v>
      </c>
      <c r="G475" s="5">
        <v>3716</v>
      </c>
      <c r="H475" s="5">
        <v>20</v>
      </c>
      <c r="I475" s="5">
        <v>2973</v>
      </c>
      <c r="J475" s="5">
        <v>3</v>
      </c>
      <c r="K475" s="2">
        <v>40</v>
      </c>
      <c r="L475" s="2" t="s">
        <v>49</v>
      </c>
      <c r="M475" s="4">
        <v>3.9</v>
      </c>
      <c r="N475" s="5">
        <v>91</v>
      </c>
      <c r="O475" s="3">
        <v>45799</v>
      </c>
      <c r="P475" s="2" t="s">
        <v>2390</v>
      </c>
      <c r="Q475" s="2" t="s">
        <v>65</v>
      </c>
      <c r="R475" s="2" t="s">
        <v>89</v>
      </c>
      <c r="S475" s="2" t="s">
        <v>90</v>
      </c>
      <c r="T475" s="2"/>
    </row>
    <row r="476" spans="1:20" ht="12.5" x14ac:dyDescent="0.25">
      <c r="A476" s="2" t="s">
        <v>1806</v>
      </c>
      <c r="B476" s="2" t="s">
        <v>1807</v>
      </c>
      <c r="C476" s="2" t="s">
        <v>1808</v>
      </c>
      <c r="D476" s="2" t="s">
        <v>1809</v>
      </c>
      <c r="E476" s="2" t="s">
        <v>147</v>
      </c>
      <c r="F476" s="2" t="s">
        <v>148</v>
      </c>
      <c r="G476" s="5">
        <v>1846</v>
      </c>
      <c r="H476" s="5">
        <v>30</v>
      </c>
      <c r="I476" s="5">
        <v>1293</v>
      </c>
      <c r="J476" s="5">
        <v>3</v>
      </c>
      <c r="K476" s="2" t="s">
        <v>163</v>
      </c>
      <c r="L476" s="2" t="s">
        <v>49</v>
      </c>
      <c r="M476" s="4">
        <v>4.4000000000000004</v>
      </c>
      <c r="N476" s="5">
        <v>39</v>
      </c>
      <c r="O476" s="3">
        <v>45769</v>
      </c>
      <c r="P476" s="2" t="s">
        <v>2390</v>
      </c>
      <c r="Q476" s="2" t="s">
        <v>29</v>
      </c>
      <c r="R476" s="2" t="s">
        <v>89</v>
      </c>
      <c r="S476" s="2" t="s">
        <v>90</v>
      </c>
      <c r="T476" s="2"/>
    </row>
    <row r="477" spans="1:20" ht="12.5" x14ac:dyDescent="0.25">
      <c r="A477" s="2" t="s">
        <v>1810</v>
      </c>
      <c r="B477" s="2" t="s">
        <v>1811</v>
      </c>
      <c r="C477" s="2" t="s">
        <v>1812</v>
      </c>
      <c r="D477" s="2" t="s">
        <v>1813</v>
      </c>
      <c r="E477" s="2" t="s">
        <v>24</v>
      </c>
      <c r="F477" s="2" t="s">
        <v>25</v>
      </c>
      <c r="G477" s="5">
        <v>2053</v>
      </c>
      <c r="H477" s="5">
        <v>20</v>
      </c>
      <c r="I477" s="5">
        <v>1643</v>
      </c>
      <c r="J477" s="5">
        <v>3</v>
      </c>
      <c r="K477" s="2" t="s">
        <v>163</v>
      </c>
      <c r="L477" s="2" t="s">
        <v>103</v>
      </c>
      <c r="M477" s="4">
        <v>4.4000000000000004</v>
      </c>
      <c r="N477" s="5">
        <v>24</v>
      </c>
      <c r="O477" s="3">
        <v>45772</v>
      </c>
      <c r="P477" s="2" t="s">
        <v>2391</v>
      </c>
      <c r="Q477" s="2" t="s">
        <v>78</v>
      </c>
      <c r="R477" s="2" t="s">
        <v>41</v>
      </c>
      <c r="S477" s="2" t="s">
        <v>42</v>
      </c>
      <c r="T477" s="2" t="s">
        <v>203</v>
      </c>
    </row>
    <row r="478" spans="1:20" ht="12.5" x14ac:dyDescent="0.25">
      <c r="A478" s="2" t="s">
        <v>1814</v>
      </c>
      <c r="B478" s="2" t="s">
        <v>585</v>
      </c>
      <c r="C478" s="2" t="s">
        <v>1815</v>
      </c>
      <c r="D478" s="2" t="s">
        <v>1816</v>
      </c>
      <c r="E478" s="2" t="s">
        <v>24</v>
      </c>
      <c r="F478" s="2" t="s">
        <v>25</v>
      </c>
      <c r="G478" s="5">
        <v>1354</v>
      </c>
      <c r="H478" s="5">
        <v>15</v>
      </c>
      <c r="I478" s="5">
        <v>1151</v>
      </c>
      <c r="J478" s="5">
        <v>2</v>
      </c>
      <c r="K478" s="2" t="s">
        <v>32</v>
      </c>
      <c r="L478" s="2" t="s">
        <v>88</v>
      </c>
      <c r="M478" s="4">
        <v>4.3</v>
      </c>
      <c r="N478" s="5">
        <v>294</v>
      </c>
      <c r="O478" s="3">
        <v>45857</v>
      </c>
      <c r="P478" s="2" t="s">
        <v>2391</v>
      </c>
      <c r="Q478" s="2" t="s">
        <v>65</v>
      </c>
      <c r="R478" s="2" t="s">
        <v>104</v>
      </c>
      <c r="S478" s="2" t="s">
        <v>105</v>
      </c>
      <c r="T478" s="2" t="s">
        <v>203</v>
      </c>
    </row>
    <row r="479" spans="1:20" ht="12.5" x14ac:dyDescent="0.25">
      <c r="A479" s="2" t="s">
        <v>1817</v>
      </c>
      <c r="B479" s="2" t="s">
        <v>85</v>
      </c>
      <c r="C479" s="2" t="s">
        <v>1818</v>
      </c>
      <c r="D479" s="2" t="s">
        <v>1819</v>
      </c>
      <c r="E479" s="2" t="s">
        <v>208</v>
      </c>
      <c r="F479" s="2" t="s">
        <v>117</v>
      </c>
      <c r="G479" s="5">
        <v>2171</v>
      </c>
      <c r="H479" s="5">
        <v>30</v>
      </c>
      <c r="I479" s="5">
        <v>1520</v>
      </c>
      <c r="J479" s="5">
        <v>3</v>
      </c>
      <c r="K479" s="2">
        <v>44</v>
      </c>
      <c r="L479" s="2" t="s">
        <v>168</v>
      </c>
      <c r="M479" s="4">
        <v>3.9</v>
      </c>
      <c r="N479" s="5">
        <v>110</v>
      </c>
      <c r="O479" s="3">
        <v>45802</v>
      </c>
      <c r="P479" s="2" t="s">
        <v>2392</v>
      </c>
      <c r="Q479" s="2" t="s">
        <v>78</v>
      </c>
      <c r="R479" s="2" t="s">
        <v>89</v>
      </c>
      <c r="S479" s="2" t="s">
        <v>90</v>
      </c>
      <c r="T479" s="2"/>
    </row>
    <row r="480" spans="1:20" ht="12.5" x14ac:dyDescent="0.25">
      <c r="A480" s="2" t="s">
        <v>1820</v>
      </c>
      <c r="B480" s="2" t="s">
        <v>1624</v>
      </c>
      <c r="C480" s="2" t="s">
        <v>1821</v>
      </c>
      <c r="D480" s="2" t="s">
        <v>1822</v>
      </c>
      <c r="E480" s="2" t="s">
        <v>24</v>
      </c>
      <c r="F480" s="2" t="s">
        <v>25</v>
      </c>
      <c r="G480" s="5">
        <v>3819</v>
      </c>
      <c r="H480" s="5">
        <v>30</v>
      </c>
      <c r="I480" s="5">
        <v>2674</v>
      </c>
      <c r="J480" s="5">
        <v>3</v>
      </c>
      <c r="K480" s="2" t="s">
        <v>26</v>
      </c>
      <c r="L480" s="2" t="s">
        <v>39</v>
      </c>
      <c r="M480" s="4">
        <v>4</v>
      </c>
      <c r="N480" s="5">
        <v>176</v>
      </c>
      <c r="O480" s="3">
        <v>45774</v>
      </c>
      <c r="P480" s="2" t="s">
        <v>2390</v>
      </c>
      <c r="Q480" s="2" t="s">
        <v>29</v>
      </c>
      <c r="R480" s="2" t="s">
        <v>149</v>
      </c>
      <c r="S480" s="2" t="s">
        <v>150</v>
      </c>
      <c r="T480" s="2"/>
    </row>
    <row r="481" spans="1:20" ht="12.5" x14ac:dyDescent="0.25">
      <c r="A481" s="2" t="s">
        <v>1823</v>
      </c>
      <c r="B481" s="2" t="s">
        <v>125</v>
      </c>
      <c r="C481" s="2" t="s">
        <v>1824</v>
      </c>
      <c r="D481" s="2" t="s">
        <v>1825</v>
      </c>
      <c r="E481" s="2" t="s">
        <v>55</v>
      </c>
      <c r="F481" s="2" t="s">
        <v>38</v>
      </c>
      <c r="G481" s="5">
        <v>4217</v>
      </c>
      <c r="H481" s="5">
        <v>15</v>
      </c>
      <c r="I481" s="5">
        <v>3585</v>
      </c>
      <c r="J481" s="5">
        <v>1</v>
      </c>
      <c r="K481" s="2">
        <v>42</v>
      </c>
      <c r="L481" s="2" t="s">
        <v>27</v>
      </c>
      <c r="M481" s="4">
        <v>3.7</v>
      </c>
      <c r="N481" s="5">
        <v>30</v>
      </c>
      <c r="O481" s="3">
        <v>45822</v>
      </c>
      <c r="P481" s="2" t="s">
        <v>2390</v>
      </c>
      <c r="Q481" s="2" t="s">
        <v>29</v>
      </c>
      <c r="R481" s="2" t="s">
        <v>104</v>
      </c>
      <c r="S481" s="2" t="s">
        <v>105</v>
      </c>
      <c r="T481" s="2"/>
    </row>
    <row r="482" spans="1:20" ht="12.5" x14ac:dyDescent="0.25">
      <c r="A482" s="2" t="s">
        <v>1826</v>
      </c>
      <c r="B482" s="2" t="s">
        <v>1827</v>
      </c>
      <c r="C482" s="2" t="s">
        <v>1828</v>
      </c>
      <c r="D482" s="2" t="s">
        <v>1829</v>
      </c>
      <c r="E482" s="2" t="s">
        <v>147</v>
      </c>
      <c r="F482" s="2" t="s">
        <v>148</v>
      </c>
      <c r="G482" s="5">
        <v>624</v>
      </c>
      <c r="H482" s="5">
        <v>20</v>
      </c>
      <c r="I482" s="5">
        <v>500</v>
      </c>
      <c r="J482" s="5">
        <v>3</v>
      </c>
      <c r="K482" s="2">
        <v>44</v>
      </c>
      <c r="L482" s="2" t="s">
        <v>27</v>
      </c>
      <c r="M482" s="4">
        <v>4.9000000000000004</v>
      </c>
      <c r="N482" s="5">
        <v>50</v>
      </c>
      <c r="O482" s="3">
        <v>45774</v>
      </c>
      <c r="P482" s="2" t="s">
        <v>2391</v>
      </c>
      <c r="Q482" s="2" t="s">
        <v>65</v>
      </c>
      <c r="R482" s="2" t="s">
        <v>83</v>
      </c>
      <c r="S482" s="2" t="s">
        <v>83</v>
      </c>
      <c r="T482" s="2" t="s">
        <v>203</v>
      </c>
    </row>
    <row r="483" spans="1:20" ht="12.5" x14ac:dyDescent="0.25">
      <c r="A483" s="2" t="s">
        <v>1830</v>
      </c>
      <c r="B483" s="2" t="s">
        <v>1831</v>
      </c>
      <c r="C483" s="2" t="s">
        <v>1832</v>
      </c>
      <c r="D483" s="2" t="s">
        <v>1833</v>
      </c>
      <c r="E483" s="2" t="s">
        <v>147</v>
      </c>
      <c r="F483" s="2" t="s">
        <v>148</v>
      </c>
      <c r="G483" s="5">
        <v>1628</v>
      </c>
      <c r="H483" s="5">
        <v>40</v>
      </c>
      <c r="I483" s="5">
        <v>977</v>
      </c>
      <c r="J483" s="5">
        <v>1</v>
      </c>
      <c r="K483" s="2">
        <v>42</v>
      </c>
      <c r="L483" s="2" t="s">
        <v>209</v>
      </c>
      <c r="M483" s="4">
        <v>4.8</v>
      </c>
      <c r="N483" s="5">
        <v>233</v>
      </c>
      <c r="O483" s="3">
        <v>45800</v>
      </c>
      <c r="P483" s="2" t="s">
        <v>2391</v>
      </c>
      <c r="Q483" s="2" t="s">
        <v>78</v>
      </c>
      <c r="R483" s="2" t="s">
        <v>41</v>
      </c>
      <c r="S483" s="2" t="s">
        <v>42</v>
      </c>
      <c r="T483" s="2"/>
    </row>
    <row r="484" spans="1:20" ht="12.5" x14ac:dyDescent="0.25">
      <c r="A484" s="2" t="s">
        <v>1834</v>
      </c>
      <c r="B484" s="2" t="s">
        <v>1022</v>
      </c>
      <c r="C484" s="2" t="s">
        <v>1835</v>
      </c>
      <c r="D484" s="2" t="s">
        <v>1836</v>
      </c>
      <c r="E484" s="2" t="s">
        <v>247</v>
      </c>
      <c r="F484" s="2" t="s">
        <v>248</v>
      </c>
      <c r="G484" s="5">
        <v>4177</v>
      </c>
      <c r="H484" s="5">
        <v>25</v>
      </c>
      <c r="I484" s="5">
        <v>3133</v>
      </c>
      <c r="J484" s="5">
        <v>3</v>
      </c>
      <c r="K484" s="2" t="s">
        <v>72</v>
      </c>
      <c r="L484" s="2" t="s">
        <v>27</v>
      </c>
      <c r="M484" s="4">
        <v>4.3</v>
      </c>
      <c r="N484" s="5">
        <v>248</v>
      </c>
      <c r="O484" s="3">
        <v>45804</v>
      </c>
      <c r="P484" s="2" t="s">
        <v>2390</v>
      </c>
      <c r="Q484" s="2" t="s">
        <v>78</v>
      </c>
      <c r="R484" s="2" t="s">
        <v>185</v>
      </c>
      <c r="S484" s="2" t="s">
        <v>186</v>
      </c>
      <c r="T484" s="2"/>
    </row>
    <row r="485" spans="1:20" ht="12.5" x14ac:dyDescent="0.25">
      <c r="A485" s="2" t="s">
        <v>1837</v>
      </c>
      <c r="B485" s="2" t="s">
        <v>219</v>
      </c>
      <c r="C485" s="2" t="s">
        <v>1838</v>
      </c>
      <c r="D485" s="2" t="s">
        <v>1839</v>
      </c>
      <c r="E485" s="2" t="s">
        <v>132</v>
      </c>
      <c r="F485" s="2" t="s">
        <v>38</v>
      </c>
      <c r="G485" s="5">
        <v>1198</v>
      </c>
      <c r="H485" s="5">
        <v>10</v>
      </c>
      <c r="I485" s="5">
        <v>1079</v>
      </c>
      <c r="J485" s="5">
        <v>3</v>
      </c>
      <c r="K485" s="2">
        <v>42</v>
      </c>
      <c r="L485" s="2" t="s">
        <v>103</v>
      </c>
      <c r="M485" s="4">
        <v>4.0999999999999996</v>
      </c>
      <c r="N485" s="5">
        <v>188</v>
      </c>
      <c r="O485" s="3">
        <v>45819</v>
      </c>
      <c r="P485" s="2" t="s">
        <v>2390</v>
      </c>
      <c r="Q485" s="2" t="s">
        <v>65</v>
      </c>
      <c r="R485" s="2" t="s">
        <v>149</v>
      </c>
      <c r="S485" s="2" t="s">
        <v>150</v>
      </c>
      <c r="T485" s="2"/>
    </row>
    <row r="486" spans="1:20" ht="12.5" x14ac:dyDescent="0.25">
      <c r="A486" s="2" t="s">
        <v>1840</v>
      </c>
      <c r="B486" s="2" t="s">
        <v>1841</v>
      </c>
      <c r="C486" s="2" t="s">
        <v>1842</v>
      </c>
      <c r="D486" s="2" t="s">
        <v>1843</v>
      </c>
      <c r="E486" s="2" t="s">
        <v>208</v>
      </c>
      <c r="F486" s="2" t="s">
        <v>117</v>
      </c>
      <c r="G486" s="5">
        <v>707</v>
      </c>
      <c r="H486" s="5">
        <v>35</v>
      </c>
      <c r="I486" s="5">
        <v>460</v>
      </c>
      <c r="J486" s="5">
        <v>3</v>
      </c>
      <c r="K486" s="2">
        <v>40</v>
      </c>
      <c r="L486" s="2" t="s">
        <v>133</v>
      </c>
      <c r="M486" s="4">
        <v>3.8</v>
      </c>
      <c r="N486" s="5">
        <v>269</v>
      </c>
      <c r="O486" s="3">
        <v>45811</v>
      </c>
      <c r="P486" s="2" t="s">
        <v>2390</v>
      </c>
      <c r="Q486" s="2" t="s">
        <v>29</v>
      </c>
      <c r="R486" s="2" t="s">
        <v>83</v>
      </c>
      <c r="S486" s="2" t="s">
        <v>83</v>
      </c>
      <c r="T486" s="2"/>
    </row>
    <row r="487" spans="1:20" ht="12.5" x14ac:dyDescent="0.25">
      <c r="A487" s="2" t="s">
        <v>1844</v>
      </c>
      <c r="B487" s="2" t="s">
        <v>581</v>
      </c>
      <c r="C487" s="2" t="s">
        <v>1845</v>
      </c>
      <c r="D487" s="2" t="s">
        <v>1846</v>
      </c>
      <c r="E487" s="2" t="s">
        <v>55</v>
      </c>
      <c r="F487" s="2" t="s">
        <v>38</v>
      </c>
      <c r="G487" s="5">
        <v>4186</v>
      </c>
      <c r="H487" s="5">
        <v>30</v>
      </c>
      <c r="I487" s="5">
        <v>2931</v>
      </c>
      <c r="J487" s="5">
        <v>2</v>
      </c>
      <c r="K487" s="2" t="s">
        <v>56</v>
      </c>
      <c r="L487" s="2" t="s">
        <v>73</v>
      </c>
      <c r="M487" s="4">
        <v>3.8</v>
      </c>
      <c r="N487" s="5">
        <v>104</v>
      </c>
      <c r="O487" s="3">
        <v>45803</v>
      </c>
      <c r="P487" s="2" t="s">
        <v>2390</v>
      </c>
      <c r="Q487" s="2" t="s">
        <v>65</v>
      </c>
      <c r="R487" s="2" t="s">
        <v>30</v>
      </c>
      <c r="S487" s="2" t="s">
        <v>31</v>
      </c>
      <c r="T487" s="2"/>
    </row>
    <row r="488" spans="1:20" ht="12.5" x14ac:dyDescent="0.25">
      <c r="A488" s="2" t="s">
        <v>1847</v>
      </c>
      <c r="B488" s="2" t="s">
        <v>681</v>
      </c>
      <c r="C488" s="2" t="s">
        <v>1848</v>
      </c>
      <c r="D488" s="2" t="s">
        <v>1849</v>
      </c>
      <c r="E488" s="2" t="s">
        <v>132</v>
      </c>
      <c r="F488" s="2" t="s">
        <v>38</v>
      </c>
      <c r="G488" s="5">
        <v>988</v>
      </c>
      <c r="H488" s="5">
        <v>25</v>
      </c>
      <c r="I488" s="5">
        <v>741</v>
      </c>
      <c r="J488" s="5">
        <v>3</v>
      </c>
      <c r="K488" s="2" t="s">
        <v>72</v>
      </c>
      <c r="L488" s="2" t="s">
        <v>88</v>
      </c>
      <c r="M488" s="4">
        <v>4.5999999999999996</v>
      </c>
      <c r="N488" s="5">
        <v>193</v>
      </c>
      <c r="O488" s="3">
        <v>45833</v>
      </c>
      <c r="P488" s="2" t="s">
        <v>2392</v>
      </c>
      <c r="Q488" s="2" t="s">
        <v>78</v>
      </c>
      <c r="R488" s="2" t="s">
        <v>149</v>
      </c>
      <c r="S488" s="2" t="s">
        <v>150</v>
      </c>
      <c r="T488" s="2"/>
    </row>
    <row r="489" spans="1:20" ht="12.5" x14ac:dyDescent="0.25">
      <c r="A489" s="2" t="s">
        <v>1850</v>
      </c>
      <c r="B489" s="2" t="s">
        <v>1352</v>
      </c>
      <c r="C489" s="2" t="s">
        <v>1851</v>
      </c>
      <c r="D489" s="2" t="s">
        <v>1852</v>
      </c>
      <c r="E489" s="2" t="s">
        <v>122</v>
      </c>
      <c r="F489" s="2" t="s">
        <v>123</v>
      </c>
      <c r="G489" s="5">
        <v>1290</v>
      </c>
      <c r="H489" s="5">
        <v>10</v>
      </c>
      <c r="I489" s="5">
        <v>1161</v>
      </c>
      <c r="J489" s="5">
        <v>2</v>
      </c>
      <c r="K489" s="2">
        <v>42</v>
      </c>
      <c r="L489" s="2" t="s">
        <v>39</v>
      </c>
      <c r="M489" s="4">
        <v>3.7</v>
      </c>
      <c r="N489" s="5">
        <v>133</v>
      </c>
      <c r="O489" s="3">
        <v>45840</v>
      </c>
      <c r="P489" s="2" t="s">
        <v>2392</v>
      </c>
      <c r="Q489" s="2" t="s">
        <v>65</v>
      </c>
      <c r="R489" s="2" t="s">
        <v>149</v>
      </c>
      <c r="S489" s="2" t="s">
        <v>150</v>
      </c>
      <c r="T489" s="2"/>
    </row>
    <row r="490" spans="1:20" ht="12.5" x14ac:dyDescent="0.25">
      <c r="A490" s="2" t="s">
        <v>1853</v>
      </c>
      <c r="B490" s="2" t="s">
        <v>1854</v>
      </c>
      <c r="C490" s="2" t="s">
        <v>1855</v>
      </c>
      <c r="D490" s="2" t="s">
        <v>1856</v>
      </c>
      <c r="E490" s="2" t="s">
        <v>37</v>
      </c>
      <c r="F490" s="2" t="s">
        <v>38</v>
      </c>
      <c r="G490" s="5">
        <v>4996</v>
      </c>
      <c r="H490" s="5">
        <v>35</v>
      </c>
      <c r="I490" s="5">
        <v>3248</v>
      </c>
      <c r="J490" s="5">
        <v>3</v>
      </c>
      <c r="K490" s="2" t="s">
        <v>26</v>
      </c>
      <c r="L490" s="2" t="s">
        <v>64</v>
      </c>
      <c r="M490" s="4">
        <v>4.5</v>
      </c>
      <c r="N490" s="5">
        <v>215</v>
      </c>
      <c r="O490" s="3">
        <v>45773</v>
      </c>
      <c r="P490" s="2" t="s">
        <v>2391</v>
      </c>
      <c r="Q490" s="2" t="s">
        <v>78</v>
      </c>
      <c r="R490" s="2" t="s">
        <v>149</v>
      </c>
      <c r="S490" s="2" t="s">
        <v>150</v>
      </c>
      <c r="T490" s="2" t="s">
        <v>203</v>
      </c>
    </row>
    <row r="491" spans="1:20" ht="12.5" x14ac:dyDescent="0.25">
      <c r="A491" s="2" t="s">
        <v>1857</v>
      </c>
      <c r="B491" s="2" t="s">
        <v>1858</v>
      </c>
      <c r="C491" s="2" t="s">
        <v>1859</v>
      </c>
      <c r="D491" s="2" t="s">
        <v>1860</v>
      </c>
      <c r="E491" s="2" t="s">
        <v>132</v>
      </c>
      <c r="F491" s="2" t="s">
        <v>38</v>
      </c>
      <c r="G491" s="5">
        <v>3564</v>
      </c>
      <c r="H491" s="5">
        <v>20</v>
      </c>
      <c r="I491" s="5">
        <v>2852</v>
      </c>
      <c r="J491" s="5">
        <v>3</v>
      </c>
      <c r="K491" s="2">
        <v>40</v>
      </c>
      <c r="L491" s="2" t="s">
        <v>133</v>
      </c>
      <c r="M491" s="4">
        <v>3.7</v>
      </c>
      <c r="N491" s="5">
        <v>113</v>
      </c>
      <c r="O491" s="3">
        <v>45850</v>
      </c>
      <c r="P491" s="2" t="s">
        <v>2390</v>
      </c>
      <c r="Q491" s="2" t="s">
        <v>65</v>
      </c>
      <c r="R491" s="2" t="s">
        <v>110</v>
      </c>
      <c r="S491" s="2" t="s">
        <v>111</v>
      </c>
      <c r="T491" s="2"/>
    </row>
    <row r="492" spans="1:20" ht="12.5" x14ac:dyDescent="0.25">
      <c r="A492" s="2" t="s">
        <v>1861</v>
      </c>
      <c r="B492" s="2" t="s">
        <v>1007</v>
      </c>
      <c r="C492" s="2" t="s">
        <v>1862</v>
      </c>
      <c r="D492" s="2" t="s">
        <v>1863</v>
      </c>
      <c r="E492" s="2" t="s">
        <v>147</v>
      </c>
      <c r="F492" s="2" t="s">
        <v>148</v>
      </c>
      <c r="G492" s="5">
        <v>1246</v>
      </c>
      <c r="H492" s="5">
        <v>20</v>
      </c>
      <c r="I492" s="5">
        <v>997</v>
      </c>
      <c r="J492" s="5">
        <v>1</v>
      </c>
      <c r="K492" s="2" t="s">
        <v>261</v>
      </c>
      <c r="L492" s="2" t="s">
        <v>49</v>
      </c>
      <c r="M492" s="4">
        <v>5</v>
      </c>
      <c r="N492" s="5">
        <v>165</v>
      </c>
      <c r="O492" s="3">
        <v>45770</v>
      </c>
      <c r="P492" s="2" t="s">
        <v>2391</v>
      </c>
      <c r="Q492" s="2" t="s">
        <v>29</v>
      </c>
      <c r="R492" s="2" t="s">
        <v>104</v>
      </c>
      <c r="S492" s="2" t="s">
        <v>105</v>
      </c>
      <c r="T492" s="2" t="s">
        <v>134</v>
      </c>
    </row>
    <row r="493" spans="1:20" ht="12.5" x14ac:dyDescent="0.25">
      <c r="A493" s="2" t="s">
        <v>1864</v>
      </c>
      <c r="B493" s="2" t="s">
        <v>593</v>
      </c>
      <c r="C493" s="2" t="s">
        <v>1865</v>
      </c>
      <c r="D493" s="2" t="s">
        <v>1866</v>
      </c>
      <c r="E493" s="2" t="s">
        <v>48</v>
      </c>
      <c r="F493" s="2" t="s">
        <v>25</v>
      </c>
      <c r="G493" s="5">
        <v>3175</v>
      </c>
      <c r="H493" s="5">
        <v>15</v>
      </c>
      <c r="I493" s="5">
        <v>2699</v>
      </c>
      <c r="J493" s="5">
        <v>3</v>
      </c>
      <c r="K493" s="2">
        <v>40</v>
      </c>
      <c r="L493" s="2" t="s">
        <v>64</v>
      </c>
      <c r="M493" s="4">
        <v>4.5999999999999996</v>
      </c>
      <c r="N493" s="5">
        <v>210</v>
      </c>
      <c r="O493" s="3">
        <v>45852</v>
      </c>
      <c r="P493" s="2" t="s">
        <v>2392</v>
      </c>
      <c r="Q493" s="2" t="s">
        <v>78</v>
      </c>
      <c r="R493" s="2" t="s">
        <v>185</v>
      </c>
      <c r="S493" s="2" t="s">
        <v>186</v>
      </c>
      <c r="T493" s="2"/>
    </row>
    <row r="494" spans="1:20" ht="12.5" x14ac:dyDescent="0.25">
      <c r="A494" s="2" t="s">
        <v>1867</v>
      </c>
      <c r="B494" s="2" t="s">
        <v>1868</v>
      </c>
      <c r="C494" s="2" t="s">
        <v>1869</v>
      </c>
      <c r="D494" s="2" t="s">
        <v>1870</v>
      </c>
      <c r="E494" s="2" t="s">
        <v>132</v>
      </c>
      <c r="F494" s="2" t="s">
        <v>38</v>
      </c>
      <c r="G494" s="5">
        <v>3143</v>
      </c>
      <c r="H494" s="5">
        <v>10</v>
      </c>
      <c r="I494" s="5">
        <v>2829</v>
      </c>
      <c r="J494" s="5">
        <v>1</v>
      </c>
      <c r="K494" s="2" t="s">
        <v>26</v>
      </c>
      <c r="L494" s="2" t="s">
        <v>133</v>
      </c>
      <c r="M494" s="4">
        <v>4</v>
      </c>
      <c r="N494" s="5">
        <v>222</v>
      </c>
      <c r="O494" s="3">
        <v>45845</v>
      </c>
      <c r="P494" s="2" t="s">
        <v>2390</v>
      </c>
      <c r="Q494" s="2" t="s">
        <v>78</v>
      </c>
      <c r="R494" s="2" t="s">
        <v>66</v>
      </c>
      <c r="S494" s="2" t="s">
        <v>67</v>
      </c>
      <c r="T494" s="2"/>
    </row>
    <row r="495" spans="1:20" ht="12.5" x14ac:dyDescent="0.25">
      <c r="A495" s="2" t="s">
        <v>1871</v>
      </c>
      <c r="B495" s="2" t="s">
        <v>1872</v>
      </c>
      <c r="C495" s="2" t="s">
        <v>1873</v>
      </c>
      <c r="D495" s="2" t="s">
        <v>1874</v>
      </c>
      <c r="E495" s="2" t="s">
        <v>132</v>
      </c>
      <c r="F495" s="2" t="s">
        <v>38</v>
      </c>
      <c r="G495" s="5">
        <v>1616</v>
      </c>
      <c r="H495" s="5">
        <v>25</v>
      </c>
      <c r="I495" s="5">
        <v>1212</v>
      </c>
      <c r="J495" s="5">
        <v>2</v>
      </c>
      <c r="K495" s="2" t="s">
        <v>26</v>
      </c>
      <c r="L495" s="2" t="s">
        <v>168</v>
      </c>
      <c r="M495" s="4">
        <v>3.9</v>
      </c>
      <c r="N495" s="5">
        <v>152</v>
      </c>
      <c r="O495" s="3">
        <v>45794</v>
      </c>
      <c r="P495" s="2" t="s">
        <v>2391</v>
      </c>
      <c r="Q495" s="2" t="s">
        <v>29</v>
      </c>
      <c r="R495" s="2" t="s">
        <v>104</v>
      </c>
      <c r="S495" s="2" t="s">
        <v>105</v>
      </c>
      <c r="T495" s="2" t="s">
        <v>43</v>
      </c>
    </row>
    <row r="496" spans="1:20" ht="12.5" x14ac:dyDescent="0.25">
      <c r="A496" s="2" t="s">
        <v>1875</v>
      </c>
      <c r="B496" s="2" t="s">
        <v>1868</v>
      </c>
      <c r="C496" s="2" t="s">
        <v>1876</v>
      </c>
      <c r="D496" s="2" t="s">
        <v>1877</v>
      </c>
      <c r="E496" s="2" t="s">
        <v>122</v>
      </c>
      <c r="F496" s="2" t="s">
        <v>123</v>
      </c>
      <c r="G496" s="5">
        <v>3572</v>
      </c>
      <c r="H496" s="5">
        <v>25</v>
      </c>
      <c r="I496" s="5">
        <v>2679</v>
      </c>
      <c r="J496" s="5">
        <v>3</v>
      </c>
      <c r="K496" s="2" t="s">
        <v>226</v>
      </c>
      <c r="L496" s="2" t="s">
        <v>103</v>
      </c>
      <c r="M496" s="4">
        <v>3.9</v>
      </c>
      <c r="N496" s="5">
        <v>215</v>
      </c>
      <c r="O496" s="3">
        <v>45814</v>
      </c>
      <c r="P496" s="2" t="s">
        <v>2392</v>
      </c>
      <c r="Q496" s="2" t="s">
        <v>78</v>
      </c>
      <c r="R496" s="2" t="s">
        <v>30</v>
      </c>
      <c r="S496" s="2" t="s">
        <v>31</v>
      </c>
      <c r="T496" s="2"/>
    </row>
    <row r="497" spans="1:20" ht="12.5" x14ac:dyDescent="0.25">
      <c r="A497" s="2" t="s">
        <v>1878</v>
      </c>
      <c r="B497" s="2" t="s">
        <v>428</v>
      </c>
      <c r="C497" s="2" t="s">
        <v>1879</v>
      </c>
      <c r="D497" s="2" t="s">
        <v>1880</v>
      </c>
      <c r="E497" s="2" t="s">
        <v>55</v>
      </c>
      <c r="F497" s="2" t="s">
        <v>38</v>
      </c>
      <c r="G497" s="5">
        <v>2899</v>
      </c>
      <c r="H497" s="5">
        <v>10</v>
      </c>
      <c r="I497" s="5">
        <v>2610</v>
      </c>
      <c r="J497" s="5">
        <v>2</v>
      </c>
      <c r="K497" s="2" t="s">
        <v>163</v>
      </c>
      <c r="L497" s="2" t="s">
        <v>209</v>
      </c>
      <c r="M497" s="4">
        <v>3.7</v>
      </c>
      <c r="N497" s="5">
        <v>288</v>
      </c>
      <c r="O497" s="3">
        <v>45775</v>
      </c>
      <c r="P497" s="2" t="s">
        <v>2391</v>
      </c>
      <c r="Q497" s="2" t="s">
        <v>65</v>
      </c>
      <c r="R497" s="2" t="s">
        <v>89</v>
      </c>
      <c r="S497" s="2" t="s">
        <v>90</v>
      </c>
      <c r="T497" s="2"/>
    </row>
    <row r="498" spans="1:20" ht="12.5" x14ac:dyDescent="0.25">
      <c r="A498" s="2" t="s">
        <v>1881</v>
      </c>
      <c r="B498" s="2" t="s">
        <v>1564</v>
      </c>
      <c r="C498" s="2" t="s">
        <v>1882</v>
      </c>
      <c r="D498" s="2" t="s">
        <v>1883</v>
      </c>
      <c r="E498" s="2" t="s">
        <v>48</v>
      </c>
      <c r="F498" s="2" t="s">
        <v>25</v>
      </c>
      <c r="G498" s="5">
        <v>2590</v>
      </c>
      <c r="H498" s="5">
        <v>40</v>
      </c>
      <c r="I498" s="5">
        <v>1554</v>
      </c>
      <c r="J498" s="5">
        <v>3</v>
      </c>
      <c r="K498" s="2" t="s">
        <v>226</v>
      </c>
      <c r="L498" s="2" t="s">
        <v>209</v>
      </c>
      <c r="M498" s="4">
        <v>4.9000000000000004</v>
      </c>
      <c r="N498" s="5">
        <v>230</v>
      </c>
      <c r="O498" s="3">
        <v>45800</v>
      </c>
      <c r="P498" s="2" t="s">
        <v>2392</v>
      </c>
      <c r="Q498" s="2" t="s">
        <v>65</v>
      </c>
      <c r="R498" s="2" t="s">
        <v>58</v>
      </c>
      <c r="S498" s="2" t="s">
        <v>59</v>
      </c>
      <c r="T498" s="2"/>
    </row>
    <row r="499" spans="1:20" ht="12.5" x14ac:dyDescent="0.25">
      <c r="A499" s="2" t="s">
        <v>1884</v>
      </c>
      <c r="B499" s="2" t="s">
        <v>809</v>
      </c>
      <c r="C499" s="2" t="s">
        <v>1885</v>
      </c>
      <c r="D499" s="2" t="s">
        <v>1886</v>
      </c>
      <c r="E499" s="2" t="s">
        <v>208</v>
      </c>
      <c r="F499" s="2" t="s">
        <v>117</v>
      </c>
      <c r="G499" s="5">
        <v>955</v>
      </c>
      <c r="H499" s="5">
        <v>30</v>
      </c>
      <c r="I499" s="5">
        <v>669</v>
      </c>
      <c r="J499" s="5">
        <v>1</v>
      </c>
      <c r="K499" s="2" t="s">
        <v>226</v>
      </c>
      <c r="L499" s="2" t="s">
        <v>49</v>
      </c>
      <c r="M499" s="4">
        <v>3.8</v>
      </c>
      <c r="N499" s="5">
        <v>237</v>
      </c>
      <c r="O499" s="3">
        <v>45856</v>
      </c>
      <c r="P499" s="2" t="s">
        <v>2392</v>
      </c>
      <c r="Q499" s="2" t="s">
        <v>78</v>
      </c>
      <c r="R499" s="2" t="s">
        <v>58</v>
      </c>
      <c r="S499" s="2" t="s">
        <v>59</v>
      </c>
      <c r="T499" s="2"/>
    </row>
    <row r="500" spans="1:20" ht="12.5" x14ac:dyDescent="0.25">
      <c r="A500" s="2" t="s">
        <v>1887</v>
      </c>
      <c r="B500" s="2" t="s">
        <v>1487</v>
      </c>
      <c r="C500" s="2" t="s">
        <v>1888</v>
      </c>
      <c r="D500" s="2" t="s">
        <v>1889</v>
      </c>
      <c r="E500" s="2" t="s">
        <v>122</v>
      </c>
      <c r="F500" s="2" t="s">
        <v>123</v>
      </c>
      <c r="G500" s="5">
        <v>4871</v>
      </c>
      <c r="H500" s="5">
        <v>15</v>
      </c>
      <c r="I500" s="5">
        <v>4141</v>
      </c>
      <c r="J500" s="5">
        <v>2</v>
      </c>
      <c r="K500" s="2">
        <v>40</v>
      </c>
      <c r="L500" s="2" t="s">
        <v>39</v>
      </c>
      <c r="M500" s="4">
        <v>4.2</v>
      </c>
      <c r="N500" s="5">
        <v>117</v>
      </c>
      <c r="O500" s="3">
        <v>45836</v>
      </c>
      <c r="P500" s="2" t="s">
        <v>2391</v>
      </c>
      <c r="Q500" s="2" t="s">
        <v>29</v>
      </c>
      <c r="R500" s="2" t="s">
        <v>30</v>
      </c>
      <c r="S500" s="2" t="s">
        <v>31</v>
      </c>
      <c r="T500" s="2" t="s">
        <v>203</v>
      </c>
    </row>
    <row r="501" spans="1:20" ht="12.5" x14ac:dyDescent="0.25">
      <c r="A501" s="2" t="s">
        <v>1890</v>
      </c>
      <c r="B501" s="2" t="s">
        <v>1516</v>
      </c>
      <c r="C501" s="2" t="s">
        <v>1891</v>
      </c>
      <c r="D501" s="2" t="s">
        <v>1892</v>
      </c>
      <c r="E501" s="2" t="s">
        <v>55</v>
      </c>
      <c r="F501" s="2" t="s">
        <v>38</v>
      </c>
      <c r="G501" s="5">
        <v>3488</v>
      </c>
      <c r="H501" s="5">
        <v>40</v>
      </c>
      <c r="I501" s="5">
        <v>2093</v>
      </c>
      <c r="J501" s="5">
        <v>1</v>
      </c>
      <c r="K501" s="2" t="s">
        <v>163</v>
      </c>
      <c r="L501" s="2" t="s">
        <v>64</v>
      </c>
      <c r="M501" s="4">
        <v>4.8</v>
      </c>
      <c r="N501" s="5">
        <v>156</v>
      </c>
      <c r="O501" s="3">
        <v>45777</v>
      </c>
      <c r="P501" s="2" t="s">
        <v>2390</v>
      </c>
      <c r="Q501" s="2" t="s">
        <v>65</v>
      </c>
      <c r="R501" s="2" t="s">
        <v>149</v>
      </c>
      <c r="S501" s="2" t="s">
        <v>150</v>
      </c>
      <c r="T501" s="2"/>
    </row>
    <row r="502" spans="1:20" ht="12.5" x14ac:dyDescent="0.25">
      <c r="A502" s="2" t="s">
        <v>1893</v>
      </c>
      <c r="B502" s="2" t="s">
        <v>1894</v>
      </c>
      <c r="C502" s="2" t="s">
        <v>1895</v>
      </c>
      <c r="D502" s="2" t="s">
        <v>1896</v>
      </c>
      <c r="E502" s="2" t="s">
        <v>24</v>
      </c>
      <c r="F502" s="2" t="s">
        <v>25</v>
      </c>
      <c r="G502" s="5">
        <v>2350</v>
      </c>
      <c r="H502" s="5">
        <v>40</v>
      </c>
      <c r="I502" s="5">
        <v>1410</v>
      </c>
      <c r="J502" s="5">
        <v>1</v>
      </c>
      <c r="K502" s="2" t="s">
        <v>26</v>
      </c>
      <c r="L502" s="2" t="s">
        <v>88</v>
      </c>
      <c r="M502" s="4">
        <v>4.2</v>
      </c>
      <c r="N502" s="5">
        <v>85</v>
      </c>
      <c r="O502" s="3">
        <v>45816</v>
      </c>
      <c r="P502" s="2" t="s">
        <v>2390</v>
      </c>
      <c r="Q502" s="2" t="s">
        <v>65</v>
      </c>
      <c r="R502" s="2" t="s">
        <v>185</v>
      </c>
      <c r="S502" s="2" t="s">
        <v>186</v>
      </c>
      <c r="T502" s="2"/>
    </row>
    <row r="503" spans="1:20" ht="12.5" x14ac:dyDescent="0.25">
      <c r="A503" s="2" t="s">
        <v>1897</v>
      </c>
      <c r="B503" s="2" t="s">
        <v>223</v>
      </c>
      <c r="C503" s="2" t="s">
        <v>1898</v>
      </c>
      <c r="D503" s="2" t="s">
        <v>1899</v>
      </c>
      <c r="E503" s="2" t="s">
        <v>37</v>
      </c>
      <c r="F503" s="2" t="s">
        <v>38</v>
      </c>
      <c r="G503" s="5">
        <v>1726</v>
      </c>
      <c r="H503" s="5">
        <v>40</v>
      </c>
      <c r="I503" s="5">
        <v>1036</v>
      </c>
      <c r="J503" s="5">
        <v>1</v>
      </c>
      <c r="K503" s="2" t="s">
        <v>226</v>
      </c>
      <c r="L503" s="2" t="s">
        <v>88</v>
      </c>
      <c r="M503" s="4">
        <v>4.0999999999999996</v>
      </c>
      <c r="N503" s="5">
        <v>209</v>
      </c>
      <c r="O503" s="3">
        <v>45803</v>
      </c>
      <c r="P503" s="2" t="s">
        <v>2391</v>
      </c>
      <c r="Q503" s="2" t="s">
        <v>65</v>
      </c>
      <c r="R503" s="2" t="s">
        <v>149</v>
      </c>
      <c r="S503" s="2" t="s">
        <v>150</v>
      </c>
      <c r="T503" s="2"/>
    </row>
    <row r="504" spans="1:20" ht="12.5" x14ac:dyDescent="0.25">
      <c r="A504" s="2" t="s">
        <v>1900</v>
      </c>
      <c r="B504" s="2" t="s">
        <v>1901</v>
      </c>
      <c r="C504" s="2" t="s">
        <v>1902</v>
      </c>
      <c r="D504" s="2" t="s">
        <v>1903</v>
      </c>
      <c r="E504" s="2" t="s">
        <v>122</v>
      </c>
      <c r="F504" s="2" t="s">
        <v>123</v>
      </c>
      <c r="G504" s="5">
        <v>1734</v>
      </c>
      <c r="H504" s="5">
        <v>30</v>
      </c>
      <c r="I504" s="5">
        <v>1214</v>
      </c>
      <c r="J504" s="5">
        <v>1</v>
      </c>
      <c r="K504" s="2" t="s">
        <v>26</v>
      </c>
      <c r="L504" s="2" t="s">
        <v>39</v>
      </c>
      <c r="M504" s="4">
        <v>4.5</v>
      </c>
      <c r="N504" s="5">
        <v>284</v>
      </c>
      <c r="O504" s="3">
        <v>45824</v>
      </c>
      <c r="P504" s="2" t="s">
        <v>2391</v>
      </c>
      <c r="Q504" s="2" t="s">
        <v>65</v>
      </c>
      <c r="R504" s="2" t="s">
        <v>41</v>
      </c>
      <c r="S504" s="2" t="s">
        <v>42</v>
      </c>
      <c r="T504" s="2" t="s">
        <v>203</v>
      </c>
    </row>
    <row r="505" spans="1:20" ht="12.5" x14ac:dyDescent="0.25">
      <c r="A505" s="2" t="s">
        <v>1904</v>
      </c>
      <c r="B505" s="2" t="s">
        <v>1905</v>
      </c>
      <c r="C505" s="2" t="s">
        <v>1906</v>
      </c>
      <c r="D505" s="2" t="s">
        <v>1907</v>
      </c>
      <c r="E505" s="2" t="s">
        <v>122</v>
      </c>
      <c r="F505" s="2" t="s">
        <v>123</v>
      </c>
      <c r="G505" s="5">
        <v>4410</v>
      </c>
      <c r="H505" s="5">
        <v>30</v>
      </c>
      <c r="I505" s="5">
        <v>3087</v>
      </c>
      <c r="J505" s="5">
        <v>2</v>
      </c>
      <c r="K505" s="2" t="s">
        <v>32</v>
      </c>
      <c r="L505" s="2" t="s">
        <v>103</v>
      </c>
      <c r="M505" s="4">
        <v>4.5</v>
      </c>
      <c r="N505" s="5">
        <v>57</v>
      </c>
      <c r="O505" s="3">
        <v>45851</v>
      </c>
      <c r="P505" s="2" t="s">
        <v>2391</v>
      </c>
      <c r="Q505" s="2" t="s">
        <v>65</v>
      </c>
      <c r="R505" s="2" t="s">
        <v>110</v>
      </c>
      <c r="S505" s="2" t="s">
        <v>111</v>
      </c>
      <c r="T505" s="2"/>
    </row>
    <row r="506" spans="1:20" ht="12.5" x14ac:dyDescent="0.25">
      <c r="A506" s="2" t="s">
        <v>1908</v>
      </c>
      <c r="B506" s="2" t="s">
        <v>1909</v>
      </c>
      <c r="C506" s="2" t="s">
        <v>1910</v>
      </c>
      <c r="D506" s="2" t="s">
        <v>1911</v>
      </c>
      <c r="E506" s="2" t="s">
        <v>116</v>
      </c>
      <c r="F506" s="2" t="s">
        <v>117</v>
      </c>
      <c r="G506" s="5">
        <v>3750</v>
      </c>
      <c r="H506" s="5">
        <v>35</v>
      </c>
      <c r="I506" s="5">
        <v>2438</v>
      </c>
      <c r="J506" s="5">
        <v>2</v>
      </c>
      <c r="K506" s="2" t="s">
        <v>56</v>
      </c>
      <c r="L506" s="2" t="s">
        <v>133</v>
      </c>
      <c r="M506" s="4">
        <v>4.8</v>
      </c>
      <c r="N506" s="5">
        <v>245</v>
      </c>
      <c r="O506" s="3">
        <v>45836</v>
      </c>
      <c r="P506" s="2" t="s">
        <v>2390</v>
      </c>
      <c r="Q506" s="2" t="s">
        <v>29</v>
      </c>
      <c r="R506" s="2" t="s">
        <v>149</v>
      </c>
      <c r="S506" s="2" t="s">
        <v>150</v>
      </c>
      <c r="T506" s="2"/>
    </row>
    <row r="507" spans="1:20" ht="12.5" x14ac:dyDescent="0.25">
      <c r="A507" s="2" t="s">
        <v>1912</v>
      </c>
      <c r="B507" s="2" t="s">
        <v>119</v>
      </c>
      <c r="C507" s="2" t="s">
        <v>1913</v>
      </c>
      <c r="D507" s="2" t="s">
        <v>1914</v>
      </c>
      <c r="E507" s="2" t="s">
        <v>116</v>
      </c>
      <c r="F507" s="2" t="s">
        <v>117</v>
      </c>
      <c r="G507" s="5">
        <v>4799</v>
      </c>
      <c r="H507" s="5">
        <v>25</v>
      </c>
      <c r="I507" s="5">
        <v>3600</v>
      </c>
      <c r="J507" s="5">
        <v>1</v>
      </c>
      <c r="K507" s="2">
        <v>44</v>
      </c>
      <c r="L507" s="2" t="s">
        <v>168</v>
      </c>
      <c r="M507" s="4">
        <v>3.9</v>
      </c>
      <c r="N507" s="5">
        <v>166</v>
      </c>
      <c r="O507" s="3">
        <v>45848</v>
      </c>
      <c r="P507" s="2" t="s">
        <v>2391</v>
      </c>
      <c r="Q507" s="2" t="s">
        <v>65</v>
      </c>
      <c r="R507" s="2" t="s">
        <v>110</v>
      </c>
      <c r="S507" s="2" t="s">
        <v>111</v>
      </c>
      <c r="T507" s="2" t="s">
        <v>203</v>
      </c>
    </row>
    <row r="508" spans="1:20" ht="12.5" x14ac:dyDescent="0.25">
      <c r="A508" s="2" t="s">
        <v>1915</v>
      </c>
      <c r="B508" s="2" t="s">
        <v>165</v>
      </c>
      <c r="C508" s="2" t="s">
        <v>1916</v>
      </c>
      <c r="D508" s="2" t="s">
        <v>1917</v>
      </c>
      <c r="E508" s="2" t="s">
        <v>147</v>
      </c>
      <c r="F508" s="2" t="s">
        <v>148</v>
      </c>
      <c r="G508" s="5">
        <v>1649</v>
      </c>
      <c r="H508" s="5">
        <v>10</v>
      </c>
      <c r="I508" s="5">
        <v>1485</v>
      </c>
      <c r="J508" s="5">
        <v>1</v>
      </c>
      <c r="K508" s="2">
        <v>40</v>
      </c>
      <c r="L508" s="2" t="s">
        <v>103</v>
      </c>
      <c r="M508" s="4">
        <v>4</v>
      </c>
      <c r="N508" s="5">
        <v>36</v>
      </c>
      <c r="O508" s="3">
        <v>45816</v>
      </c>
      <c r="P508" s="2" t="s">
        <v>2390</v>
      </c>
      <c r="Q508" s="2" t="s">
        <v>78</v>
      </c>
      <c r="R508" s="2" t="s">
        <v>58</v>
      </c>
      <c r="S508" s="2" t="s">
        <v>59</v>
      </c>
      <c r="T508" s="2"/>
    </row>
    <row r="509" spans="1:20" ht="12.5" x14ac:dyDescent="0.25">
      <c r="A509" s="2" t="s">
        <v>1918</v>
      </c>
      <c r="B509" s="2" t="s">
        <v>1919</v>
      </c>
      <c r="C509" s="2" t="s">
        <v>1920</v>
      </c>
      <c r="D509" s="2" t="s">
        <v>1921</v>
      </c>
      <c r="E509" s="2" t="s">
        <v>208</v>
      </c>
      <c r="F509" s="2" t="s">
        <v>117</v>
      </c>
      <c r="G509" s="5">
        <v>1993</v>
      </c>
      <c r="H509" s="5">
        <v>35</v>
      </c>
      <c r="I509" s="5">
        <v>1296</v>
      </c>
      <c r="J509" s="5">
        <v>3</v>
      </c>
      <c r="K509" s="2" t="s">
        <v>26</v>
      </c>
      <c r="L509" s="2" t="s">
        <v>168</v>
      </c>
      <c r="M509" s="4">
        <v>4.3</v>
      </c>
      <c r="N509" s="5">
        <v>237</v>
      </c>
      <c r="O509" s="3">
        <v>45829</v>
      </c>
      <c r="P509" s="2" t="s">
        <v>2392</v>
      </c>
      <c r="Q509" s="2" t="s">
        <v>78</v>
      </c>
      <c r="R509" s="2" t="s">
        <v>185</v>
      </c>
      <c r="S509" s="2" t="s">
        <v>186</v>
      </c>
      <c r="T509" s="2"/>
    </row>
    <row r="510" spans="1:20" ht="12.5" x14ac:dyDescent="0.25">
      <c r="A510" s="2" t="s">
        <v>1922</v>
      </c>
      <c r="B510" s="2" t="s">
        <v>729</v>
      </c>
      <c r="C510" s="2" t="s">
        <v>1923</v>
      </c>
      <c r="D510" s="2" t="s">
        <v>1924</v>
      </c>
      <c r="E510" s="2" t="s">
        <v>116</v>
      </c>
      <c r="F510" s="2" t="s">
        <v>117</v>
      </c>
      <c r="G510" s="5">
        <v>4597</v>
      </c>
      <c r="H510" s="5">
        <v>25</v>
      </c>
      <c r="I510" s="5">
        <v>3448</v>
      </c>
      <c r="J510" s="5">
        <v>3</v>
      </c>
      <c r="K510" s="2">
        <v>44</v>
      </c>
      <c r="L510" s="2" t="s">
        <v>64</v>
      </c>
      <c r="M510" s="4">
        <v>4.3</v>
      </c>
      <c r="N510" s="5">
        <v>144</v>
      </c>
      <c r="O510" s="3">
        <v>45812</v>
      </c>
      <c r="P510" s="2" t="s">
        <v>2391</v>
      </c>
      <c r="Q510" s="2" t="s">
        <v>29</v>
      </c>
      <c r="R510" s="2" t="s">
        <v>149</v>
      </c>
      <c r="S510" s="2" t="s">
        <v>150</v>
      </c>
      <c r="T510" s="2" t="s">
        <v>43</v>
      </c>
    </row>
    <row r="511" spans="1:20" ht="12.5" x14ac:dyDescent="0.25">
      <c r="A511" s="2" t="s">
        <v>1925</v>
      </c>
      <c r="B511" s="2" t="s">
        <v>1069</v>
      </c>
      <c r="C511" s="2" t="s">
        <v>1926</v>
      </c>
      <c r="D511" s="2" t="s">
        <v>1927</v>
      </c>
      <c r="E511" s="2" t="s">
        <v>122</v>
      </c>
      <c r="F511" s="2" t="s">
        <v>123</v>
      </c>
      <c r="G511" s="5">
        <v>2535</v>
      </c>
      <c r="H511" s="5">
        <v>40</v>
      </c>
      <c r="I511" s="5">
        <v>1521</v>
      </c>
      <c r="J511" s="5">
        <v>2</v>
      </c>
      <c r="K511" s="2" t="s">
        <v>32</v>
      </c>
      <c r="L511" s="2" t="s">
        <v>209</v>
      </c>
      <c r="M511" s="4">
        <v>4.2</v>
      </c>
      <c r="N511" s="5">
        <v>89</v>
      </c>
      <c r="O511" s="3">
        <v>45815</v>
      </c>
      <c r="P511" s="2" t="s">
        <v>2391</v>
      </c>
      <c r="Q511" s="2" t="s">
        <v>78</v>
      </c>
      <c r="R511" s="2" t="s">
        <v>66</v>
      </c>
      <c r="S511" s="2" t="s">
        <v>67</v>
      </c>
      <c r="T511" s="2"/>
    </row>
    <row r="512" spans="1:20" ht="12.5" x14ac:dyDescent="0.25">
      <c r="A512" s="2" t="s">
        <v>1928</v>
      </c>
      <c r="B512" s="2" t="s">
        <v>824</v>
      </c>
      <c r="C512" s="2" t="s">
        <v>1929</v>
      </c>
      <c r="D512" s="2" t="s">
        <v>1930</v>
      </c>
      <c r="E512" s="2" t="s">
        <v>132</v>
      </c>
      <c r="F512" s="2" t="s">
        <v>38</v>
      </c>
      <c r="G512" s="5">
        <v>3719</v>
      </c>
      <c r="H512" s="5">
        <v>30</v>
      </c>
      <c r="I512" s="5">
        <v>2604</v>
      </c>
      <c r="J512" s="5">
        <v>3</v>
      </c>
      <c r="K512" s="2" t="s">
        <v>72</v>
      </c>
      <c r="L512" s="2" t="s">
        <v>64</v>
      </c>
      <c r="M512" s="4">
        <v>4.5</v>
      </c>
      <c r="N512" s="5">
        <v>193</v>
      </c>
      <c r="O512" s="3">
        <v>45808</v>
      </c>
      <c r="P512" s="2" t="s">
        <v>2390</v>
      </c>
      <c r="Q512" s="2" t="s">
        <v>29</v>
      </c>
      <c r="R512" s="2" t="s">
        <v>30</v>
      </c>
      <c r="S512" s="2" t="s">
        <v>31</v>
      </c>
      <c r="T512" s="2"/>
    </row>
    <row r="513" spans="1:20" ht="12.5" x14ac:dyDescent="0.25">
      <c r="A513" s="2" t="s">
        <v>1931</v>
      </c>
      <c r="B513" s="2" t="s">
        <v>254</v>
      </c>
      <c r="C513" s="2" t="s">
        <v>1932</v>
      </c>
      <c r="D513" s="2" t="s">
        <v>1933</v>
      </c>
      <c r="E513" s="2" t="s">
        <v>247</v>
      </c>
      <c r="F513" s="2" t="s">
        <v>248</v>
      </c>
      <c r="G513" s="5">
        <v>4401</v>
      </c>
      <c r="H513" s="5">
        <v>40</v>
      </c>
      <c r="I513" s="5">
        <v>2641</v>
      </c>
      <c r="J513" s="5">
        <v>1</v>
      </c>
      <c r="K513" s="2" t="s">
        <v>72</v>
      </c>
      <c r="L513" s="2" t="s">
        <v>49</v>
      </c>
      <c r="M513" s="4">
        <v>4.5</v>
      </c>
      <c r="N513" s="5">
        <v>281</v>
      </c>
      <c r="O513" s="3">
        <v>45844</v>
      </c>
      <c r="P513" s="2" t="s">
        <v>2391</v>
      </c>
      <c r="Q513" s="2" t="s">
        <v>78</v>
      </c>
      <c r="R513" s="2" t="s">
        <v>83</v>
      </c>
      <c r="S513" s="2" t="s">
        <v>83</v>
      </c>
      <c r="T513" s="2" t="s">
        <v>134</v>
      </c>
    </row>
    <row r="514" spans="1:20" ht="12.5" x14ac:dyDescent="0.25">
      <c r="A514" s="2" t="s">
        <v>1934</v>
      </c>
      <c r="B514" s="2" t="s">
        <v>1385</v>
      </c>
      <c r="C514" s="2" t="s">
        <v>1935</v>
      </c>
      <c r="D514" s="2" t="s">
        <v>1936</v>
      </c>
      <c r="E514" s="2" t="s">
        <v>116</v>
      </c>
      <c r="F514" s="2" t="s">
        <v>117</v>
      </c>
      <c r="G514" s="5">
        <v>3940</v>
      </c>
      <c r="H514" s="5">
        <v>15</v>
      </c>
      <c r="I514" s="5">
        <v>3349</v>
      </c>
      <c r="J514" s="5">
        <v>1</v>
      </c>
      <c r="K514" s="2" t="s">
        <v>261</v>
      </c>
      <c r="L514" s="2" t="s">
        <v>103</v>
      </c>
      <c r="M514" s="4">
        <v>4.9000000000000004</v>
      </c>
      <c r="N514" s="5">
        <v>181</v>
      </c>
      <c r="O514" s="3">
        <v>45775</v>
      </c>
      <c r="P514" s="2" t="s">
        <v>2392</v>
      </c>
      <c r="Q514" s="2" t="s">
        <v>29</v>
      </c>
      <c r="R514" s="2" t="s">
        <v>89</v>
      </c>
      <c r="S514" s="2" t="s">
        <v>90</v>
      </c>
      <c r="T514" s="2"/>
    </row>
    <row r="515" spans="1:20" ht="12.5" x14ac:dyDescent="0.25">
      <c r="A515" s="2" t="s">
        <v>1937</v>
      </c>
      <c r="B515" s="2" t="s">
        <v>1938</v>
      </c>
      <c r="C515" s="2" t="s">
        <v>1939</v>
      </c>
      <c r="D515" s="2" t="s">
        <v>1940</v>
      </c>
      <c r="E515" s="2" t="s">
        <v>122</v>
      </c>
      <c r="F515" s="2" t="s">
        <v>123</v>
      </c>
      <c r="G515" s="5">
        <v>3286</v>
      </c>
      <c r="H515" s="5">
        <v>30</v>
      </c>
      <c r="I515" s="5">
        <v>2301</v>
      </c>
      <c r="J515" s="5">
        <v>1</v>
      </c>
      <c r="K515" s="2">
        <v>40</v>
      </c>
      <c r="L515" s="2" t="s">
        <v>133</v>
      </c>
      <c r="M515" s="4">
        <v>3.5</v>
      </c>
      <c r="N515" s="5">
        <v>209</v>
      </c>
      <c r="O515" s="3">
        <v>45821</v>
      </c>
      <c r="P515" s="2" t="s">
        <v>2390</v>
      </c>
      <c r="Q515" s="2" t="s">
        <v>78</v>
      </c>
      <c r="R515" s="2" t="s">
        <v>30</v>
      </c>
      <c r="S515" s="2" t="s">
        <v>31</v>
      </c>
      <c r="T515" s="2"/>
    </row>
    <row r="516" spans="1:20" ht="12.5" x14ac:dyDescent="0.25">
      <c r="A516" s="2" t="s">
        <v>1941</v>
      </c>
      <c r="B516" s="2" t="s">
        <v>884</v>
      </c>
      <c r="C516" s="2" t="s">
        <v>1942</v>
      </c>
      <c r="D516" s="2" t="s">
        <v>1943</v>
      </c>
      <c r="E516" s="2" t="s">
        <v>122</v>
      </c>
      <c r="F516" s="2" t="s">
        <v>123</v>
      </c>
      <c r="G516" s="5">
        <v>2412</v>
      </c>
      <c r="H516" s="5">
        <v>35</v>
      </c>
      <c r="I516" s="5">
        <v>1568</v>
      </c>
      <c r="J516" s="5">
        <v>1</v>
      </c>
      <c r="K516" s="2" t="s">
        <v>72</v>
      </c>
      <c r="L516" s="2" t="s">
        <v>133</v>
      </c>
      <c r="M516" s="4">
        <v>4.8</v>
      </c>
      <c r="N516" s="5">
        <v>233</v>
      </c>
      <c r="O516" s="3">
        <v>45857</v>
      </c>
      <c r="P516" s="2" t="s">
        <v>2391</v>
      </c>
      <c r="Q516" s="2" t="s">
        <v>78</v>
      </c>
      <c r="R516" s="2" t="s">
        <v>41</v>
      </c>
      <c r="S516" s="2" t="s">
        <v>42</v>
      </c>
      <c r="T516" s="2" t="s">
        <v>50</v>
      </c>
    </row>
    <row r="517" spans="1:20" ht="12.5" x14ac:dyDescent="0.25">
      <c r="A517" s="2" t="s">
        <v>1944</v>
      </c>
      <c r="B517" s="2" t="s">
        <v>577</v>
      </c>
      <c r="C517" s="2" t="s">
        <v>1945</v>
      </c>
      <c r="D517" s="2" t="s">
        <v>1946</v>
      </c>
      <c r="E517" s="2" t="s">
        <v>147</v>
      </c>
      <c r="F517" s="2" t="s">
        <v>148</v>
      </c>
      <c r="G517" s="5">
        <v>4389</v>
      </c>
      <c r="H517" s="5">
        <v>40</v>
      </c>
      <c r="I517" s="5">
        <v>2634</v>
      </c>
      <c r="J517" s="5">
        <v>1</v>
      </c>
      <c r="K517" s="2">
        <v>42</v>
      </c>
      <c r="L517" s="2" t="s">
        <v>27</v>
      </c>
      <c r="M517" s="4">
        <v>4.8</v>
      </c>
      <c r="N517" s="5">
        <v>78</v>
      </c>
      <c r="O517" s="3">
        <v>45825</v>
      </c>
      <c r="P517" s="2" t="s">
        <v>2392</v>
      </c>
      <c r="Q517" s="2" t="s">
        <v>65</v>
      </c>
      <c r="R517" s="2" t="s">
        <v>83</v>
      </c>
      <c r="S517" s="2" t="s">
        <v>83</v>
      </c>
      <c r="T517" s="2"/>
    </row>
    <row r="518" spans="1:20" ht="12.5" x14ac:dyDescent="0.25">
      <c r="A518" s="2" t="s">
        <v>1947</v>
      </c>
      <c r="B518" s="2" t="s">
        <v>835</v>
      </c>
      <c r="C518" s="2" t="s">
        <v>1948</v>
      </c>
      <c r="D518" s="2" t="s">
        <v>1949</v>
      </c>
      <c r="E518" s="2" t="s">
        <v>37</v>
      </c>
      <c r="F518" s="2" t="s">
        <v>38</v>
      </c>
      <c r="G518" s="5">
        <v>2848</v>
      </c>
      <c r="H518" s="5">
        <v>10</v>
      </c>
      <c r="I518" s="5">
        <v>2564</v>
      </c>
      <c r="J518" s="5">
        <v>3</v>
      </c>
      <c r="K518" s="2">
        <v>40</v>
      </c>
      <c r="L518" s="2" t="s">
        <v>73</v>
      </c>
      <c r="M518" s="4">
        <v>4.4000000000000004</v>
      </c>
      <c r="N518" s="5">
        <v>13</v>
      </c>
      <c r="O518" s="3">
        <v>45855</v>
      </c>
      <c r="P518" s="2" t="s">
        <v>2391</v>
      </c>
      <c r="Q518" s="2" t="s">
        <v>65</v>
      </c>
      <c r="R518" s="2" t="s">
        <v>110</v>
      </c>
      <c r="S518" s="2" t="s">
        <v>111</v>
      </c>
      <c r="T518" s="2"/>
    </row>
    <row r="519" spans="1:20" ht="12.5" x14ac:dyDescent="0.25">
      <c r="A519" s="2" t="s">
        <v>1950</v>
      </c>
      <c r="B519" s="2" t="s">
        <v>839</v>
      </c>
      <c r="C519" s="2" t="s">
        <v>1951</v>
      </c>
      <c r="D519" s="2" t="s">
        <v>1952</v>
      </c>
      <c r="E519" s="2" t="s">
        <v>48</v>
      </c>
      <c r="F519" s="2" t="s">
        <v>25</v>
      </c>
      <c r="G519" s="5">
        <v>1428</v>
      </c>
      <c r="H519" s="5">
        <v>10</v>
      </c>
      <c r="I519" s="5">
        <v>1286</v>
      </c>
      <c r="J519" s="5">
        <v>2</v>
      </c>
      <c r="K519" s="2" t="s">
        <v>261</v>
      </c>
      <c r="L519" s="2" t="s">
        <v>88</v>
      </c>
      <c r="M519" s="4">
        <v>3.9</v>
      </c>
      <c r="N519" s="5">
        <v>218</v>
      </c>
      <c r="O519" s="3">
        <v>45856</v>
      </c>
      <c r="P519" s="2" t="s">
        <v>2391</v>
      </c>
      <c r="Q519" s="2" t="s">
        <v>65</v>
      </c>
      <c r="R519" s="2" t="s">
        <v>104</v>
      </c>
      <c r="S519" s="2" t="s">
        <v>105</v>
      </c>
      <c r="T519" s="2" t="s">
        <v>203</v>
      </c>
    </row>
    <row r="520" spans="1:20" ht="12.5" x14ac:dyDescent="0.25">
      <c r="A520" s="2" t="s">
        <v>1953</v>
      </c>
      <c r="B520" s="2" t="s">
        <v>1954</v>
      </c>
      <c r="C520" s="2" t="s">
        <v>1955</v>
      </c>
      <c r="D520" s="2" t="s">
        <v>1956</v>
      </c>
      <c r="E520" s="2" t="s">
        <v>24</v>
      </c>
      <c r="F520" s="2" t="s">
        <v>25</v>
      </c>
      <c r="G520" s="5">
        <v>2023</v>
      </c>
      <c r="H520" s="5">
        <v>35</v>
      </c>
      <c r="I520" s="5">
        <v>1315</v>
      </c>
      <c r="J520" s="5">
        <v>1</v>
      </c>
      <c r="K520" s="2">
        <v>42</v>
      </c>
      <c r="L520" s="2" t="s">
        <v>27</v>
      </c>
      <c r="M520" s="4">
        <v>3.9</v>
      </c>
      <c r="N520" s="5">
        <v>189</v>
      </c>
      <c r="O520" s="3">
        <v>45789</v>
      </c>
      <c r="P520" s="2" t="s">
        <v>2391</v>
      </c>
      <c r="Q520" s="2" t="s">
        <v>29</v>
      </c>
      <c r="R520" s="2" t="s">
        <v>83</v>
      </c>
      <c r="S520" s="2" t="s">
        <v>83</v>
      </c>
      <c r="T520" s="2" t="s">
        <v>50</v>
      </c>
    </row>
    <row r="521" spans="1:20" ht="12.5" x14ac:dyDescent="0.25">
      <c r="A521" s="2" t="s">
        <v>1957</v>
      </c>
      <c r="B521" s="2" t="s">
        <v>1161</v>
      </c>
      <c r="C521" s="2" t="s">
        <v>1958</v>
      </c>
      <c r="D521" s="2" t="s">
        <v>1959</v>
      </c>
      <c r="E521" s="2" t="s">
        <v>147</v>
      </c>
      <c r="F521" s="2" t="s">
        <v>148</v>
      </c>
      <c r="G521" s="5">
        <v>4094</v>
      </c>
      <c r="H521" s="5">
        <v>15</v>
      </c>
      <c r="I521" s="5">
        <v>3480</v>
      </c>
      <c r="J521" s="5">
        <v>2</v>
      </c>
      <c r="K521" s="2" t="s">
        <v>56</v>
      </c>
      <c r="L521" s="2" t="s">
        <v>88</v>
      </c>
      <c r="M521" s="4">
        <v>4.5999999999999996</v>
      </c>
      <c r="N521" s="5">
        <v>184</v>
      </c>
      <c r="O521" s="3">
        <v>45787</v>
      </c>
      <c r="P521" s="2" t="s">
        <v>2392</v>
      </c>
      <c r="Q521" s="2" t="s">
        <v>29</v>
      </c>
      <c r="R521" s="2" t="s">
        <v>110</v>
      </c>
      <c r="S521" s="2" t="s">
        <v>111</v>
      </c>
      <c r="T521" s="2"/>
    </row>
    <row r="522" spans="1:20" ht="12.5" x14ac:dyDescent="0.25">
      <c r="A522" s="2" t="s">
        <v>1960</v>
      </c>
      <c r="B522" s="2" t="s">
        <v>1961</v>
      </c>
      <c r="C522" s="2" t="s">
        <v>1962</v>
      </c>
      <c r="D522" s="2" t="s">
        <v>1963</v>
      </c>
      <c r="E522" s="2" t="s">
        <v>55</v>
      </c>
      <c r="F522" s="2" t="s">
        <v>38</v>
      </c>
      <c r="G522" s="5">
        <v>1265</v>
      </c>
      <c r="H522" s="5">
        <v>25</v>
      </c>
      <c r="I522" s="5">
        <v>949</v>
      </c>
      <c r="J522" s="5">
        <v>1</v>
      </c>
      <c r="K522" s="2" t="s">
        <v>56</v>
      </c>
      <c r="L522" s="2" t="s">
        <v>73</v>
      </c>
      <c r="M522" s="4">
        <v>3.8</v>
      </c>
      <c r="N522" s="5">
        <v>282</v>
      </c>
      <c r="O522" s="3">
        <v>45795</v>
      </c>
      <c r="P522" s="2" t="s">
        <v>2390</v>
      </c>
      <c r="Q522" s="2" t="s">
        <v>29</v>
      </c>
      <c r="R522" s="2" t="s">
        <v>104</v>
      </c>
      <c r="S522" s="2" t="s">
        <v>105</v>
      </c>
      <c r="T522" s="2"/>
    </row>
    <row r="523" spans="1:20" ht="12.5" x14ac:dyDescent="0.25">
      <c r="A523" s="2" t="s">
        <v>1964</v>
      </c>
      <c r="B523" s="2" t="s">
        <v>993</v>
      </c>
      <c r="C523" s="2" t="s">
        <v>1965</v>
      </c>
      <c r="D523" s="2" t="s">
        <v>1966</v>
      </c>
      <c r="E523" s="2" t="s">
        <v>48</v>
      </c>
      <c r="F523" s="2" t="s">
        <v>25</v>
      </c>
      <c r="G523" s="5">
        <v>2107</v>
      </c>
      <c r="H523" s="5">
        <v>25</v>
      </c>
      <c r="I523" s="5">
        <v>1581</v>
      </c>
      <c r="J523" s="5">
        <v>1</v>
      </c>
      <c r="K523" s="2" t="s">
        <v>72</v>
      </c>
      <c r="L523" s="2" t="s">
        <v>168</v>
      </c>
      <c r="M523" s="4">
        <v>4</v>
      </c>
      <c r="N523" s="5">
        <v>158</v>
      </c>
      <c r="O523" s="3">
        <v>45770</v>
      </c>
      <c r="P523" s="2" t="s">
        <v>2390</v>
      </c>
      <c r="Q523" s="2" t="s">
        <v>78</v>
      </c>
      <c r="R523" s="2" t="s">
        <v>110</v>
      </c>
      <c r="S523" s="2" t="s">
        <v>111</v>
      </c>
      <c r="T523" s="2"/>
    </row>
    <row r="524" spans="1:20" ht="12.5" x14ac:dyDescent="0.25">
      <c r="A524" s="2" t="s">
        <v>1967</v>
      </c>
      <c r="B524" s="2" t="s">
        <v>1042</v>
      </c>
      <c r="C524" s="2" t="s">
        <v>1968</v>
      </c>
      <c r="D524" s="2" t="s">
        <v>1969</v>
      </c>
      <c r="E524" s="2" t="s">
        <v>208</v>
      </c>
      <c r="F524" s="2" t="s">
        <v>117</v>
      </c>
      <c r="G524" s="5">
        <v>1040</v>
      </c>
      <c r="H524" s="5">
        <v>10</v>
      </c>
      <c r="I524" s="5">
        <v>936</v>
      </c>
      <c r="J524" s="5">
        <v>2</v>
      </c>
      <c r="K524" s="2" t="s">
        <v>163</v>
      </c>
      <c r="L524" s="2" t="s">
        <v>64</v>
      </c>
      <c r="M524" s="4">
        <v>4.8</v>
      </c>
      <c r="N524" s="5">
        <v>71</v>
      </c>
      <c r="O524" s="3">
        <v>45800</v>
      </c>
      <c r="P524" s="2" t="s">
        <v>2392</v>
      </c>
      <c r="Q524" s="2" t="s">
        <v>29</v>
      </c>
      <c r="R524" s="2" t="s">
        <v>110</v>
      </c>
      <c r="S524" s="2" t="s">
        <v>111</v>
      </c>
      <c r="T524" s="2"/>
    </row>
    <row r="525" spans="1:20" ht="12.5" x14ac:dyDescent="0.25">
      <c r="A525" s="2" t="s">
        <v>1970</v>
      </c>
      <c r="B525" s="2" t="s">
        <v>630</v>
      </c>
      <c r="C525" s="2" t="s">
        <v>1971</v>
      </c>
      <c r="D525" s="2" t="s">
        <v>1972</v>
      </c>
      <c r="E525" s="2" t="s">
        <v>208</v>
      </c>
      <c r="F525" s="2" t="s">
        <v>117</v>
      </c>
      <c r="G525" s="5">
        <v>3263</v>
      </c>
      <c r="H525" s="5">
        <v>15</v>
      </c>
      <c r="I525" s="5">
        <v>2774</v>
      </c>
      <c r="J525" s="5">
        <v>3</v>
      </c>
      <c r="K525" s="2" t="s">
        <v>163</v>
      </c>
      <c r="L525" s="2" t="s">
        <v>88</v>
      </c>
      <c r="M525" s="4">
        <v>4.4000000000000004</v>
      </c>
      <c r="N525" s="5">
        <v>155</v>
      </c>
      <c r="O525" s="3">
        <v>45793</v>
      </c>
      <c r="P525" s="2" t="s">
        <v>2391</v>
      </c>
      <c r="Q525" s="2" t="s">
        <v>29</v>
      </c>
      <c r="R525" s="2" t="s">
        <v>149</v>
      </c>
      <c r="S525" s="2" t="s">
        <v>150</v>
      </c>
      <c r="T525" s="2" t="s">
        <v>50</v>
      </c>
    </row>
    <row r="526" spans="1:20" ht="12.5" x14ac:dyDescent="0.25">
      <c r="A526" s="2" t="s">
        <v>1973</v>
      </c>
      <c r="B526" s="2" t="s">
        <v>444</v>
      </c>
      <c r="C526" s="2" t="s">
        <v>1974</v>
      </c>
      <c r="D526" s="2" t="s">
        <v>1975</v>
      </c>
      <c r="E526" s="2" t="s">
        <v>48</v>
      </c>
      <c r="F526" s="2" t="s">
        <v>25</v>
      </c>
      <c r="G526" s="5">
        <v>4097</v>
      </c>
      <c r="H526" s="5">
        <v>25</v>
      </c>
      <c r="I526" s="5">
        <v>3073</v>
      </c>
      <c r="J526" s="5">
        <v>2</v>
      </c>
      <c r="K526" s="2" t="s">
        <v>26</v>
      </c>
      <c r="L526" s="2" t="s">
        <v>88</v>
      </c>
      <c r="M526" s="4">
        <v>4.5999999999999996</v>
      </c>
      <c r="N526" s="5">
        <v>264</v>
      </c>
      <c r="O526" s="3">
        <v>45826</v>
      </c>
      <c r="P526" s="2" t="s">
        <v>2390</v>
      </c>
      <c r="Q526" s="2" t="s">
        <v>29</v>
      </c>
      <c r="R526" s="2" t="s">
        <v>149</v>
      </c>
      <c r="S526" s="2" t="s">
        <v>150</v>
      </c>
      <c r="T526" s="2"/>
    </row>
    <row r="527" spans="1:20" ht="12.5" x14ac:dyDescent="0.25">
      <c r="A527" s="2" t="s">
        <v>1976</v>
      </c>
      <c r="B527" s="2" t="s">
        <v>1977</v>
      </c>
      <c r="C527" s="2" t="s">
        <v>1978</v>
      </c>
      <c r="D527" s="2" t="s">
        <v>1979</v>
      </c>
      <c r="E527" s="2" t="s">
        <v>208</v>
      </c>
      <c r="F527" s="2" t="s">
        <v>117</v>
      </c>
      <c r="G527" s="5">
        <v>1794</v>
      </c>
      <c r="H527" s="5">
        <v>20</v>
      </c>
      <c r="I527" s="5">
        <v>1436</v>
      </c>
      <c r="J527" s="5">
        <v>3</v>
      </c>
      <c r="K527" s="2">
        <v>42</v>
      </c>
      <c r="L527" s="2" t="s">
        <v>103</v>
      </c>
      <c r="M527" s="4">
        <v>4.7</v>
      </c>
      <c r="N527" s="5">
        <v>13</v>
      </c>
      <c r="O527" s="3">
        <v>45801</v>
      </c>
      <c r="P527" s="2" t="s">
        <v>2391</v>
      </c>
      <c r="Q527" s="2" t="s">
        <v>78</v>
      </c>
      <c r="R527" s="2" t="s">
        <v>104</v>
      </c>
      <c r="S527" s="2" t="s">
        <v>105</v>
      </c>
      <c r="T527" s="2" t="s">
        <v>43</v>
      </c>
    </row>
    <row r="528" spans="1:20" ht="12.5" x14ac:dyDescent="0.25">
      <c r="A528" s="2" t="s">
        <v>1980</v>
      </c>
      <c r="B528" s="2" t="s">
        <v>125</v>
      </c>
      <c r="C528" s="2" t="s">
        <v>1981</v>
      </c>
      <c r="D528" s="2" t="s">
        <v>1982</v>
      </c>
      <c r="E528" s="2" t="s">
        <v>48</v>
      </c>
      <c r="F528" s="2" t="s">
        <v>25</v>
      </c>
      <c r="G528" s="5">
        <v>754</v>
      </c>
      <c r="H528" s="5">
        <v>25</v>
      </c>
      <c r="I528" s="5">
        <v>566</v>
      </c>
      <c r="J528" s="5">
        <v>2</v>
      </c>
      <c r="K528" s="2" t="s">
        <v>226</v>
      </c>
      <c r="L528" s="2" t="s">
        <v>209</v>
      </c>
      <c r="M528" s="4">
        <v>4.0999999999999996</v>
      </c>
      <c r="N528" s="5">
        <v>97</v>
      </c>
      <c r="O528" s="3">
        <v>45772</v>
      </c>
      <c r="P528" s="2" t="s">
        <v>2392</v>
      </c>
      <c r="Q528" s="2" t="s">
        <v>65</v>
      </c>
      <c r="R528" s="2" t="s">
        <v>110</v>
      </c>
      <c r="S528" s="2" t="s">
        <v>111</v>
      </c>
      <c r="T528" s="2"/>
    </row>
    <row r="529" spans="1:20" ht="12.5" x14ac:dyDescent="0.25">
      <c r="A529" s="2" t="s">
        <v>1983</v>
      </c>
      <c r="B529" s="2" t="s">
        <v>1984</v>
      </c>
      <c r="C529" s="2" t="s">
        <v>604</v>
      </c>
      <c r="D529" s="2" t="s">
        <v>1985</v>
      </c>
      <c r="E529" s="2" t="s">
        <v>122</v>
      </c>
      <c r="F529" s="2" t="s">
        <v>123</v>
      </c>
      <c r="G529" s="5">
        <v>2758</v>
      </c>
      <c r="H529" s="5">
        <v>35</v>
      </c>
      <c r="I529" s="5">
        <v>1793</v>
      </c>
      <c r="J529" s="5">
        <v>3</v>
      </c>
      <c r="K529" s="2" t="s">
        <v>26</v>
      </c>
      <c r="L529" s="2" t="s">
        <v>103</v>
      </c>
      <c r="M529" s="4">
        <v>4.5999999999999996</v>
      </c>
      <c r="N529" s="5">
        <v>52</v>
      </c>
      <c r="O529" s="3">
        <v>45833</v>
      </c>
      <c r="P529" s="2" t="s">
        <v>2391</v>
      </c>
      <c r="Q529" s="2" t="s">
        <v>65</v>
      </c>
      <c r="R529" s="2" t="s">
        <v>104</v>
      </c>
      <c r="S529" s="2" t="s">
        <v>105</v>
      </c>
      <c r="T529" s="2" t="s">
        <v>203</v>
      </c>
    </row>
    <row r="530" spans="1:20" ht="12.5" x14ac:dyDescent="0.25">
      <c r="A530" s="2" t="s">
        <v>1986</v>
      </c>
      <c r="B530" s="2" t="s">
        <v>1175</v>
      </c>
      <c r="C530" s="2" t="s">
        <v>1987</v>
      </c>
      <c r="D530" s="2" t="s">
        <v>1988</v>
      </c>
      <c r="E530" s="2" t="s">
        <v>48</v>
      </c>
      <c r="F530" s="2" t="s">
        <v>25</v>
      </c>
      <c r="G530" s="5">
        <v>2932</v>
      </c>
      <c r="H530" s="5">
        <v>40</v>
      </c>
      <c r="I530" s="5">
        <v>1760</v>
      </c>
      <c r="J530" s="5">
        <v>3</v>
      </c>
      <c r="K530" s="2" t="s">
        <v>72</v>
      </c>
      <c r="L530" s="2" t="s">
        <v>73</v>
      </c>
      <c r="M530" s="4">
        <v>4</v>
      </c>
      <c r="N530" s="5">
        <v>267</v>
      </c>
      <c r="O530" s="3">
        <v>45846</v>
      </c>
      <c r="P530" s="2" t="s">
        <v>2392</v>
      </c>
      <c r="Q530" s="2" t="s">
        <v>65</v>
      </c>
      <c r="R530" s="2" t="s">
        <v>30</v>
      </c>
      <c r="S530" s="2" t="s">
        <v>31</v>
      </c>
      <c r="T530" s="2"/>
    </row>
    <row r="531" spans="1:20" ht="12.5" x14ac:dyDescent="0.25">
      <c r="A531" s="2" t="s">
        <v>1989</v>
      </c>
      <c r="B531" s="2" t="s">
        <v>1990</v>
      </c>
      <c r="C531" s="2" t="s">
        <v>1991</v>
      </c>
      <c r="D531" s="2" t="s">
        <v>1992</v>
      </c>
      <c r="E531" s="2" t="s">
        <v>48</v>
      </c>
      <c r="F531" s="2" t="s">
        <v>25</v>
      </c>
      <c r="G531" s="5">
        <v>604</v>
      </c>
      <c r="H531" s="5">
        <v>10</v>
      </c>
      <c r="I531" s="5">
        <v>544</v>
      </c>
      <c r="J531" s="5">
        <v>3</v>
      </c>
      <c r="K531" s="2" t="s">
        <v>26</v>
      </c>
      <c r="L531" s="2" t="s">
        <v>73</v>
      </c>
      <c r="M531" s="4">
        <v>4.7</v>
      </c>
      <c r="N531" s="5">
        <v>172</v>
      </c>
      <c r="O531" s="3">
        <v>45799</v>
      </c>
      <c r="P531" s="2" t="s">
        <v>2392</v>
      </c>
      <c r="Q531" s="2" t="s">
        <v>78</v>
      </c>
      <c r="R531" s="2" t="s">
        <v>89</v>
      </c>
      <c r="S531" s="2" t="s">
        <v>90</v>
      </c>
      <c r="T531" s="2"/>
    </row>
    <row r="532" spans="1:20" ht="12.5" x14ac:dyDescent="0.25">
      <c r="A532" s="2" t="s">
        <v>1993</v>
      </c>
      <c r="B532" s="2" t="s">
        <v>1073</v>
      </c>
      <c r="C532" s="2" t="s">
        <v>1994</v>
      </c>
      <c r="D532" s="2" t="s">
        <v>1995</v>
      </c>
      <c r="E532" s="2" t="s">
        <v>37</v>
      </c>
      <c r="F532" s="2" t="s">
        <v>38</v>
      </c>
      <c r="G532" s="5">
        <v>1317</v>
      </c>
      <c r="H532" s="5">
        <v>40</v>
      </c>
      <c r="I532" s="5">
        <v>791</v>
      </c>
      <c r="J532" s="5">
        <v>3</v>
      </c>
      <c r="K532" s="2" t="s">
        <v>26</v>
      </c>
      <c r="L532" s="2" t="s">
        <v>168</v>
      </c>
      <c r="M532" s="4">
        <v>4.7</v>
      </c>
      <c r="N532" s="5">
        <v>178</v>
      </c>
      <c r="O532" s="3">
        <v>45812</v>
      </c>
      <c r="P532" s="2" t="s">
        <v>2391</v>
      </c>
      <c r="Q532" s="2" t="s">
        <v>29</v>
      </c>
      <c r="R532" s="2" t="s">
        <v>41</v>
      </c>
      <c r="S532" s="2" t="s">
        <v>42</v>
      </c>
      <c r="T532" s="2" t="s">
        <v>203</v>
      </c>
    </row>
    <row r="533" spans="1:20" ht="12.5" x14ac:dyDescent="0.25">
      <c r="A533" s="2" t="s">
        <v>1996</v>
      </c>
      <c r="B533" s="2" t="s">
        <v>1265</v>
      </c>
      <c r="C533" s="2" t="s">
        <v>1997</v>
      </c>
      <c r="D533" s="2" t="s">
        <v>1998</v>
      </c>
      <c r="E533" s="2" t="s">
        <v>147</v>
      </c>
      <c r="F533" s="2" t="s">
        <v>148</v>
      </c>
      <c r="G533" s="5">
        <v>1900</v>
      </c>
      <c r="H533" s="5">
        <v>10</v>
      </c>
      <c r="I533" s="5">
        <v>1710</v>
      </c>
      <c r="J533" s="5">
        <v>3</v>
      </c>
      <c r="K533" s="2" t="s">
        <v>26</v>
      </c>
      <c r="L533" s="2" t="s">
        <v>39</v>
      </c>
      <c r="M533" s="4">
        <v>4.5</v>
      </c>
      <c r="N533" s="5">
        <v>202</v>
      </c>
      <c r="O533" s="3">
        <v>45778</v>
      </c>
      <c r="P533" s="2" t="s">
        <v>2391</v>
      </c>
      <c r="Q533" s="2" t="s">
        <v>65</v>
      </c>
      <c r="R533" s="2" t="s">
        <v>58</v>
      </c>
      <c r="S533" s="2" t="s">
        <v>59</v>
      </c>
      <c r="T533" s="2" t="s">
        <v>203</v>
      </c>
    </row>
    <row r="534" spans="1:20" ht="12.5" x14ac:dyDescent="0.25">
      <c r="A534" s="2" t="s">
        <v>1999</v>
      </c>
      <c r="B534" s="2" t="s">
        <v>2000</v>
      </c>
      <c r="C534" s="2" t="s">
        <v>2001</v>
      </c>
      <c r="D534" s="2" t="s">
        <v>2002</v>
      </c>
      <c r="E534" s="2" t="s">
        <v>116</v>
      </c>
      <c r="F534" s="2" t="s">
        <v>117</v>
      </c>
      <c r="G534" s="5">
        <v>2335</v>
      </c>
      <c r="H534" s="5">
        <v>20</v>
      </c>
      <c r="I534" s="5">
        <v>1868</v>
      </c>
      <c r="J534" s="5">
        <v>1</v>
      </c>
      <c r="K534" s="2" t="s">
        <v>163</v>
      </c>
      <c r="L534" s="2" t="s">
        <v>168</v>
      </c>
      <c r="M534" s="4">
        <v>4.2</v>
      </c>
      <c r="N534" s="5">
        <v>87</v>
      </c>
      <c r="O534" s="3">
        <v>45798</v>
      </c>
      <c r="P534" s="2" t="s">
        <v>2390</v>
      </c>
      <c r="Q534" s="2" t="s">
        <v>78</v>
      </c>
      <c r="R534" s="2" t="s">
        <v>83</v>
      </c>
      <c r="S534" s="2" t="s">
        <v>83</v>
      </c>
      <c r="T534" s="2"/>
    </row>
    <row r="535" spans="1:20" ht="12.5" x14ac:dyDescent="0.25">
      <c r="A535" s="2" t="s">
        <v>2003</v>
      </c>
      <c r="B535" s="2" t="s">
        <v>659</v>
      </c>
      <c r="C535" s="2" t="s">
        <v>2004</v>
      </c>
      <c r="D535" s="2" t="s">
        <v>2005</v>
      </c>
      <c r="E535" s="2" t="s">
        <v>55</v>
      </c>
      <c r="F535" s="2" t="s">
        <v>38</v>
      </c>
      <c r="G535" s="5">
        <v>2505</v>
      </c>
      <c r="H535" s="5">
        <v>20</v>
      </c>
      <c r="I535" s="5">
        <v>2004</v>
      </c>
      <c r="J535" s="5">
        <v>3</v>
      </c>
      <c r="K535" s="2" t="s">
        <v>56</v>
      </c>
      <c r="L535" s="2" t="s">
        <v>103</v>
      </c>
      <c r="M535" s="4">
        <v>3.8</v>
      </c>
      <c r="N535" s="5">
        <v>80</v>
      </c>
      <c r="O535" s="3">
        <v>45853</v>
      </c>
      <c r="P535" s="2" t="s">
        <v>2390</v>
      </c>
      <c r="Q535" s="2" t="s">
        <v>29</v>
      </c>
      <c r="R535" s="2" t="s">
        <v>41</v>
      </c>
      <c r="S535" s="2" t="s">
        <v>42</v>
      </c>
      <c r="T535" s="2"/>
    </row>
    <row r="536" spans="1:20" ht="12.5" x14ac:dyDescent="0.25">
      <c r="A536" s="2" t="s">
        <v>2006</v>
      </c>
      <c r="B536" s="2" t="s">
        <v>1412</v>
      </c>
      <c r="C536" s="2" t="s">
        <v>2007</v>
      </c>
      <c r="D536" s="2" t="s">
        <v>2008</v>
      </c>
      <c r="E536" s="2" t="s">
        <v>24</v>
      </c>
      <c r="F536" s="2" t="s">
        <v>25</v>
      </c>
      <c r="G536" s="5">
        <v>2591</v>
      </c>
      <c r="H536" s="5">
        <v>15</v>
      </c>
      <c r="I536" s="5">
        <v>2203</v>
      </c>
      <c r="J536" s="5">
        <v>1</v>
      </c>
      <c r="K536" s="2" t="s">
        <v>32</v>
      </c>
      <c r="L536" s="2" t="s">
        <v>88</v>
      </c>
      <c r="M536" s="4">
        <v>4.5</v>
      </c>
      <c r="N536" s="5">
        <v>109</v>
      </c>
      <c r="O536" s="3">
        <v>45769</v>
      </c>
      <c r="P536" s="2" t="s">
        <v>2391</v>
      </c>
      <c r="Q536" s="2" t="s">
        <v>78</v>
      </c>
      <c r="R536" s="2" t="s">
        <v>104</v>
      </c>
      <c r="S536" s="2" t="s">
        <v>105</v>
      </c>
      <c r="T536" s="2" t="s">
        <v>134</v>
      </c>
    </row>
    <row r="537" spans="1:20" ht="12.5" x14ac:dyDescent="0.25">
      <c r="A537" s="2" t="s">
        <v>2009</v>
      </c>
      <c r="B537" s="2" t="s">
        <v>2010</v>
      </c>
      <c r="C537" s="2" t="s">
        <v>2011</v>
      </c>
      <c r="D537" s="2" t="s">
        <v>2012</v>
      </c>
      <c r="E537" s="2" t="s">
        <v>24</v>
      </c>
      <c r="F537" s="2" t="s">
        <v>25</v>
      </c>
      <c r="G537" s="5">
        <v>2641</v>
      </c>
      <c r="H537" s="5">
        <v>10</v>
      </c>
      <c r="I537" s="5">
        <v>2377</v>
      </c>
      <c r="J537" s="5">
        <v>3</v>
      </c>
      <c r="K537" s="2">
        <v>40</v>
      </c>
      <c r="L537" s="2" t="s">
        <v>27</v>
      </c>
      <c r="M537" s="4">
        <v>3.9</v>
      </c>
      <c r="N537" s="5">
        <v>34</v>
      </c>
      <c r="O537" s="3">
        <v>45836</v>
      </c>
      <c r="P537" s="2" t="s">
        <v>2390</v>
      </c>
      <c r="Q537" s="2" t="s">
        <v>65</v>
      </c>
      <c r="R537" s="2" t="s">
        <v>149</v>
      </c>
      <c r="S537" s="2" t="s">
        <v>150</v>
      </c>
      <c r="T537" s="2"/>
    </row>
    <row r="538" spans="1:20" ht="12.5" x14ac:dyDescent="0.25">
      <c r="A538" s="2" t="s">
        <v>2013</v>
      </c>
      <c r="B538" s="2" t="s">
        <v>1807</v>
      </c>
      <c r="C538" s="2" t="s">
        <v>2014</v>
      </c>
      <c r="D538" s="2" t="s">
        <v>2015</v>
      </c>
      <c r="E538" s="2" t="s">
        <v>116</v>
      </c>
      <c r="F538" s="2" t="s">
        <v>117</v>
      </c>
      <c r="G538" s="5">
        <v>2832</v>
      </c>
      <c r="H538" s="5">
        <v>20</v>
      </c>
      <c r="I538" s="5">
        <v>2266</v>
      </c>
      <c r="J538" s="5">
        <v>3</v>
      </c>
      <c r="K538" s="2">
        <v>40</v>
      </c>
      <c r="L538" s="2" t="s">
        <v>103</v>
      </c>
      <c r="M538" s="4">
        <v>3.8</v>
      </c>
      <c r="N538" s="5">
        <v>68</v>
      </c>
      <c r="O538" s="3">
        <v>45856</v>
      </c>
      <c r="P538" s="2" t="s">
        <v>2392</v>
      </c>
      <c r="Q538" s="2" t="s">
        <v>78</v>
      </c>
      <c r="R538" s="2" t="s">
        <v>58</v>
      </c>
      <c r="S538" s="2" t="s">
        <v>59</v>
      </c>
      <c r="T538" s="2"/>
    </row>
    <row r="539" spans="1:20" ht="12.5" x14ac:dyDescent="0.25">
      <c r="A539" s="2" t="s">
        <v>2016</v>
      </c>
      <c r="B539" s="2" t="s">
        <v>2017</v>
      </c>
      <c r="C539" s="2" t="s">
        <v>2018</v>
      </c>
      <c r="D539" s="2" t="s">
        <v>2019</v>
      </c>
      <c r="E539" s="2" t="s">
        <v>147</v>
      </c>
      <c r="F539" s="2" t="s">
        <v>148</v>
      </c>
      <c r="G539" s="5">
        <v>4272</v>
      </c>
      <c r="H539" s="5">
        <v>10</v>
      </c>
      <c r="I539" s="5">
        <v>3845</v>
      </c>
      <c r="J539" s="5">
        <v>3</v>
      </c>
      <c r="K539" s="2" t="s">
        <v>32</v>
      </c>
      <c r="L539" s="2" t="s">
        <v>103</v>
      </c>
      <c r="M539" s="4">
        <v>4.5</v>
      </c>
      <c r="N539" s="5">
        <v>188</v>
      </c>
      <c r="O539" s="3">
        <v>45787</v>
      </c>
      <c r="P539" s="2" t="s">
        <v>2390</v>
      </c>
      <c r="Q539" s="2" t="s">
        <v>78</v>
      </c>
      <c r="R539" s="2" t="s">
        <v>110</v>
      </c>
      <c r="S539" s="2" t="s">
        <v>111</v>
      </c>
      <c r="T539" s="2"/>
    </row>
    <row r="540" spans="1:20" ht="12.5" x14ac:dyDescent="0.25">
      <c r="A540" s="2" t="s">
        <v>2020</v>
      </c>
      <c r="B540" s="2" t="s">
        <v>307</v>
      </c>
      <c r="C540" s="2" t="s">
        <v>2021</v>
      </c>
      <c r="D540" s="2" t="s">
        <v>2022</v>
      </c>
      <c r="E540" s="2" t="s">
        <v>37</v>
      </c>
      <c r="F540" s="2" t="s">
        <v>38</v>
      </c>
      <c r="G540" s="5">
        <v>3097</v>
      </c>
      <c r="H540" s="5">
        <v>40</v>
      </c>
      <c r="I540" s="5">
        <v>1859</v>
      </c>
      <c r="J540" s="5">
        <v>1</v>
      </c>
      <c r="K540" s="2">
        <v>40</v>
      </c>
      <c r="L540" s="2" t="s">
        <v>168</v>
      </c>
      <c r="M540" s="4">
        <v>4.8</v>
      </c>
      <c r="N540" s="5">
        <v>195</v>
      </c>
      <c r="O540" s="3">
        <v>45819</v>
      </c>
      <c r="P540" s="2" t="s">
        <v>2392</v>
      </c>
      <c r="Q540" s="2" t="s">
        <v>78</v>
      </c>
      <c r="R540" s="2" t="s">
        <v>30</v>
      </c>
      <c r="S540" s="2" t="s">
        <v>31</v>
      </c>
      <c r="T540" s="2"/>
    </row>
    <row r="541" spans="1:20" ht="12.5" x14ac:dyDescent="0.25">
      <c r="A541" s="2" t="s">
        <v>2023</v>
      </c>
      <c r="B541" s="2" t="s">
        <v>2024</v>
      </c>
      <c r="C541" s="2" t="s">
        <v>2025</v>
      </c>
      <c r="D541" s="2" t="s">
        <v>2026</v>
      </c>
      <c r="E541" s="2" t="s">
        <v>132</v>
      </c>
      <c r="F541" s="2" t="s">
        <v>38</v>
      </c>
      <c r="G541" s="5">
        <v>2185</v>
      </c>
      <c r="H541" s="5">
        <v>15</v>
      </c>
      <c r="I541" s="5">
        <v>1858</v>
      </c>
      <c r="J541" s="5">
        <v>2</v>
      </c>
      <c r="K541" s="2" t="s">
        <v>261</v>
      </c>
      <c r="L541" s="2" t="s">
        <v>49</v>
      </c>
      <c r="M541" s="4">
        <v>4.8</v>
      </c>
      <c r="N541" s="5">
        <v>215</v>
      </c>
      <c r="O541" s="3">
        <v>45840</v>
      </c>
      <c r="P541" s="2" t="s">
        <v>2392</v>
      </c>
      <c r="Q541" s="2" t="s">
        <v>65</v>
      </c>
      <c r="R541" s="2" t="s">
        <v>58</v>
      </c>
      <c r="S541" s="2" t="s">
        <v>59</v>
      </c>
      <c r="T541" s="2"/>
    </row>
    <row r="542" spans="1:20" ht="12.5" x14ac:dyDescent="0.25">
      <c r="A542" s="2" t="s">
        <v>2027</v>
      </c>
      <c r="B542" s="2" t="s">
        <v>769</v>
      </c>
      <c r="C542" s="2" t="s">
        <v>2028</v>
      </c>
      <c r="D542" s="2" t="s">
        <v>2029</v>
      </c>
      <c r="E542" s="2" t="s">
        <v>247</v>
      </c>
      <c r="F542" s="2" t="s">
        <v>248</v>
      </c>
      <c r="G542" s="5">
        <v>2573</v>
      </c>
      <c r="H542" s="5">
        <v>20</v>
      </c>
      <c r="I542" s="5">
        <v>2059</v>
      </c>
      <c r="J542" s="5">
        <v>3</v>
      </c>
      <c r="K542" s="2" t="s">
        <v>32</v>
      </c>
      <c r="L542" s="2" t="s">
        <v>168</v>
      </c>
      <c r="M542" s="4">
        <v>4.5</v>
      </c>
      <c r="N542" s="5">
        <v>228</v>
      </c>
      <c r="O542" s="3">
        <v>45787</v>
      </c>
      <c r="P542" s="2" t="s">
        <v>2392</v>
      </c>
      <c r="Q542" s="2" t="s">
        <v>65</v>
      </c>
      <c r="R542" s="2" t="s">
        <v>41</v>
      </c>
      <c r="S542" s="2" t="s">
        <v>42</v>
      </c>
      <c r="T542" s="2"/>
    </row>
    <row r="543" spans="1:20" ht="12.5" x14ac:dyDescent="0.25">
      <c r="A543" s="2" t="s">
        <v>2030</v>
      </c>
      <c r="B543" s="2" t="s">
        <v>1284</v>
      </c>
      <c r="C543" s="2" t="s">
        <v>2031</v>
      </c>
      <c r="D543" s="2" t="s">
        <v>2032</v>
      </c>
      <c r="E543" s="2" t="s">
        <v>247</v>
      </c>
      <c r="F543" s="2" t="s">
        <v>248</v>
      </c>
      <c r="G543" s="5">
        <v>2963</v>
      </c>
      <c r="H543" s="5">
        <v>30</v>
      </c>
      <c r="I543" s="5">
        <v>2075</v>
      </c>
      <c r="J543" s="5">
        <v>3</v>
      </c>
      <c r="K543" s="2">
        <v>44</v>
      </c>
      <c r="L543" s="2" t="s">
        <v>168</v>
      </c>
      <c r="M543" s="4">
        <v>4.4000000000000004</v>
      </c>
      <c r="N543" s="5">
        <v>205</v>
      </c>
      <c r="O543" s="3">
        <v>45782</v>
      </c>
      <c r="P543" s="2" t="s">
        <v>2391</v>
      </c>
      <c r="Q543" s="2" t="s">
        <v>29</v>
      </c>
      <c r="R543" s="2" t="s">
        <v>149</v>
      </c>
      <c r="S543" s="2" t="s">
        <v>150</v>
      </c>
      <c r="T543" s="2"/>
    </row>
    <row r="544" spans="1:20" ht="12.5" x14ac:dyDescent="0.25">
      <c r="A544" s="2" t="s">
        <v>2033</v>
      </c>
      <c r="B544" s="2" t="s">
        <v>464</v>
      </c>
      <c r="C544" s="2" t="s">
        <v>2034</v>
      </c>
      <c r="D544" s="2" t="s">
        <v>2035</v>
      </c>
      <c r="E544" s="2" t="s">
        <v>48</v>
      </c>
      <c r="F544" s="2" t="s">
        <v>25</v>
      </c>
      <c r="G544" s="5">
        <v>1646</v>
      </c>
      <c r="H544" s="5">
        <v>20</v>
      </c>
      <c r="I544" s="5">
        <v>1317</v>
      </c>
      <c r="J544" s="5">
        <v>3</v>
      </c>
      <c r="K544" s="2">
        <v>40</v>
      </c>
      <c r="L544" s="2" t="s">
        <v>168</v>
      </c>
      <c r="M544" s="4">
        <v>4.8</v>
      </c>
      <c r="N544" s="5">
        <v>191</v>
      </c>
      <c r="O544" s="3">
        <v>45840</v>
      </c>
      <c r="P544" s="2" t="s">
        <v>2392</v>
      </c>
      <c r="Q544" s="2" t="s">
        <v>78</v>
      </c>
      <c r="R544" s="2" t="s">
        <v>66</v>
      </c>
      <c r="S544" s="2" t="s">
        <v>67</v>
      </c>
      <c r="T544" s="2"/>
    </row>
    <row r="545" spans="1:20" ht="12.5" x14ac:dyDescent="0.25">
      <c r="A545" s="2" t="s">
        <v>2036</v>
      </c>
      <c r="B545" s="2" t="s">
        <v>136</v>
      </c>
      <c r="C545" s="2" t="s">
        <v>2037</v>
      </c>
      <c r="D545" s="2" t="s">
        <v>2038</v>
      </c>
      <c r="E545" s="2" t="s">
        <v>122</v>
      </c>
      <c r="F545" s="2" t="s">
        <v>123</v>
      </c>
      <c r="G545" s="5">
        <v>3935</v>
      </c>
      <c r="H545" s="5">
        <v>20</v>
      </c>
      <c r="I545" s="5">
        <v>3148</v>
      </c>
      <c r="J545" s="5">
        <v>3</v>
      </c>
      <c r="K545" s="2" t="s">
        <v>56</v>
      </c>
      <c r="L545" s="2" t="s">
        <v>88</v>
      </c>
      <c r="M545" s="4">
        <v>4.2</v>
      </c>
      <c r="N545" s="5">
        <v>252</v>
      </c>
      <c r="O545" s="3">
        <v>45790</v>
      </c>
      <c r="P545" s="2" t="s">
        <v>2390</v>
      </c>
      <c r="Q545" s="2" t="s">
        <v>29</v>
      </c>
      <c r="R545" s="2" t="s">
        <v>66</v>
      </c>
      <c r="S545" s="2" t="s">
        <v>67</v>
      </c>
      <c r="T545" s="2"/>
    </row>
    <row r="546" spans="1:20" ht="12.5" x14ac:dyDescent="0.25">
      <c r="A546" s="2" t="s">
        <v>2039</v>
      </c>
      <c r="B546" s="2" t="s">
        <v>2040</v>
      </c>
      <c r="C546" s="2" t="s">
        <v>2041</v>
      </c>
      <c r="D546" s="2" t="s">
        <v>2042</v>
      </c>
      <c r="E546" s="2" t="s">
        <v>147</v>
      </c>
      <c r="F546" s="2" t="s">
        <v>148</v>
      </c>
      <c r="G546" s="5">
        <v>4654</v>
      </c>
      <c r="H546" s="5">
        <v>10</v>
      </c>
      <c r="I546" s="5">
        <v>4189</v>
      </c>
      <c r="J546" s="5">
        <v>2</v>
      </c>
      <c r="K546" s="2" t="s">
        <v>72</v>
      </c>
      <c r="L546" s="2" t="s">
        <v>27</v>
      </c>
      <c r="M546" s="4">
        <v>3.6</v>
      </c>
      <c r="N546" s="5">
        <v>125</v>
      </c>
      <c r="O546" s="3">
        <v>45832</v>
      </c>
      <c r="P546" s="2" t="s">
        <v>2391</v>
      </c>
      <c r="Q546" s="2" t="s">
        <v>78</v>
      </c>
      <c r="R546" s="2" t="s">
        <v>30</v>
      </c>
      <c r="S546" s="2" t="s">
        <v>31</v>
      </c>
      <c r="T546" s="2" t="s">
        <v>50</v>
      </c>
    </row>
    <row r="547" spans="1:20" ht="12.5" x14ac:dyDescent="0.25">
      <c r="A547" s="2" t="s">
        <v>2043</v>
      </c>
      <c r="B547" s="2" t="s">
        <v>1765</v>
      </c>
      <c r="C547" s="2" t="s">
        <v>2044</v>
      </c>
      <c r="D547" s="2" t="s">
        <v>2045</v>
      </c>
      <c r="E547" s="2" t="s">
        <v>24</v>
      </c>
      <c r="F547" s="2" t="s">
        <v>25</v>
      </c>
      <c r="G547" s="5">
        <v>3692</v>
      </c>
      <c r="H547" s="5">
        <v>20</v>
      </c>
      <c r="I547" s="5">
        <v>2954</v>
      </c>
      <c r="J547" s="5">
        <v>1</v>
      </c>
      <c r="K547" s="2" t="s">
        <v>261</v>
      </c>
      <c r="L547" s="2" t="s">
        <v>168</v>
      </c>
      <c r="M547" s="4">
        <v>4.8</v>
      </c>
      <c r="N547" s="5">
        <v>68</v>
      </c>
      <c r="O547" s="3">
        <v>45793</v>
      </c>
      <c r="P547" s="2" t="s">
        <v>2392</v>
      </c>
      <c r="Q547" s="2" t="s">
        <v>29</v>
      </c>
      <c r="R547" s="2" t="s">
        <v>83</v>
      </c>
      <c r="S547" s="2" t="s">
        <v>83</v>
      </c>
      <c r="T547" s="2"/>
    </row>
    <row r="548" spans="1:20" ht="12.5" x14ac:dyDescent="0.25">
      <c r="A548" s="2" t="s">
        <v>2046</v>
      </c>
      <c r="B548" s="2" t="s">
        <v>295</v>
      </c>
      <c r="C548" s="2" t="s">
        <v>2047</v>
      </c>
      <c r="D548" s="2" t="s">
        <v>2048</v>
      </c>
      <c r="E548" s="2" t="s">
        <v>24</v>
      </c>
      <c r="F548" s="2" t="s">
        <v>25</v>
      </c>
      <c r="G548" s="5">
        <v>4250</v>
      </c>
      <c r="H548" s="5">
        <v>35</v>
      </c>
      <c r="I548" s="5">
        <v>2763</v>
      </c>
      <c r="J548" s="5">
        <v>1</v>
      </c>
      <c r="K548" s="2" t="s">
        <v>226</v>
      </c>
      <c r="L548" s="2" t="s">
        <v>39</v>
      </c>
      <c r="M548" s="4">
        <v>4.4000000000000004</v>
      </c>
      <c r="N548" s="5">
        <v>124</v>
      </c>
      <c r="O548" s="3">
        <v>45800</v>
      </c>
      <c r="P548" s="2" t="s">
        <v>2391</v>
      </c>
      <c r="Q548" s="2" t="s">
        <v>29</v>
      </c>
      <c r="R548" s="2" t="s">
        <v>58</v>
      </c>
      <c r="S548" s="2" t="s">
        <v>59</v>
      </c>
      <c r="T548" s="2" t="s">
        <v>43</v>
      </c>
    </row>
    <row r="549" spans="1:20" ht="12.5" x14ac:dyDescent="0.25">
      <c r="A549" s="2" t="s">
        <v>2049</v>
      </c>
      <c r="B549" s="2" t="s">
        <v>1909</v>
      </c>
      <c r="C549" s="2" t="s">
        <v>2050</v>
      </c>
      <c r="D549" s="2" t="s">
        <v>2051</v>
      </c>
      <c r="E549" s="2" t="s">
        <v>116</v>
      </c>
      <c r="F549" s="2" t="s">
        <v>117</v>
      </c>
      <c r="G549" s="5">
        <v>4728</v>
      </c>
      <c r="H549" s="5">
        <v>10</v>
      </c>
      <c r="I549" s="5">
        <v>4256</v>
      </c>
      <c r="J549" s="5">
        <v>3</v>
      </c>
      <c r="K549" s="2" t="s">
        <v>56</v>
      </c>
      <c r="L549" s="2" t="s">
        <v>27</v>
      </c>
      <c r="M549" s="4">
        <v>4.9000000000000004</v>
      </c>
      <c r="N549" s="5">
        <v>249</v>
      </c>
      <c r="O549" s="3">
        <v>45825</v>
      </c>
      <c r="P549" s="2" t="s">
        <v>2391</v>
      </c>
      <c r="Q549" s="2" t="s">
        <v>29</v>
      </c>
      <c r="R549" s="2" t="s">
        <v>58</v>
      </c>
      <c r="S549" s="2" t="s">
        <v>59</v>
      </c>
      <c r="T549" s="2" t="s">
        <v>43</v>
      </c>
    </row>
    <row r="550" spans="1:20" ht="12.5" x14ac:dyDescent="0.25">
      <c r="A550" s="2" t="s">
        <v>2052</v>
      </c>
      <c r="B550" s="2" t="s">
        <v>2053</v>
      </c>
      <c r="C550" s="2" t="s">
        <v>2054</v>
      </c>
      <c r="D550" s="2" t="s">
        <v>2055</v>
      </c>
      <c r="E550" s="2" t="s">
        <v>247</v>
      </c>
      <c r="F550" s="2" t="s">
        <v>248</v>
      </c>
      <c r="G550" s="5">
        <v>3716</v>
      </c>
      <c r="H550" s="5">
        <v>20</v>
      </c>
      <c r="I550" s="5">
        <v>2973</v>
      </c>
      <c r="J550" s="5">
        <v>1</v>
      </c>
      <c r="K550" s="2" t="s">
        <v>163</v>
      </c>
      <c r="L550" s="2" t="s">
        <v>27</v>
      </c>
      <c r="M550" s="4">
        <v>4.5999999999999996</v>
      </c>
      <c r="N550" s="5">
        <v>105</v>
      </c>
      <c r="O550" s="3">
        <v>45773</v>
      </c>
      <c r="P550" s="2" t="s">
        <v>2392</v>
      </c>
      <c r="Q550" s="2" t="s">
        <v>29</v>
      </c>
      <c r="R550" s="2" t="s">
        <v>83</v>
      </c>
      <c r="S550" s="2" t="s">
        <v>83</v>
      </c>
      <c r="T550" s="2"/>
    </row>
    <row r="551" spans="1:20" ht="12.5" x14ac:dyDescent="0.25">
      <c r="A551" s="2" t="s">
        <v>2056</v>
      </c>
      <c r="B551" s="2" t="s">
        <v>948</v>
      </c>
      <c r="C551" s="2" t="s">
        <v>2057</v>
      </c>
      <c r="D551" s="2" t="s">
        <v>2058</v>
      </c>
      <c r="E551" s="2" t="s">
        <v>48</v>
      </c>
      <c r="F551" s="2" t="s">
        <v>25</v>
      </c>
      <c r="G551" s="5">
        <v>1765</v>
      </c>
      <c r="H551" s="5">
        <v>20</v>
      </c>
      <c r="I551" s="5">
        <v>1412</v>
      </c>
      <c r="J551" s="5">
        <v>2</v>
      </c>
      <c r="K551" s="2" t="s">
        <v>26</v>
      </c>
      <c r="L551" s="2" t="s">
        <v>88</v>
      </c>
      <c r="M551" s="4">
        <v>4.9000000000000004</v>
      </c>
      <c r="N551" s="5">
        <v>78</v>
      </c>
      <c r="O551" s="3">
        <v>45805</v>
      </c>
      <c r="P551" s="2" t="s">
        <v>2392</v>
      </c>
      <c r="Q551" s="2" t="s">
        <v>78</v>
      </c>
      <c r="R551" s="2" t="s">
        <v>149</v>
      </c>
      <c r="S551" s="2" t="s">
        <v>150</v>
      </c>
      <c r="T551" s="2"/>
    </row>
    <row r="552" spans="1:20" ht="12.5" x14ac:dyDescent="0.25">
      <c r="A552" s="2" t="s">
        <v>2059</v>
      </c>
      <c r="B552" s="2" t="s">
        <v>897</v>
      </c>
      <c r="C552" s="2" t="s">
        <v>2060</v>
      </c>
      <c r="D552" s="2" t="s">
        <v>2061</v>
      </c>
      <c r="E552" s="2" t="s">
        <v>132</v>
      </c>
      <c r="F552" s="2" t="s">
        <v>38</v>
      </c>
      <c r="G552" s="5">
        <v>2373</v>
      </c>
      <c r="H552" s="5">
        <v>15</v>
      </c>
      <c r="I552" s="5">
        <v>2018</v>
      </c>
      <c r="J552" s="5">
        <v>3</v>
      </c>
      <c r="K552" s="2">
        <v>42</v>
      </c>
      <c r="L552" s="2" t="s">
        <v>49</v>
      </c>
      <c r="M552" s="4">
        <v>4.2</v>
      </c>
      <c r="N552" s="5">
        <v>186</v>
      </c>
      <c r="O552" s="3">
        <v>45816</v>
      </c>
      <c r="P552" s="2" t="s">
        <v>2391</v>
      </c>
      <c r="Q552" s="2" t="s">
        <v>65</v>
      </c>
      <c r="R552" s="2" t="s">
        <v>104</v>
      </c>
      <c r="S552" s="2" t="s">
        <v>105</v>
      </c>
      <c r="T552" s="2"/>
    </row>
    <row r="553" spans="1:20" ht="12.5" x14ac:dyDescent="0.25">
      <c r="A553" s="2" t="s">
        <v>2062</v>
      </c>
      <c r="B553" s="2" t="s">
        <v>2063</v>
      </c>
      <c r="C553" s="2" t="s">
        <v>2064</v>
      </c>
      <c r="D553" s="2" t="s">
        <v>2065</v>
      </c>
      <c r="E553" s="2" t="s">
        <v>116</v>
      </c>
      <c r="F553" s="2" t="s">
        <v>117</v>
      </c>
      <c r="G553" s="5">
        <v>2708</v>
      </c>
      <c r="H553" s="5">
        <v>15</v>
      </c>
      <c r="I553" s="5">
        <v>2302</v>
      </c>
      <c r="J553" s="5">
        <v>1</v>
      </c>
      <c r="K553" s="2" t="s">
        <v>72</v>
      </c>
      <c r="L553" s="2" t="s">
        <v>39</v>
      </c>
      <c r="M553" s="4">
        <v>4.5999999999999996</v>
      </c>
      <c r="N553" s="5">
        <v>35</v>
      </c>
      <c r="O553" s="3">
        <v>45790</v>
      </c>
      <c r="P553" s="2" t="s">
        <v>2392</v>
      </c>
      <c r="Q553" s="2" t="s">
        <v>29</v>
      </c>
      <c r="R553" s="2" t="s">
        <v>58</v>
      </c>
      <c r="S553" s="2" t="s">
        <v>59</v>
      </c>
      <c r="T553" s="2"/>
    </row>
    <row r="554" spans="1:20" ht="12.5" x14ac:dyDescent="0.25">
      <c r="A554" s="2" t="s">
        <v>2066</v>
      </c>
      <c r="B554" s="2" t="s">
        <v>140</v>
      </c>
      <c r="C554" s="2" t="s">
        <v>2067</v>
      </c>
      <c r="D554" s="2" t="s">
        <v>2068</v>
      </c>
      <c r="E554" s="2" t="s">
        <v>147</v>
      </c>
      <c r="F554" s="2" t="s">
        <v>148</v>
      </c>
      <c r="G554" s="5">
        <v>683</v>
      </c>
      <c r="H554" s="5">
        <v>15</v>
      </c>
      <c r="I554" s="5">
        <v>581</v>
      </c>
      <c r="J554" s="5">
        <v>1</v>
      </c>
      <c r="K554" s="2" t="s">
        <v>26</v>
      </c>
      <c r="L554" s="2" t="s">
        <v>39</v>
      </c>
      <c r="M554" s="4">
        <v>4.0999999999999996</v>
      </c>
      <c r="N554" s="5">
        <v>52</v>
      </c>
      <c r="O554" s="3">
        <v>45771</v>
      </c>
      <c r="P554" s="2" t="s">
        <v>2392</v>
      </c>
      <c r="Q554" s="2" t="s">
        <v>78</v>
      </c>
      <c r="R554" s="2" t="s">
        <v>58</v>
      </c>
      <c r="S554" s="2" t="s">
        <v>59</v>
      </c>
      <c r="T554" s="2"/>
    </row>
    <row r="555" spans="1:20" ht="12.5" x14ac:dyDescent="0.25">
      <c r="A555" s="2" t="s">
        <v>2069</v>
      </c>
      <c r="B555" s="2" t="s">
        <v>228</v>
      </c>
      <c r="C555" s="2" t="s">
        <v>2070</v>
      </c>
      <c r="D555" s="2" t="s">
        <v>2071</v>
      </c>
      <c r="E555" s="2" t="s">
        <v>122</v>
      </c>
      <c r="F555" s="2" t="s">
        <v>123</v>
      </c>
      <c r="G555" s="5">
        <v>4380</v>
      </c>
      <c r="H555" s="5">
        <v>35</v>
      </c>
      <c r="I555" s="5">
        <v>2847</v>
      </c>
      <c r="J555" s="5">
        <v>1</v>
      </c>
      <c r="K555" s="2" t="s">
        <v>226</v>
      </c>
      <c r="L555" s="2" t="s">
        <v>39</v>
      </c>
      <c r="M555" s="4">
        <v>4.8</v>
      </c>
      <c r="N555" s="5">
        <v>64</v>
      </c>
      <c r="O555" s="3">
        <v>45847</v>
      </c>
      <c r="P555" s="2" t="s">
        <v>2391</v>
      </c>
      <c r="Q555" s="2" t="s">
        <v>78</v>
      </c>
      <c r="R555" s="2" t="s">
        <v>83</v>
      </c>
      <c r="S555" s="2" t="s">
        <v>83</v>
      </c>
      <c r="T555" s="2" t="s">
        <v>43</v>
      </c>
    </row>
    <row r="556" spans="1:20" ht="12.5" x14ac:dyDescent="0.25">
      <c r="A556" s="2" t="s">
        <v>2072</v>
      </c>
      <c r="B556" s="2" t="s">
        <v>2073</v>
      </c>
      <c r="C556" s="2" t="s">
        <v>2074</v>
      </c>
      <c r="D556" s="2" t="s">
        <v>2075</v>
      </c>
      <c r="E556" s="2" t="s">
        <v>132</v>
      </c>
      <c r="F556" s="2" t="s">
        <v>38</v>
      </c>
      <c r="G556" s="5">
        <v>2605</v>
      </c>
      <c r="H556" s="5">
        <v>10</v>
      </c>
      <c r="I556" s="5">
        <v>2345</v>
      </c>
      <c r="J556" s="5">
        <v>1</v>
      </c>
      <c r="K556" s="2" t="s">
        <v>261</v>
      </c>
      <c r="L556" s="2" t="s">
        <v>73</v>
      </c>
      <c r="M556" s="4">
        <v>4.5</v>
      </c>
      <c r="N556" s="5">
        <v>41</v>
      </c>
      <c r="O556" s="3">
        <v>45786</v>
      </c>
      <c r="P556" s="2" t="s">
        <v>2390</v>
      </c>
      <c r="Q556" s="2" t="s">
        <v>78</v>
      </c>
      <c r="R556" s="2" t="s">
        <v>83</v>
      </c>
      <c r="S556" s="2" t="s">
        <v>83</v>
      </c>
      <c r="T556" s="2"/>
    </row>
    <row r="557" spans="1:20" ht="12.5" x14ac:dyDescent="0.25">
      <c r="A557" s="2" t="s">
        <v>2076</v>
      </c>
      <c r="B557" s="2" t="s">
        <v>769</v>
      </c>
      <c r="C557" s="2" t="s">
        <v>2077</v>
      </c>
      <c r="D557" s="2" t="s">
        <v>2078</v>
      </c>
      <c r="E557" s="2" t="s">
        <v>37</v>
      </c>
      <c r="F557" s="2" t="s">
        <v>38</v>
      </c>
      <c r="G557" s="5">
        <v>4198</v>
      </c>
      <c r="H557" s="5">
        <v>25</v>
      </c>
      <c r="I557" s="5">
        <v>3149</v>
      </c>
      <c r="J557" s="5">
        <v>1</v>
      </c>
      <c r="K557" s="2">
        <v>42</v>
      </c>
      <c r="L557" s="2" t="s">
        <v>209</v>
      </c>
      <c r="M557" s="4">
        <v>4.2</v>
      </c>
      <c r="N557" s="5">
        <v>141</v>
      </c>
      <c r="O557" s="3">
        <v>45823</v>
      </c>
      <c r="P557" s="2" t="s">
        <v>2390</v>
      </c>
      <c r="Q557" s="2" t="s">
        <v>78</v>
      </c>
      <c r="R557" s="2" t="s">
        <v>89</v>
      </c>
      <c r="S557" s="2" t="s">
        <v>90</v>
      </c>
      <c r="T557" s="2"/>
    </row>
    <row r="558" spans="1:20" ht="12.5" x14ac:dyDescent="0.25">
      <c r="A558" s="2" t="s">
        <v>2079</v>
      </c>
      <c r="B558" s="2" t="s">
        <v>1254</v>
      </c>
      <c r="C558" s="2" t="s">
        <v>2080</v>
      </c>
      <c r="D558" s="2" t="s">
        <v>2081</v>
      </c>
      <c r="E558" s="2" t="s">
        <v>208</v>
      </c>
      <c r="F558" s="2" t="s">
        <v>117</v>
      </c>
      <c r="G558" s="5">
        <v>1717</v>
      </c>
      <c r="H558" s="5">
        <v>10</v>
      </c>
      <c r="I558" s="5">
        <v>1546</v>
      </c>
      <c r="J558" s="5">
        <v>2</v>
      </c>
      <c r="K558" s="2" t="s">
        <v>261</v>
      </c>
      <c r="L558" s="2" t="s">
        <v>133</v>
      </c>
      <c r="M558" s="4">
        <v>3.7</v>
      </c>
      <c r="N558" s="5">
        <v>148</v>
      </c>
      <c r="O558" s="3">
        <v>45850</v>
      </c>
      <c r="P558" s="2" t="s">
        <v>2392</v>
      </c>
      <c r="Q558" s="2" t="s">
        <v>65</v>
      </c>
      <c r="R558" s="2" t="s">
        <v>58</v>
      </c>
      <c r="S558" s="2" t="s">
        <v>59</v>
      </c>
      <c r="T558" s="2"/>
    </row>
    <row r="559" spans="1:20" ht="12.5" x14ac:dyDescent="0.25">
      <c r="A559" s="2" t="s">
        <v>2082</v>
      </c>
      <c r="B559" s="2" t="s">
        <v>2083</v>
      </c>
      <c r="C559" s="2" t="s">
        <v>2084</v>
      </c>
      <c r="D559" s="2" t="s">
        <v>2085</v>
      </c>
      <c r="E559" s="2" t="s">
        <v>247</v>
      </c>
      <c r="F559" s="2" t="s">
        <v>248</v>
      </c>
      <c r="G559" s="5">
        <v>1142</v>
      </c>
      <c r="H559" s="5">
        <v>20</v>
      </c>
      <c r="I559" s="5">
        <v>914</v>
      </c>
      <c r="J559" s="5">
        <v>3</v>
      </c>
      <c r="K559" s="2">
        <v>40</v>
      </c>
      <c r="L559" s="2" t="s">
        <v>73</v>
      </c>
      <c r="M559" s="4">
        <v>3.5</v>
      </c>
      <c r="N559" s="5">
        <v>72</v>
      </c>
      <c r="O559" s="3">
        <v>45797</v>
      </c>
      <c r="P559" s="2" t="s">
        <v>2392</v>
      </c>
      <c r="Q559" s="2" t="s">
        <v>78</v>
      </c>
      <c r="R559" s="2" t="s">
        <v>58</v>
      </c>
      <c r="S559" s="2" t="s">
        <v>59</v>
      </c>
      <c r="T559" s="2"/>
    </row>
    <row r="560" spans="1:20" ht="12.5" x14ac:dyDescent="0.25">
      <c r="A560" s="2" t="s">
        <v>2086</v>
      </c>
      <c r="B560" s="2" t="s">
        <v>271</v>
      </c>
      <c r="C560" s="2" t="s">
        <v>2087</v>
      </c>
      <c r="D560" s="2" t="s">
        <v>2088</v>
      </c>
      <c r="E560" s="2" t="s">
        <v>37</v>
      </c>
      <c r="F560" s="2" t="s">
        <v>38</v>
      </c>
      <c r="G560" s="5">
        <v>2616</v>
      </c>
      <c r="H560" s="5">
        <v>25</v>
      </c>
      <c r="I560" s="5">
        <v>1962</v>
      </c>
      <c r="J560" s="5">
        <v>3</v>
      </c>
      <c r="K560" s="2">
        <v>42</v>
      </c>
      <c r="L560" s="2" t="s">
        <v>168</v>
      </c>
      <c r="M560" s="4">
        <v>4.7</v>
      </c>
      <c r="N560" s="5">
        <v>268</v>
      </c>
      <c r="O560" s="3">
        <v>45827</v>
      </c>
      <c r="P560" s="2" t="s">
        <v>2391</v>
      </c>
      <c r="Q560" s="2" t="s">
        <v>65</v>
      </c>
      <c r="R560" s="2" t="s">
        <v>149</v>
      </c>
      <c r="S560" s="2" t="s">
        <v>150</v>
      </c>
      <c r="T560" s="2" t="s">
        <v>203</v>
      </c>
    </row>
    <row r="561" spans="1:20" ht="12.5" x14ac:dyDescent="0.25">
      <c r="A561" s="2" t="s">
        <v>2089</v>
      </c>
      <c r="B561" s="2" t="s">
        <v>599</v>
      </c>
      <c r="C561" s="2" t="s">
        <v>2090</v>
      </c>
      <c r="D561" s="2" t="s">
        <v>2091</v>
      </c>
      <c r="E561" s="2" t="s">
        <v>208</v>
      </c>
      <c r="F561" s="2" t="s">
        <v>117</v>
      </c>
      <c r="G561" s="5">
        <v>4753</v>
      </c>
      <c r="H561" s="5">
        <v>20</v>
      </c>
      <c r="I561" s="5">
        <v>3803</v>
      </c>
      <c r="J561" s="5">
        <v>3</v>
      </c>
      <c r="K561" s="2">
        <v>44</v>
      </c>
      <c r="L561" s="2" t="s">
        <v>39</v>
      </c>
      <c r="M561" s="4">
        <v>4.5</v>
      </c>
      <c r="N561" s="5">
        <v>253</v>
      </c>
      <c r="O561" s="3">
        <v>45827</v>
      </c>
      <c r="P561" s="2" t="s">
        <v>2391</v>
      </c>
      <c r="Q561" s="2" t="s">
        <v>29</v>
      </c>
      <c r="R561" s="2" t="s">
        <v>104</v>
      </c>
      <c r="S561" s="2" t="s">
        <v>105</v>
      </c>
      <c r="T561" s="2" t="s">
        <v>43</v>
      </c>
    </row>
    <row r="562" spans="1:20" ht="12.5" x14ac:dyDescent="0.25">
      <c r="A562" s="2" t="s">
        <v>2092</v>
      </c>
      <c r="B562" s="2" t="s">
        <v>2093</v>
      </c>
      <c r="C562" s="2" t="s">
        <v>2094</v>
      </c>
      <c r="D562" s="2" t="s">
        <v>2095</v>
      </c>
      <c r="E562" s="2" t="s">
        <v>132</v>
      </c>
      <c r="F562" s="2" t="s">
        <v>38</v>
      </c>
      <c r="G562" s="5">
        <v>2539</v>
      </c>
      <c r="H562" s="5">
        <v>10</v>
      </c>
      <c r="I562" s="5">
        <v>2286</v>
      </c>
      <c r="J562" s="5">
        <v>3</v>
      </c>
      <c r="K562" s="2" t="s">
        <v>72</v>
      </c>
      <c r="L562" s="2" t="s">
        <v>27</v>
      </c>
      <c r="M562" s="4">
        <v>4</v>
      </c>
      <c r="N562" s="5">
        <v>32</v>
      </c>
      <c r="O562" s="3">
        <v>45775</v>
      </c>
      <c r="P562" s="2" t="s">
        <v>2391</v>
      </c>
      <c r="Q562" s="2" t="s">
        <v>78</v>
      </c>
      <c r="R562" s="2" t="s">
        <v>41</v>
      </c>
      <c r="S562" s="2" t="s">
        <v>42</v>
      </c>
      <c r="T562" s="2"/>
    </row>
    <row r="563" spans="1:20" ht="12.5" x14ac:dyDescent="0.25">
      <c r="A563" s="2" t="s">
        <v>2096</v>
      </c>
      <c r="B563" s="2" t="s">
        <v>1359</v>
      </c>
      <c r="C563" s="2" t="s">
        <v>2097</v>
      </c>
      <c r="D563" s="2" t="s">
        <v>2098</v>
      </c>
      <c r="E563" s="2" t="s">
        <v>37</v>
      </c>
      <c r="F563" s="2" t="s">
        <v>38</v>
      </c>
      <c r="G563" s="5">
        <v>1866</v>
      </c>
      <c r="H563" s="5">
        <v>40</v>
      </c>
      <c r="I563" s="5">
        <v>1120</v>
      </c>
      <c r="J563" s="5">
        <v>3</v>
      </c>
      <c r="K563" s="2">
        <v>42</v>
      </c>
      <c r="L563" s="2" t="s">
        <v>73</v>
      </c>
      <c r="M563" s="4">
        <v>3.6</v>
      </c>
      <c r="N563" s="5">
        <v>66</v>
      </c>
      <c r="O563" s="3">
        <v>45835</v>
      </c>
      <c r="P563" s="2" t="s">
        <v>2392</v>
      </c>
      <c r="Q563" s="2" t="s">
        <v>29</v>
      </c>
      <c r="R563" s="2" t="s">
        <v>30</v>
      </c>
      <c r="S563" s="2" t="s">
        <v>31</v>
      </c>
      <c r="T563" s="2"/>
    </row>
    <row r="564" spans="1:20" ht="12.5" x14ac:dyDescent="0.25">
      <c r="A564" s="2" t="s">
        <v>2099</v>
      </c>
      <c r="B564" s="2" t="s">
        <v>2100</v>
      </c>
      <c r="C564" s="2" t="s">
        <v>2101</v>
      </c>
      <c r="D564" s="2" t="s">
        <v>2102</v>
      </c>
      <c r="E564" s="2" t="s">
        <v>48</v>
      </c>
      <c r="F564" s="2" t="s">
        <v>25</v>
      </c>
      <c r="G564" s="5">
        <v>3701</v>
      </c>
      <c r="H564" s="5">
        <v>30</v>
      </c>
      <c r="I564" s="5">
        <v>2591</v>
      </c>
      <c r="J564" s="5">
        <v>3</v>
      </c>
      <c r="K564" s="2">
        <v>44</v>
      </c>
      <c r="L564" s="2" t="s">
        <v>49</v>
      </c>
      <c r="M564" s="4">
        <v>5</v>
      </c>
      <c r="N564" s="5">
        <v>229</v>
      </c>
      <c r="O564" s="3">
        <v>45811</v>
      </c>
      <c r="P564" s="2" t="s">
        <v>2392</v>
      </c>
      <c r="Q564" s="2" t="s">
        <v>29</v>
      </c>
      <c r="R564" s="2" t="s">
        <v>110</v>
      </c>
      <c r="S564" s="2" t="s">
        <v>111</v>
      </c>
      <c r="T564" s="2"/>
    </row>
    <row r="565" spans="1:20" ht="12.5" x14ac:dyDescent="0.25">
      <c r="A565" s="2" t="s">
        <v>2103</v>
      </c>
      <c r="B565" s="2" t="s">
        <v>1425</v>
      </c>
      <c r="C565" s="2" t="s">
        <v>2104</v>
      </c>
      <c r="D565" s="2" t="s">
        <v>2105</v>
      </c>
      <c r="E565" s="2" t="s">
        <v>122</v>
      </c>
      <c r="F565" s="2" t="s">
        <v>123</v>
      </c>
      <c r="G565" s="5">
        <v>4433</v>
      </c>
      <c r="H565" s="5">
        <v>35</v>
      </c>
      <c r="I565" s="5">
        <v>2882</v>
      </c>
      <c r="J565" s="5">
        <v>3</v>
      </c>
      <c r="K565" s="2" t="s">
        <v>26</v>
      </c>
      <c r="L565" s="2" t="s">
        <v>168</v>
      </c>
      <c r="M565" s="4">
        <v>4.3</v>
      </c>
      <c r="N565" s="5">
        <v>227</v>
      </c>
      <c r="O565" s="3">
        <v>45817</v>
      </c>
      <c r="P565" s="2" t="s">
        <v>2390</v>
      </c>
      <c r="Q565" s="2" t="s">
        <v>29</v>
      </c>
      <c r="R565" s="2" t="s">
        <v>66</v>
      </c>
      <c r="S565" s="2" t="s">
        <v>67</v>
      </c>
      <c r="T565" s="2"/>
    </row>
    <row r="566" spans="1:20" ht="12.5" x14ac:dyDescent="0.25">
      <c r="A566" s="2" t="s">
        <v>2106</v>
      </c>
      <c r="B566" s="2" t="s">
        <v>1901</v>
      </c>
      <c r="C566" s="2" t="s">
        <v>2107</v>
      </c>
      <c r="D566" s="2" t="s">
        <v>2108</v>
      </c>
      <c r="E566" s="2" t="s">
        <v>116</v>
      </c>
      <c r="F566" s="2" t="s">
        <v>117</v>
      </c>
      <c r="G566" s="5">
        <v>3761</v>
      </c>
      <c r="H566" s="5">
        <v>30</v>
      </c>
      <c r="I566" s="5">
        <v>2633</v>
      </c>
      <c r="J566" s="5">
        <v>1</v>
      </c>
      <c r="K566" s="2" t="s">
        <v>163</v>
      </c>
      <c r="L566" s="2" t="s">
        <v>88</v>
      </c>
      <c r="M566" s="4">
        <v>4.2</v>
      </c>
      <c r="N566" s="5">
        <v>200</v>
      </c>
      <c r="O566" s="3">
        <v>45826</v>
      </c>
      <c r="P566" s="2" t="s">
        <v>2392</v>
      </c>
      <c r="Q566" s="2" t="s">
        <v>29</v>
      </c>
      <c r="R566" s="2" t="s">
        <v>58</v>
      </c>
      <c r="S566" s="2" t="s">
        <v>59</v>
      </c>
      <c r="T566" s="2"/>
    </row>
    <row r="567" spans="1:20" ht="12.5" x14ac:dyDescent="0.25">
      <c r="A567" s="2" t="s">
        <v>2109</v>
      </c>
      <c r="B567" s="2" t="s">
        <v>981</v>
      </c>
      <c r="C567" s="2" t="s">
        <v>2110</v>
      </c>
      <c r="D567" s="2" t="s">
        <v>2111</v>
      </c>
      <c r="E567" s="2" t="s">
        <v>122</v>
      </c>
      <c r="F567" s="2" t="s">
        <v>123</v>
      </c>
      <c r="G567" s="5">
        <v>3694</v>
      </c>
      <c r="H567" s="5">
        <v>15</v>
      </c>
      <c r="I567" s="5">
        <v>3140</v>
      </c>
      <c r="J567" s="5">
        <v>2</v>
      </c>
      <c r="K567" s="2" t="s">
        <v>163</v>
      </c>
      <c r="L567" s="2" t="s">
        <v>209</v>
      </c>
      <c r="M567" s="4">
        <v>3.6</v>
      </c>
      <c r="N567" s="5">
        <v>85</v>
      </c>
      <c r="O567" s="3">
        <v>45821</v>
      </c>
      <c r="P567" s="2" t="s">
        <v>2391</v>
      </c>
      <c r="Q567" s="2" t="s">
        <v>78</v>
      </c>
      <c r="R567" s="2" t="s">
        <v>149</v>
      </c>
      <c r="S567" s="2" t="s">
        <v>150</v>
      </c>
      <c r="T567" s="2" t="s">
        <v>43</v>
      </c>
    </row>
    <row r="568" spans="1:20" ht="12.5" x14ac:dyDescent="0.25">
      <c r="A568" s="2" t="s">
        <v>2112</v>
      </c>
      <c r="B568" s="2" t="s">
        <v>2100</v>
      </c>
      <c r="C568" s="2" t="s">
        <v>2113</v>
      </c>
      <c r="D568" s="2" t="s">
        <v>2114</v>
      </c>
      <c r="E568" s="2" t="s">
        <v>37</v>
      </c>
      <c r="F568" s="2" t="s">
        <v>38</v>
      </c>
      <c r="G568" s="5">
        <v>4621</v>
      </c>
      <c r="H568" s="5">
        <v>10</v>
      </c>
      <c r="I568" s="5">
        <v>4159</v>
      </c>
      <c r="J568" s="5">
        <v>1</v>
      </c>
      <c r="K568" s="2" t="s">
        <v>26</v>
      </c>
      <c r="L568" s="2" t="s">
        <v>73</v>
      </c>
      <c r="M568" s="4">
        <v>3.9</v>
      </c>
      <c r="N568" s="5">
        <v>260</v>
      </c>
      <c r="O568" s="3">
        <v>45820</v>
      </c>
      <c r="P568" s="2" t="s">
        <v>2391</v>
      </c>
      <c r="Q568" s="2" t="s">
        <v>29</v>
      </c>
      <c r="R568" s="2" t="s">
        <v>41</v>
      </c>
      <c r="S568" s="2" t="s">
        <v>42</v>
      </c>
      <c r="T568" s="2" t="s">
        <v>203</v>
      </c>
    </row>
    <row r="569" spans="1:20" ht="12.5" x14ac:dyDescent="0.25">
      <c r="A569" s="2" t="s">
        <v>2115</v>
      </c>
      <c r="B569" s="2" t="s">
        <v>2116</v>
      </c>
      <c r="C569" s="2" t="s">
        <v>2117</v>
      </c>
      <c r="D569" s="2" t="s">
        <v>2118</v>
      </c>
      <c r="E569" s="2" t="s">
        <v>24</v>
      </c>
      <c r="F569" s="2" t="s">
        <v>25</v>
      </c>
      <c r="G569" s="5">
        <v>4720</v>
      </c>
      <c r="H569" s="5">
        <v>10</v>
      </c>
      <c r="I569" s="5">
        <v>4248</v>
      </c>
      <c r="J569" s="5">
        <v>1</v>
      </c>
      <c r="K569" s="2" t="s">
        <v>32</v>
      </c>
      <c r="L569" s="2" t="s">
        <v>133</v>
      </c>
      <c r="M569" s="4">
        <v>4.5999999999999996</v>
      </c>
      <c r="N569" s="5">
        <v>290</v>
      </c>
      <c r="O569" s="3">
        <v>45834</v>
      </c>
      <c r="P569" s="2" t="s">
        <v>2391</v>
      </c>
      <c r="Q569" s="2" t="s">
        <v>29</v>
      </c>
      <c r="R569" s="2" t="s">
        <v>149</v>
      </c>
      <c r="S569" s="2" t="s">
        <v>150</v>
      </c>
      <c r="T569" s="2" t="s">
        <v>203</v>
      </c>
    </row>
    <row r="570" spans="1:20" ht="12.5" x14ac:dyDescent="0.25">
      <c r="A570" s="2" t="s">
        <v>2119</v>
      </c>
      <c r="B570" s="2" t="s">
        <v>2120</v>
      </c>
      <c r="C570" s="2" t="s">
        <v>2121</v>
      </c>
      <c r="D570" s="2" t="s">
        <v>2122</v>
      </c>
      <c r="E570" s="2" t="s">
        <v>55</v>
      </c>
      <c r="F570" s="2" t="s">
        <v>38</v>
      </c>
      <c r="G570" s="5">
        <v>1535</v>
      </c>
      <c r="H570" s="5">
        <v>40</v>
      </c>
      <c r="I570" s="5">
        <v>921</v>
      </c>
      <c r="J570" s="5">
        <v>3</v>
      </c>
      <c r="K570" s="2">
        <v>42</v>
      </c>
      <c r="L570" s="2" t="s">
        <v>209</v>
      </c>
      <c r="M570" s="4">
        <v>3.9</v>
      </c>
      <c r="N570" s="5">
        <v>44</v>
      </c>
      <c r="O570" s="3">
        <v>45826</v>
      </c>
      <c r="P570" s="2" t="s">
        <v>2390</v>
      </c>
      <c r="Q570" s="2" t="s">
        <v>65</v>
      </c>
      <c r="R570" s="2" t="s">
        <v>66</v>
      </c>
      <c r="S570" s="2" t="s">
        <v>67</v>
      </c>
      <c r="T570" s="2"/>
    </row>
    <row r="571" spans="1:20" ht="12.5" x14ac:dyDescent="0.25">
      <c r="A571" s="2" t="s">
        <v>2123</v>
      </c>
      <c r="B571" s="2" t="s">
        <v>1961</v>
      </c>
      <c r="C571" s="2" t="s">
        <v>2124</v>
      </c>
      <c r="D571" s="2" t="s">
        <v>2125</v>
      </c>
      <c r="E571" s="2" t="s">
        <v>37</v>
      </c>
      <c r="F571" s="2" t="s">
        <v>38</v>
      </c>
      <c r="G571" s="5">
        <v>4823</v>
      </c>
      <c r="H571" s="5">
        <v>10</v>
      </c>
      <c r="I571" s="5">
        <v>4341</v>
      </c>
      <c r="J571" s="5">
        <v>3</v>
      </c>
      <c r="K571" s="2" t="s">
        <v>72</v>
      </c>
      <c r="L571" s="2" t="s">
        <v>49</v>
      </c>
      <c r="M571" s="4">
        <v>3.6</v>
      </c>
      <c r="N571" s="5">
        <v>161</v>
      </c>
      <c r="O571" s="3">
        <v>45770</v>
      </c>
      <c r="P571" s="2" t="s">
        <v>2391</v>
      </c>
      <c r="Q571" s="2" t="s">
        <v>78</v>
      </c>
      <c r="R571" s="2" t="s">
        <v>110</v>
      </c>
      <c r="S571" s="2" t="s">
        <v>111</v>
      </c>
      <c r="T571" s="2" t="s">
        <v>203</v>
      </c>
    </row>
    <row r="572" spans="1:20" ht="12.5" x14ac:dyDescent="0.25">
      <c r="A572" s="2" t="s">
        <v>2126</v>
      </c>
      <c r="B572" s="2" t="s">
        <v>2127</v>
      </c>
      <c r="C572" s="2" t="s">
        <v>2128</v>
      </c>
      <c r="D572" s="2" t="s">
        <v>2129</v>
      </c>
      <c r="E572" s="2" t="s">
        <v>122</v>
      </c>
      <c r="F572" s="2" t="s">
        <v>123</v>
      </c>
      <c r="G572" s="5">
        <v>3718</v>
      </c>
      <c r="H572" s="5">
        <v>35</v>
      </c>
      <c r="I572" s="5">
        <v>2417</v>
      </c>
      <c r="J572" s="5">
        <v>1</v>
      </c>
      <c r="K572" s="2" t="s">
        <v>56</v>
      </c>
      <c r="L572" s="2" t="s">
        <v>27</v>
      </c>
      <c r="M572" s="4">
        <v>4.2</v>
      </c>
      <c r="N572" s="5">
        <v>37</v>
      </c>
      <c r="O572" s="3">
        <v>45840</v>
      </c>
      <c r="P572" s="2" t="s">
        <v>2390</v>
      </c>
      <c r="Q572" s="2" t="s">
        <v>78</v>
      </c>
      <c r="R572" s="2" t="s">
        <v>89</v>
      </c>
      <c r="S572" s="2" t="s">
        <v>90</v>
      </c>
      <c r="T572" s="2"/>
    </row>
    <row r="573" spans="1:20" ht="12.5" x14ac:dyDescent="0.25">
      <c r="A573" s="2" t="s">
        <v>2130</v>
      </c>
      <c r="B573" s="2" t="s">
        <v>2131</v>
      </c>
      <c r="C573" s="2" t="s">
        <v>2007</v>
      </c>
      <c r="D573" s="2" t="s">
        <v>2132</v>
      </c>
      <c r="E573" s="2" t="s">
        <v>132</v>
      </c>
      <c r="F573" s="2" t="s">
        <v>38</v>
      </c>
      <c r="G573" s="5">
        <v>1350</v>
      </c>
      <c r="H573" s="5">
        <v>15</v>
      </c>
      <c r="I573" s="5">
        <v>1148</v>
      </c>
      <c r="J573" s="5">
        <v>3</v>
      </c>
      <c r="K573" s="2">
        <v>42</v>
      </c>
      <c r="L573" s="2" t="s">
        <v>39</v>
      </c>
      <c r="M573" s="4">
        <v>3.7</v>
      </c>
      <c r="N573" s="5">
        <v>248</v>
      </c>
      <c r="O573" s="3">
        <v>45837</v>
      </c>
      <c r="P573" s="2" t="s">
        <v>2390</v>
      </c>
      <c r="Q573" s="2" t="s">
        <v>65</v>
      </c>
      <c r="R573" s="2" t="s">
        <v>83</v>
      </c>
      <c r="S573" s="2" t="s">
        <v>83</v>
      </c>
      <c r="T573" s="2"/>
    </row>
    <row r="574" spans="1:20" ht="12.5" x14ac:dyDescent="0.25">
      <c r="A574" s="2" t="s">
        <v>2133</v>
      </c>
      <c r="B574" s="2" t="s">
        <v>2134</v>
      </c>
      <c r="C574" s="2" t="s">
        <v>2135</v>
      </c>
      <c r="D574" s="2" t="s">
        <v>2136</v>
      </c>
      <c r="E574" s="2" t="s">
        <v>24</v>
      </c>
      <c r="F574" s="2" t="s">
        <v>25</v>
      </c>
      <c r="G574" s="5">
        <v>4562</v>
      </c>
      <c r="H574" s="5">
        <v>15</v>
      </c>
      <c r="I574" s="5">
        <v>3878</v>
      </c>
      <c r="J574" s="5">
        <v>2</v>
      </c>
      <c r="K574" s="2" t="s">
        <v>226</v>
      </c>
      <c r="L574" s="2" t="s">
        <v>73</v>
      </c>
      <c r="M574" s="4">
        <v>3.7</v>
      </c>
      <c r="N574" s="5">
        <v>150</v>
      </c>
      <c r="O574" s="3">
        <v>45856</v>
      </c>
      <c r="P574" s="2" t="s">
        <v>2390</v>
      </c>
      <c r="Q574" s="2" t="s">
        <v>29</v>
      </c>
      <c r="R574" s="2" t="s">
        <v>83</v>
      </c>
      <c r="S574" s="2" t="s">
        <v>83</v>
      </c>
      <c r="T574" s="2"/>
    </row>
    <row r="575" spans="1:20" ht="12.5" x14ac:dyDescent="0.25">
      <c r="A575" s="2" t="s">
        <v>2137</v>
      </c>
      <c r="B575" s="2" t="s">
        <v>880</v>
      </c>
      <c r="C575" s="2" t="s">
        <v>2138</v>
      </c>
      <c r="D575" s="2" t="s">
        <v>2139</v>
      </c>
      <c r="E575" s="2" t="s">
        <v>208</v>
      </c>
      <c r="F575" s="2" t="s">
        <v>117</v>
      </c>
      <c r="G575" s="5">
        <v>4638</v>
      </c>
      <c r="H575" s="5">
        <v>15</v>
      </c>
      <c r="I575" s="5">
        <v>3943</v>
      </c>
      <c r="J575" s="5">
        <v>3</v>
      </c>
      <c r="K575" s="2" t="s">
        <v>261</v>
      </c>
      <c r="L575" s="2" t="s">
        <v>73</v>
      </c>
      <c r="M575" s="4">
        <v>5</v>
      </c>
      <c r="N575" s="5">
        <v>171</v>
      </c>
      <c r="O575" s="3">
        <v>45846</v>
      </c>
      <c r="P575" s="2" t="s">
        <v>2391</v>
      </c>
      <c r="Q575" s="2" t="s">
        <v>78</v>
      </c>
      <c r="R575" s="2" t="s">
        <v>30</v>
      </c>
      <c r="S575" s="2" t="s">
        <v>31</v>
      </c>
      <c r="T575" s="2"/>
    </row>
    <row r="576" spans="1:20" ht="12.5" x14ac:dyDescent="0.25">
      <c r="A576" s="2" t="s">
        <v>2140</v>
      </c>
      <c r="B576" s="2" t="s">
        <v>909</v>
      </c>
      <c r="C576" s="2" t="s">
        <v>2141</v>
      </c>
      <c r="D576" s="2" t="s">
        <v>2142</v>
      </c>
      <c r="E576" s="2" t="s">
        <v>55</v>
      </c>
      <c r="F576" s="2" t="s">
        <v>38</v>
      </c>
      <c r="G576" s="5">
        <v>4764</v>
      </c>
      <c r="H576" s="5">
        <v>40</v>
      </c>
      <c r="I576" s="5">
        <v>2859</v>
      </c>
      <c r="J576" s="5">
        <v>3</v>
      </c>
      <c r="K576" s="2" t="s">
        <v>261</v>
      </c>
      <c r="L576" s="2" t="s">
        <v>27</v>
      </c>
      <c r="M576" s="4">
        <v>4.2</v>
      </c>
      <c r="N576" s="5">
        <v>207</v>
      </c>
      <c r="O576" s="3">
        <v>45814</v>
      </c>
      <c r="P576" s="2" t="s">
        <v>2392</v>
      </c>
      <c r="Q576" s="2" t="s">
        <v>78</v>
      </c>
      <c r="R576" s="2" t="s">
        <v>149</v>
      </c>
      <c r="S576" s="2" t="s">
        <v>150</v>
      </c>
      <c r="T576" s="2"/>
    </row>
    <row r="577" spans="1:20" ht="12.5" x14ac:dyDescent="0.25">
      <c r="A577" s="2" t="s">
        <v>2143</v>
      </c>
      <c r="B577" s="2" t="s">
        <v>349</v>
      </c>
      <c r="C577" s="2" t="s">
        <v>2144</v>
      </c>
      <c r="D577" s="2" t="s">
        <v>2145</v>
      </c>
      <c r="E577" s="2" t="s">
        <v>48</v>
      </c>
      <c r="F577" s="2" t="s">
        <v>25</v>
      </c>
      <c r="G577" s="5">
        <v>4125</v>
      </c>
      <c r="H577" s="5">
        <v>40</v>
      </c>
      <c r="I577" s="5">
        <v>2475</v>
      </c>
      <c r="J577" s="5">
        <v>3</v>
      </c>
      <c r="K577" s="2">
        <v>44</v>
      </c>
      <c r="L577" s="2" t="s">
        <v>39</v>
      </c>
      <c r="M577" s="4">
        <v>4.8</v>
      </c>
      <c r="N577" s="5">
        <v>136</v>
      </c>
      <c r="O577" s="3">
        <v>45849</v>
      </c>
      <c r="P577" s="2" t="s">
        <v>2392</v>
      </c>
      <c r="Q577" s="2" t="s">
        <v>78</v>
      </c>
      <c r="R577" s="2" t="s">
        <v>83</v>
      </c>
      <c r="S577" s="2" t="s">
        <v>83</v>
      </c>
      <c r="T577" s="2"/>
    </row>
    <row r="578" spans="1:20" ht="12.5" x14ac:dyDescent="0.25">
      <c r="A578" s="2" t="s">
        <v>2146</v>
      </c>
      <c r="B578" s="2" t="s">
        <v>1803</v>
      </c>
      <c r="C578" s="2" t="s">
        <v>2147</v>
      </c>
      <c r="D578" s="2" t="s">
        <v>2148</v>
      </c>
      <c r="E578" s="2" t="s">
        <v>122</v>
      </c>
      <c r="F578" s="2" t="s">
        <v>123</v>
      </c>
      <c r="G578" s="5">
        <v>4779</v>
      </c>
      <c r="H578" s="5">
        <v>25</v>
      </c>
      <c r="I578" s="5">
        <v>3585</v>
      </c>
      <c r="J578" s="5">
        <v>1</v>
      </c>
      <c r="K578" s="2">
        <v>40</v>
      </c>
      <c r="L578" s="2" t="s">
        <v>64</v>
      </c>
      <c r="M578" s="4">
        <v>4.9000000000000004</v>
      </c>
      <c r="N578" s="5">
        <v>186</v>
      </c>
      <c r="O578" s="3">
        <v>45821</v>
      </c>
      <c r="P578" s="2" t="s">
        <v>2390</v>
      </c>
      <c r="Q578" s="2" t="s">
        <v>78</v>
      </c>
      <c r="R578" s="2" t="s">
        <v>41</v>
      </c>
      <c r="S578" s="2" t="s">
        <v>42</v>
      </c>
      <c r="T578" s="2"/>
    </row>
    <row r="579" spans="1:20" ht="12.5" x14ac:dyDescent="0.25">
      <c r="A579" s="2" t="s">
        <v>2149</v>
      </c>
      <c r="B579" s="2" t="s">
        <v>215</v>
      </c>
      <c r="C579" s="2" t="s">
        <v>2150</v>
      </c>
      <c r="D579" s="2" t="s">
        <v>2151</v>
      </c>
      <c r="E579" s="2" t="s">
        <v>247</v>
      </c>
      <c r="F579" s="2" t="s">
        <v>248</v>
      </c>
      <c r="G579" s="5">
        <v>1379</v>
      </c>
      <c r="H579" s="5">
        <v>15</v>
      </c>
      <c r="I579" s="5">
        <v>1173</v>
      </c>
      <c r="J579" s="5">
        <v>3</v>
      </c>
      <c r="K579" s="2" t="s">
        <v>72</v>
      </c>
      <c r="L579" s="2" t="s">
        <v>88</v>
      </c>
      <c r="M579" s="4">
        <v>4</v>
      </c>
      <c r="N579" s="5">
        <v>63</v>
      </c>
      <c r="O579" s="3">
        <v>45810</v>
      </c>
      <c r="P579" s="2" t="s">
        <v>2391</v>
      </c>
      <c r="Q579" s="2" t="s">
        <v>65</v>
      </c>
      <c r="R579" s="2" t="s">
        <v>83</v>
      </c>
      <c r="S579" s="2" t="s">
        <v>83</v>
      </c>
      <c r="T579" s="2"/>
    </row>
    <row r="580" spans="1:20" ht="12.5" x14ac:dyDescent="0.25">
      <c r="A580" s="2" t="s">
        <v>2152</v>
      </c>
      <c r="B580" s="2" t="s">
        <v>2153</v>
      </c>
      <c r="C580" s="2" t="s">
        <v>2154</v>
      </c>
      <c r="D580" s="2" t="s">
        <v>2155</v>
      </c>
      <c r="E580" s="2" t="s">
        <v>122</v>
      </c>
      <c r="F580" s="2" t="s">
        <v>123</v>
      </c>
      <c r="G580" s="5">
        <v>3120</v>
      </c>
      <c r="H580" s="5">
        <v>25</v>
      </c>
      <c r="I580" s="5">
        <v>2340</v>
      </c>
      <c r="J580" s="5">
        <v>1</v>
      </c>
      <c r="K580" s="2" t="s">
        <v>226</v>
      </c>
      <c r="L580" s="2" t="s">
        <v>73</v>
      </c>
      <c r="M580" s="4">
        <v>4.8</v>
      </c>
      <c r="N580" s="5">
        <v>252</v>
      </c>
      <c r="O580" s="3">
        <v>45820</v>
      </c>
      <c r="P580" s="2" t="s">
        <v>2392</v>
      </c>
      <c r="Q580" s="2" t="s">
        <v>78</v>
      </c>
      <c r="R580" s="2" t="s">
        <v>104</v>
      </c>
      <c r="S580" s="2" t="s">
        <v>105</v>
      </c>
      <c r="T580" s="2"/>
    </row>
    <row r="581" spans="1:20" ht="12.5" x14ac:dyDescent="0.25">
      <c r="A581" s="2" t="s">
        <v>2156</v>
      </c>
      <c r="B581" s="2" t="s">
        <v>2157</v>
      </c>
      <c r="C581" s="2" t="s">
        <v>2158</v>
      </c>
      <c r="D581" s="2" t="s">
        <v>2159</v>
      </c>
      <c r="E581" s="2" t="s">
        <v>37</v>
      </c>
      <c r="F581" s="2" t="s">
        <v>38</v>
      </c>
      <c r="G581" s="5">
        <v>1003</v>
      </c>
      <c r="H581" s="5">
        <v>35</v>
      </c>
      <c r="I581" s="5">
        <v>652</v>
      </c>
      <c r="J581" s="5">
        <v>2</v>
      </c>
      <c r="K581" s="2" t="s">
        <v>72</v>
      </c>
      <c r="L581" s="2" t="s">
        <v>64</v>
      </c>
      <c r="M581" s="4">
        <v>4.8</v>
      </c>
      <c r="N581" s="5">
        <v>171</v>
      </c>
      <c r="O581" s="3">
        <v>45837</v>
      </c>
      <c r="P581" s="2" t="s">
        <v>2391</v>
      </c>
      <c r="Q581" s="2" t="s">
        <v>78</v>
      </c>
      <c r="R581" s="2" t="s">
        <v>41</v>
      </c>
      <c r="S581" s="2" t="s">
        <v>42</v>
      </c>
      <c r="T581" s="2" t="s">
        <v>50</v>
      </c>
    </row>
    <row r="582" spans="1:20" ht="12.5" x14ac:dyDescent="0.25">
      <c r="A582" s="2" t="s">
        <v>2160</v>
      </c>
      <c r="B582" s="2" t="s">
        <v>589</v>
      </c>
      <c r="C582" s="2" t="s">
        <v>2161</v>
      </c>
      <c r="D582" s="2" t="s">
        <v>2162</v>
      </c>
      <c r="E582" s="2" t="s">
        <v>122</v>
      </c>
      <c r="F582" s="2" t="s">
        <v>123</v>
      </c>
      <c r="G582" s="5">
        <v>3019</v>
      </c>
      <c r="H582" s="5">
        <v>15</v>
      </c>
      <c r="I582" s="5">
        <v>2567</v>
      </c>
      <c r="J582" s="5">
        <v>2</v>
      </c>
      <c r="K582" s="2" t="s">
        <v>226</v>
      </c>
      <c r="L582" s="2" t="s">
        <v>88</v>
      </c>
      <c r="M582" s="4">
        <v>3.9</v>
      </c>
      <c r="N582" s="5">
        <v>154</v>
      </c>
      <c r="O582" s="3">
        <v>45796</v>
      </c>
      <c r="P582" s="2" t="s">
        <v>2392</v>
      </c>
      <c r="Q582" s="2" t="s">
        <v>65</v>
      </c>
      <c r="R582" s="2" t="s">
        <v>149</v>
      </c>
      <c r="S582" s="2" t="s">
        <v>150</v>
      </c>
      <c r="T582" s="2"/>
    </row>
    <row r="583" spans="1:20" ht="12.5" x14ac:dyDescent="0.25">
      <c r="A583" s="2" t="s">
        <v>2163</v>
      </c>
      <c r="B583" s="2" t="s">
        <v>959</v>
      </c>
      <c r="C583" s="2" t="s">
        <v>2164</v>
      </c>
      <c r="D583" s="2" t="s">
        <v>2165</v>
      </c>
      <c r="E583" s="2" t="s">
        <v>37</v>
      </c>
      <c r="F583" s="2" t="s">
        <v>38</v>
      </c>
      <c r="G583" s="5">
        <v>3113</v>
      </c>
      <c r="H583" s="5">
        <v>25</v>
      </c>
      <c r="I583" s="5">
        <v>2335</v>
      </c>
      <c r="J583" s="5">
        <v>2</v>
      </c>
      <c r="K583" s="2" t="s">
        <v>56</v>
      </c>
      <c r="L583" s="2" t="s">
        <v>209</v>
      </c>
      <c r="M583" s="4">
        <v>3.8</v>
      </c>
      <c r="N583" s="5">
        <v>99</v>
      </c>
      <c r="O583" s="3">
        <v>45827</v>
      </c>
      <c r="P583" s="2" t="s">
        <v>2390</v>
      </c>
      <c r="Q583" s="2" t="s">
        <v>29</v>
      </c>
      <c r="R583" s="2" t="s">
        <v>83</v>
      </c>
      <c r="S583" s="2" t="s">
        <v>83</v>
      </c>
      <c r="T583" s="2"/>
    </row>
    <row r="584" spans="1:20" ht="12.5" x14ac:dyDescent="0.25">
      <c r="A584" s="2" t="s">
        <v>2166</v>
      </c>
      <c r="B584" s="2" t="s">
        <v>119</v>
      </c>
      <c r="C584" s="2" t="s">
        <v>2167</v>
      </c>
      <c r="D584" s="2" t="s">
        <v>2168</v>
      </c>
      <c r="E584" s="2" t="s">
        <v>37</v>
      </c>
      <c r="F584" s="2" t="s">
        <v>38</v>
      </c>
      <c r="G584" s="5">
        <v>684</v>
      </c>
      <c r="H584" s="5">
        <v>35</v>
      </c>
      <c r="I584" s="5">
        <v>445</v>
      </c>
      <c r="J584" s="5">
        <v>1</v>
      </c>
      <c r="K584" s="2" t="s">
        <v>226</v>
      </c>
      <c r="L584" s="2" t="s">
        <v>209</v>
      </c>
      <c r="M584" s="4">
        <v>4.4000000000000004</v>
      </c>
      <c r="N584" s="5">
        <v>208</v>
      </c>
      <c r="O584" s="3">
        <v>45786</v>
      </c>
      <c r="P584" s="2" t="s">
        <v>2392</v>
      </c>
      <c r="Q584" s="2" t="s">
        <v>29</v>
      </c>
      <c r="R584" s="2" t="s">
        <v>83</v>
      </c>
      <c r="S584" s="2" t="s">
        <v>83</v>
      </c>
      <c r="T584" s="2"/>
    </row>
    <row r="585" spans="1:20" ht="12.5" x14ac:dyDescent="0.25">
      <c r="A585" s="2" t="s">
        <v>2169</v>
      </c>
      <c r="B585" s="2" t="s">
        <v>1676</v>
      </c>
      <c r="C585" s="2" t="s">
        <v>2170</v>
      </c>
      <c r="D585" s="2" t="s">
        <v>2171</v>
      </c>
      <c r="E585" s="2" t="s">
        <v>208</v>
      </c>
      <c r="F585" s="2" t="s">
        <v>117</v>
      </c>
      <c r="G585" s="5">
        <v>882</v>
      </c>
      <c r="H585" s="5">
        <v>10</v>
      </c>
      <c r="I585" s="5">
        <v>794</v>
      </c>
      <c r="J585" s="5">
        <v>2</v>
      </c>
      <c r="K585" s="2">
        <v>42</v>
      </c>
      <c r="L585" s="2" t="s">
        <v>73</v>
      </c>
      <c r="M585" s="4">
        <v>4</v>
      </c>
      <c r="N585" s="5">
        <v>51</v>
      </c>
      <c r="O585" s="3">
        <v>45829</v>
      </c>
      <c r="P585" s="2" t="s">
        <v>2392</v>
      </c>
      <c r="Q585" s="2" t="s">
        <v>78</v>
      </c>
      <c r="R585" s="2" t="s">
        <v>149</v>
      </c>
      <c r="S585" s="2" t="s">
        <v>150</v>
      </c>
      <c r="T585" s="2"/>
    </row>
    <row r="586" spans="1:20" ht="12.5" x14ac:dyDescent="0.25">
      <c r="A586" s="2" t="s">
        <v>2172</v>
      </c>
      <c r="B586" s="2" t="s">
        <v>1696</v>
      </c>
      <c r="C586" s="2" t="s">
        <v>1721</v>
      </c>
      <c r="D586" s="2" t="s">
        <v>2173</v>
      </c>
      <c r="E586" s="2" t="s">
        <v>247</v>
      </c>
      <c r="F586" s="2" t="s">
        <v>248</v>
      </c>
      <c r="G586" s="5">
        <v>2671</v>
      </c>
      <c r="H586" s="5">
        <v>35</v>
      </c>
      <c r="I586" s="5">
        <v>1737</v>
      </c>
      <c r="J586" s="5">
        <v>3</v>
      </c>
      <c r="K586" s="2">
        <v>42</v>
      </c>
      <c r="L586" s="2" t="s">
        <v>27</v>
      </c>
      <c r="M586" s="4">
        <v>3.8</v>
      </c>
      <c r="N586" s="5">
        <v>145</v>
      </c>
      <c r="O586" s="3">
        <v>45803</v>
      </c>
      <c r="P586" s="2" t="s">
        <v>2390</v>
      </c>
      <c r="Q586" s="2" t="s">
        <v>78</v>
      </c>
      <c r="R586" s="2" t="s">
        <v>66</v>
      </c>
      <c r="S586" s="2" t="s">
        <v>67</v>
      </c>
      <c r="T586" s="2"/>
    </row>
    <row r="587" spans="1:20" ht="12.5" x14ac:dyDescent="0.25">
      <c r="A587" s="2" t="s">
        <v>2174</v>
      </c>
      <c r="B587" s="2" t="s">
        <v>2175</v>
      </c>
      <c r="C587" s="2" t="s">
        <v>2176</v>
      </c>
      <c r="D587" s="2" t="s">
        <v>2177</v>
      </c>
      <c r="E587" s="2" t="s">
        <v>122</v>
      </c>
      <c r="F587" s="2" t="s">
        <v>123</v>
      </c>
      <c r="G587" s="5">
        <v>3643</v>
      </c>
      <c r="H587" s="5">
        <v>40</v>
      </c>
      <c r="I587" s="5">
        <v>2186</v>
      </c>
      <c r="J587" s="5">
        <v>2</v>
      </c>
      <c r="K587" s="2" t="s">
        <v>72</v>
      </c>
      <c r="L587" s="2" t="s">
        <v>64</v>
      </c>
      <c r="M587" s="4">
        <v>4.2</v>
      </c>
      <c r="N587" s="5">
        <v>118</v>
      </c>
      <c r="O587" s="3">
        <v>45821</v>
      </c>
      <c r="P587" s="2" t="s">
        <v>2390</v>
      </c>
      <c r="Q587" s="2" t="s">
        <v>78</v>
      </c>
      <c r="R587" s="2" t="s">
        <v>30</v>
      </c>
      <c r="S587" s="2" t="s">
        <v>31</v>
      </c>
      <c r="T587" s="2"/>
    </row>
    <row r="588" spans="1:20" ht="12.5" x14ac:dyDescent="0.25">
      <c r="A588" s="2" t="s">
        <v>2178</v>
      </c>
      <c r="B588" s="2" t="s">
        <v>802</v>
      </c>
      <c r="C588" s="2" t="s">
        <v>2179</v>
      </c>
      <c r="D588" s="2" t="s">
        <v>2180</v>
      </c>
      <c r="E588" s="2" t="s">
        <v>132</v>
      </c>
      <c r="F588" s="2" t="s">
        <v>38</v>
      </c>
      <c r="G588" s="5">
        <v>2378</v>
      </c>
      <c r="H588" s="5">
        <v>15</v>
      </c>
      <c r="I588" s="5">
        <v>2022</v>
      </c>
      <c r="J588" s="5">
        <v>2</v>
      </c>
      <c r="K588" s="2" t="s">
        <v>32</v>
      </c>
      <c r="L588" s="2" t="s">
        <v>88</v>
      </c>
      <c r="M588" s="4">
        <v>4.5999999999999996</v>
      </c>
      <c r="N588" s="5">
        <v>17</v>
      </c>
      <c r="O588" s="3">
        <v>45821</v>
      </c>
      <c r="P588" s="2" t="s">
        <v>2392</v>
      </c>
      <c r="Q588" s="2" t="s">
        <v>29</v>
      </c>
      <c r="R588" s="2" t="s">
        <v>30</v>
      </c>
      <c r="S588" s="2" t="s">
        <v>31</v>
      </c>
      <c r="T588" s="2"/>
    </row>
    <row r="589" spans="1:20" ht="12.5" x14ac:dyDescent="0.25">
      <c r="A589" s="2" t="s">
        <v>2181</v>
      </c>
      <c r="B589" s="2" t="s">
        <v>1385</v>
      </c>
      <c r="C589" s="2" t="s">
        <v>2182</v>
      </c>
      <c r="D589" s="2" t="s">
        <v>2183</v>
      </c>
      <c r="E589" s="2" t="s">
        <v>208</v>
      </c>
      <c r="F589" s="2" t="s">
        <v>117</v>
      </c>
      <c r="G589" s="5">
        <v>1802</v>
      </c>
      <c r="H589" s="5">
        <v>15</v>
      </c>
      <c r="I589" s="5">
        <v>1532</v>
      </c>
      <c r="J589" s="5">
        <v>3</v>
      </c>
      <c r="K589" s="2">
        <v>42</v>
      </c>
      <c r="L589" s="2" t="s">
        <v>168</v>
      </c>
      <c r="M589" s="4">
        <v>4.3</v>
      </c>
      <c r="N589" s="5">
        <v>110</v>
      </c>
      <c r="O589" s="3">
        <v>45842</v>
      </c>
      <c r="P589" s="2" t="s">
        <v>2390</v>
      </c>
      <c r="Q589" s="2" t="s">
        <v>29</v>
      </c>
      <c r="R589" s="2" t="s">
        <v>66</v>
      </c>
      <c r="S589" s="2" t="s">
        <v>67</v>
      </c>
      <c r="T589" s="2"/>
    </row>
    <row r="590" spans="1:20" ht="12.5" x14ac:dyDescent="0.25">
      <c r="A590" s="2" t="s">
        <v>2184</v>
      </c>
      <c r="B590" s="2" t="s">
        <v>2185</v>
      </c>
      <c r="C590" s="2" t="s">
        <v>2186</v>
      </c>
      <c r="D590" s="2" t="s">
        <v>2187</v>
      </c>
      <c r="E590" s="2" t="s">
        <v>132</v>
      </c>
      <c r="F590" s="2" t="s">
        <v>38</v>
      </c>
      <c r="G590" s="5">
        <v>2904</v>
      </c>
      <c r="H590" s="5">
        <v>40</v>
      </c>
      <c r="I590" s="5">
        <v>1743</v>
      </c>
      <c r="J590" s="5">
        <v>3</v>
      </c>
      <c r="K590" s="2">
        <v>42</v>
      </c>
      <c r="L590" s="2" t="s">
        <v>133</v>
      </c>
      <c r="M590" s="4">
        <v>3.9</v>
      </c>
      <c r="N590" s="5">
        <v>264</v>
      </c>
      <c r="O590" s="3">
        <v>45794</v>
      </c>
      <c r="P590" s="2" t="s">
        <v>2390</v>
      </c>
      <c r="Q590" s="2" t="s">
        <v>65</v>
      </c>
      <c r="R590" s="2" t="s">
        <v>89</v>
      </c>
      <c r="S590" s="2" t="s">
        <v>90</v>
      </c>
      <c r="T590" s="2"/>
    </row>
    <row r="591" spans="1:20" ht="12.5" x14ac:dyDescent="0.25">
      <c r="A591" s="2" t="s">
        <v>2188</v>
      </c>
      <c r="B591" s="2" t="s">
        <v>2093</v>
      </c>
      <c r="C591" s="2" t="s">
        <v>2189</v>
      </c>
      <c r="D591" s="2" t="s">
        <v>2190</v>
      </c>
      <c r="E591" s="2" t="s">
        <v>132</v>
      </c>
      <c r="F591" s="2" t="s">
        <v>38</v>
      </c>
      <c r="G591" s="5">
        <v>1846</v>
      </c>
      <c r="H591" s="5">
        <v>25</v>
      </c>
      <c r="I591" s="5">
        <v>1385</v>
      </c>
      <c r="J591" s="5">
        <v>2</v>
      </c>
      <c r="K591" s="2" t="s">
        <v>26</v>
      </c>
      <c r="L591" s="2" t="s">
        <v>133</v>
      </c>
      <c r="M591" s="4">
        <v>4.5999999999999996</v>
      </c>
      <c r="N591" s="5">
        <v>285</v>
      </c>
      <c r="O591" s="3">
        <v>45784</v>
      </c>
      <c r="P591" s="2" t="s">
        <v>2390</v>
      </c>
      <c r="Q591" s="2" t="s">
        <v>78</v>
      </c>
      <c r="R591" s="2" t="s">
        <v>149</v>
      </c>
      <c r="S591" s="2" t="s">
        <v>150</v>
      </c>
      <c r="T591" s="2"/>
    </row>
    <row r="592" spans="1:20" ht="12.5" x14ac:dyDescent="0.25">
      <c r="A592" s="2" t="s">
        <v>2191</v>
      </c>
      <c r="B592" s="2" t="s">
        <v>1516</v>
      </c>
      <c r="C592" s="2" t="s">
        <v>2192</v>
      </c>
      <c r="D592" s="2" t="s">
        <v>2193</v>
      </c>
      <c r="E592" s="2" t="s">
        <v>116</v>
      </c>
      <c r="F592" s="2" t="s">
        <v>117</v>
      </c>
      <c r="G592" s="5">
        <v>3956</v>
      </c>
      <c r="H592" s="5">
        <v>35</v>
      </c>
      <c r="I592" s="5">
        <v>2572</v>
      </c>
      <c r="J592" s="5">
        <v>3</v>
      </c>
      <c r="K592" s="2" t="s">
        <v>72</v>
      </c>
      <c r="L592" s="2" t="s">
        <v>209</v>
      </c>
      <c r="M592" s="4">
        <v>3.9</v>
      </c>
      <c r="N592" s="5">
        <v>152</v>
      </c>
      <c r="O592" s="3">
        <v>45851</v>
      </c>
      <c r="P592" s="2" t="s">
        <v>2392</v>
      </c>
      <c r="Q592" s="2" t="s">
        <v>29</v>
      </c>
      <c r="R592" s="2" t="s">
        <v>83</v>
      </c>
      <c r="S592" s="2" t="s">
        <v>83</v>
      </c>
      <c r="T592" s="2"/>
    </row>
    <row r="593" spans="1:20" ht="12.5" x14ac:dyDescent="0.25">
      <c r="A593" s="2" t="s">
        <v>2194</v>
      </c>
      <c r="B593" s="2" t="s">
        <v>1227</v>
      </c>
      <c r="C593" s="2" t="s">
        <v>2195</v>
      </c>
      <c r="D593" s="2" t="s">
        <v>2196</v>
      </c>
      <c r="E593" s="2" t="s">
        <v>208</v>
      </c>
      <c r="F593" s="2" t="s">
        <v>117</v>
      </c>
      <c r="G593" s="5">
        <v>876</v>
      </c>
      <c r="H593" s="5">
        <v>40</v>
      </c>
      <c r="I593" s="5">
        <v>526</v>
      </c>
      <c r="J593" s="5">
        <v>1</v>
      </c>
      <c r="K593" s="2">
        <v>42</v>
      </c>
      <c r="L593" s="2" t="s">
        <v>73</v>
      </c>
      <c r="M593" s="4">
        <v>3.5</v>
      </c>
      <c r="N593" s="5">
        <v>237</v>
      </c>
      <c r="O593" s="3">
        <v>45811</v>
      </c>
      <c r="P593" s="2" t="s">
        <v>2390</v>
      </c>
      <c r="Q593" s="2" t="s">
        <v>78</v>
      </c>
      <c r="R593" s="2" t="s">
        <v>110</v>
      </c>
      <c r="S593" s="2" t="s">
        <v>111</v>
      </c>
      <c r="T593" s="2"/>
    </row>
    <row r="594" spans="1:20" ht="12.5" x14ac:dyDescent="0.25">
      <c r="A594" s="2" t="s">
        <v>2197</v>
      </c>
      <c r="B594" s="2" t="s">
        <v>2198</v>
      </c>
      <c r="C594" s="2" t="s">
        <v>2199</v>
      </c>
      <c r="D594" s="2" t="s">
        <v>2200</v>
      </c>
      <c r="E594" s="2" t="s">
        <v>247</v>
      </c>
      <c r="F594" s="2" t="s">
        <v>248</v>
      </c>
      <c r="G594" s="5">
        <v>4591</v>
      </c>
      <c r="H594" s="5">
        <v>15</v>
      </c>
      <c r="I594" s="5">
        <v>3903</v>
      </c>
      <c r="J594" s="5">
        <v>3</v>
      </c>
      <c r="K594" s="2">
        <v>40</v>
      </c>
      <c r="L594" s="2" t="s">
        <v>64</v>
      </c>
      <c r="M594" s="4">
        <v>3.9</v>
      </c>
      <c r="N594" s="5">
        <v>255</v>
      </c>
      <c r="O594" s="3">
        <v>45787</v>
      </c>
      <c r="P594" s="2" t="s">
        <v>2390</v>
      </c>
      <c r="Q594" s="2" t="s">
        <v>29</v>
      </c>
      <c r="R594" s="2" t="s">
        <v>58</v>
      </c>
      <c r="S594" s="2" t="s">
        <v>59</v>
      </c>
      <c r="T594" s="2"/>
    </row>
    <row r="595" spans="1:20" ht="12.5" x14ac:dyDescent="0.25">
      <c r="A595" s="2" t="s">
        <v>2201</v>
      </c>
      <c r="B595" s="2" t="s">
        <v>2202</v>
      </c>
      <c r="C595" s="2" t="s">
        <v>2203</v>
      </c>
      <c r="D595" s="2" t="s">
        <v>2204</v>
      </c>
      <c r="E595" s="2" t="s">
        <v>48</v>
      </c>
      <c r="F595" s="2" t="s">
        <v>25</v>
      </c>
      <c r="G595" s="5">
        <v>3307</v>
      </c>
      <c r="H595" s="5">
        <v>30</v>
      </c>
      <c r="I595" s="5">
        <v>2315</v>
      </c>
      <c r="J595" s="5">
        <v>2</v>
      </c>
      <c r="K595" s="2" t="s">
        <v>163</v>
      </c>
      <c r="L595" s="2" t="s">
        <v>88</v>
      </c>
      <c r="M595" s="4">
        <v>3.9</v>
      </c>
      <c r="N595" s="5">
        <v>197</v>
      </c>
      <c r="O595" s="3">
        <v>45841</v>
      </c>
      <c r="P595" s="2" t="s">
        <v>2391</v>
      </c>
      <c r="Q595" s="2" t="s">
        <v>78</v>
      </c>
      <c r="R595" s="2" t="s">
        <v>41</v>
      </c>
      <c r="S595" s="2" t="s">
        <v>42</v>
      </c>
      <c r="T595" s="2" t="s">
        <v>50</v>
      </c>
    </row>
    <row r="596" spans="1:20" ht="12.5" x14ac:dyDescent="0.25">
      <c r="A596" s="2" t="s">
        <v>2205</v>
      </c>
      <c r="B596" s="2" t="s">
        <v>460</v>
      </c>
      <c r="C596" s="2" t="s">
        <v>2206</v>
      </c>
      <c r="D596" s="2" t="s">
        <v>2207</v>
      </c>
      <c r="E596" s="2" t="s">
        <v>147</v>
      </c>
      <c r="F596" s="2" t="s">
        <v>148</v>
      </c>
      <c r="G596" s="5">
        <v>2504</v>
      </c>
      <c r="H596" s="5">
        <v>35</v>
      </c>
      <c r="I596" s="5">
        <v>1628</v>
      </c>
      <c r="J596" s="5">
        <v>3</v>
      </c>
      <c r="K596" s="2" t="s">
        <v>26</v>
      </c>
      <c r="L596" s="2" t="s">
        <v>88</v>
      </c>
      <c r="M596" s="4">
        <v>4.4000000000000004</v>
      </c>
      <c r="N596" s="5">
        <v>159</v>
      </c>
      <c r="O596" s="3">
        <v>45809</v>
      </c>
      <c r="P596" s="2" t="s">
        <v>2390</v>
      </c>
      <c r="Q596" s="2" t="s">
        <v>65</v>
      </c>
      <c r="R596" s="2" t="s">
        <v>185</v>
      </c>
      <c r="S596" s="2" t="s">
        <v>186</v>
      </c>
      <c r="T596" s="2"/>
    </row>
    <row r="597" spans="1:20" ht="12.5" x14ac:dyDescent="0.25">
      <c r="A597" s="2" t="s">
        <v>2208</v>
      </c>
      <c r="B597" s="2" t="s">
        <v>1990</v>
      </c>
      <c r="C597" s="2" t="s">
        <v>2209</v>
      </c>
      <c r="D597" s="2" t="s">
        <v>2210</v>
      </c>
      <c r="E597" s="2" t="s">
        <v>37</v>
      </c>
      <c r="F597" s="2" t="s">
        <v>38</v>
      </c>
      <c r="G597" s="5">
        <v>2409</v>
      </c>
      <c r="H597" s="5">
        <v>30</v>
      </c>
      <c r="I597" s="5">
        <v>1687</v>
      </c>
      <c r="J597" s="5">
        <v>2</v>
      </c>
      <c r="K597" s="2" t="s">
        <v>226</v>
      </c>
      <c r="L597" s="2" t="s">
        <v>27</v>
      </c>
      <c r="M597" s="4">
        <v>3.8</v>
      </c>
      <c r="N597" s="5">
        <v>76</v>
      </c>
      <c r="O597" s="3">
        <v>45836</v>
      </c>
      <c r="P597" s="2" t="s">
        <v>2391</v>
      </c>
      <c r="Q597" s="2" t="s">
        <v>78</v>
      </c>
      <c r="R597" s="2" t="s">
        <v>185</v>
      </c>
      <c r="S597" s="2" t="s">
        <v>186</v>
      </c>
      <c r="T597" s="2" t="s">
        <v>50</v>
      </c>
    </row>
    <row r="598" spans="1:20" ht="12.5" x14ac:dyDescent="0.25">
      <c r="A598" s="2" t="s">
        <v>2211</v>
      </c>
      <c r="B598" s="2" t="s">
        <v>713</v>
      </c>
      <c r="C598" s="2" t="s">
        <v>1207</v>
      </c>
      <c r="D598" s="2" t="s">
        <v>2212</v>
      </c>
      <c r="E598" s="2" t="s">
        <v>122</v>
      </c>
      <c r="F598" s="2" t="s">
        <v>123</v>
      </c>
      <c r="G598" s="5">
        <v>3307</v>
      </c>
      <c r="H598" s="5">
        <v>40</v>
      </c>
      <c r="I598" s="5">
        <v>1985</v>
      </c>
      <c r="J598" s="5">
        <v>2</v>
      </c>
      <c r="K598" s="2" t="s">
        <v>26</v>
      </c>
      <c r="L598" s="2" t="s">
        <v>27</v>
      </c>
      <c r="M598" s="4">
        <v>4.4000000000000004</v>
      </c>
      <c r="N598" s="5">
        <v>220</v>
      </c>
      <c r="O598" s="3">
        <v>45858</v>
      </c>
      <c r="P598" s="2" t="s">
        <v>2390</v>
      </c>
      <c r="Q598" s="2" t="s">
        <v>65</v>
      </c>
      <c r="R598" s="2" t="s">
        <v>58</v>
      </c>
      <c r="S598" s="2" t="s">
        <v>59</v>
      </c>
      <c r="T598" s="2"/>
    </row>
    <row r="599" spans="1:20" ht="12.5" x14ac:dyDescent="0.25">
      <c r="A599" s="2" t="s">
        <v>2213</v>
      </c>
      <c r="B599" s="2" t="s">
        <v>2214</v>
      </c>
      <c r="C599" s="2" t="s">
        <v>1659</v>
      </c>
      <c r="D599" s="2" t="s">
        <v>2215</v>
      </c>
      <c r="E599" s="2" t="s">
        <v>147</v>
      </c>
      <c r="F599" s="2" t="s">
        <v>148</v>
      </c>
      <c r="G599" s="5">
        <v>1640</v>
      </c>
      <c r="H599" s="5">
        <v>20</v>
      </c>
      <c r="I599" s="5">
        <v>1312</v>
      </c>
      <c r="J599" s="5">
        <v>1</v>
      </c>
      <c r="K599" s="2" t="s">
        <v>163</v>
      </c>
      <c r="L599" s="2" t="s">
        <v>49</v>
      </c>
      <c r="M599" s="4">
        <v>3.7</v>
      </c>
      <c r="N599" s="5">
        <v>242</v>
      </c>
      <c r="O599" s="3">
        <v>45809</v>
      </c>
      <c r="P599" s="2" t="s">
        <v>2392</v>
      </c>
      <c r="Q599" s="2" t="s">
        <v>78</v>
      </c>
      <c r="R599" s="2" t="s">
        <v>30</v>
      </c>
      <c r="S599" s="2" t="s">
        <v>31</v>
      </c>
      <c r="T599" s="2"/>
    </row>
    <row r="600" spans="1:20" ht="12.5" x14ac:dyDescent="0.25">
      <c r="A600" s="2" t="s">
        <v>2216</v>
      </c>
      <c r="B600" s="2" t="s">
        <v>2217</v>
      </c>
      <c r="C600" s="2" t="s">
        <v>2218</v>
      </c>
      <c r="D600" s="2" t="s">
        <v>2219</v>
      </c>
      <c r="E600" s="2" t="s">
        <v>147</v>
      </c>
      <c r="F600" s="2" t="s">
        <v>148</v>
      </c>
      <c r="G600" s="5">
        <v>948</v>
      </c>
      <c r="H600" s="5">
        <v>20</v>
      </c>
      <c r="I600" s="5">
        <v>759</v>
      </c>
      <c r="J600" s="5">
        <v>3</v>
      </c>
      <c r="K600" s="2">
        <v>40</v>
      </c>
      <c r="L600" s="2" t="s">
        <v>168</v>
      </c>
      <c r="M600" s="4">
        <v>4.5</v>
      </c>
      <c r="N600" s="5">
        <v>57</v>
      </c>
      <c r="O600" s="3">
        <v>45792</v>
      </c>
      <c r="P600" s="2" t="s">
        <v>2390</v>
      </c>
      <c r="Q600" s="2" t="s">
        <v>29</v>
      </c>
      <c r="R600" s="2" t="s">
        <v>30</v>
      </c>
      <c r="S600" s="2" t="s">
        <v>31</v>
      </c>
      <c r="T600" s="2"/>
    </row>
    <row r="601" spans="1:20" ht="12.5" x14ac:dyDescent="0.25">
      <c r="A601" s="2" t="s">
        <v>2220</v>
      </c>
      <c r="B601" s="2" t="s">
        <v>659</v>
      </c>
      <c r="C601" s="2" t="s">
        <v>2221</v>
      </c>
      <c r="D601" s="2" t="s">
        <v>2222</v>
      </c>
      <c r="E601" s="2" t="s">
        <v>55</v>
      </c>
      <c r="F601" s="2" t="s">
        <v>38</v>
      </c>
      <c r="G601" s="5">
        <v>4541</v>
      </c>
      <c r="H601" s="5">
        <v>20</v>
      </c>
      <c r="I601" s="5">
        <v>3633</v>
      </c>
      <c r="J601" s="5">
        <v>3</v>
      </c>
      <c r="K601" s="2" t="s">
        <v>26</v>
      </c>
      <c r="L601" s="2" t="s">
        <v>209</v>
      </c>
      <c r="M601" s="4">
        <v>3.8</v>
      </c>
      <c r="N601" s="5">
        <v>225</v>
      </c>
      <c r="O601" s="3">
        <v>45805</v>
      </c>
      <c r="P601" s="2" t="s">
        <v>2390</v>
      </c>
      <c r="Q601" s="2" t="s">
        <v>29</v>
      </c>
      <c r="R601" s="2" t="s">
        <v>149</v>
      </c>
      <c r="S601" s="2" t="s">
        <v>150</v>
      </c>
      <c r="T601" s="2"/>
    </row>
    <row r="602" spans="1:20" ht="12.5" x14ac:dyDescent="0.25">
      <c r="A602" s="2" t="s">
        <v>2223</v>
      </c>
      <c r="B602" s="2" t="s">
        <v>2224</v>
      </c>
      <c r="C602" s="2" t="s">
        <v>2225</v>
      </c>
      <c r="D602" s="2" t="s">
        <v>2226</v>
      </c>
      <c r="E602" s="2" t="s">
        <v>247</v>
      </c>
      <c r="F602" s="2" t="s">
        <v>248</v>
      </c>
      <c r="G602" s="5">
        <v>3056</v>
      </c>
      <c r="H602" s="5">
        <v>10</v>
      </c>
      <c r="I602" s="5">
        <v>2751</v>
      </c>
      <c r="J602" s="5">
        <v>1</v>
      </c>
      <c r="K602" s="2">
        <v>40</v>
      </c>
      <c r="L602" s="2" t="s">
        <v>64</v>
      </c>
      <c r="M602" s="4">
        <v>5</v>
      </c>
      <c r="N602" s="5">
        <v>48</v>
      </c>
      <c r="O602" s="3">
        <v>45794</v>
      </c>
      <c r="P602" s="2" t="s">
        <v>2392</v>
      </c>
      <c r="Q602" s="2" t="s">
        <v>65</v>
      </c>
      <c r="R602" s="2" t="s">
        <v>58</v>
      </c>
      <c r="S602" s="2" t="s">
        <v>59</v>
      </c>
      <c r="T602" s="2"/>
    </row>
    <row r="603" spans="1:20" ht="12.5" x14ac:dyDescent="0.25">
      <c r="A603" s="2" t="s">
        <v>2227</v>
      </c>
      <c r="B603" s="2" t="s">
        <v>1236</v>
      </c>
      <c r="C603" s="2" t="s">
        <v>2228</v>
      </c>
      <c r="D603" s="2" t="s">
        <v>2229</v>
      </c>
      <c r="E603" s="2" t="s">
        <v>37</v>
      </c>
      <c r="F603" s="2" t="s">
        <v>38</v>
      </c>
      <c r="G603" s="5">
        <v>4849</v>
      </c>
      <c r="H603" s="5">
        <v>15</v>
      </c>
      <c r="I603" s="5">
        <v>4122</v>
      </c>
      <c r="J603" s="5">
        <v>1</v>
      </c>
      <c r="K603" s="2" t="s">
        <v>163</v>
      </c>
      <c r="L603" s="2" t="s">
        <v>88</v>
      </c>
      <c r="M603" s="4">
        <v>3.9</v>
      </c>
      <c r="N603" s="5">
        <v>261</v>
      </c>
      <c r="O603" s="3">
        <v>45770</v>
      </c>
      <c r="P603" s="2" t="s">
        <v>2391</v>
      </c>
      <c r="Q603" s="2" t="s">
        <v>78</v>
      </c>
      <c r="R603" s="2" t="s">
        <v>149</v>
      </c>
      <c r="S603" s="2" t="s">
        <v>150</v>
      </c>
      <c r="T603" s="2" t="s">
        <v>203</v>
      </c>
    </row>
    <row r="604" spans="1:20" ht="12.5" x14ac:dyDescent="0.25">
      <c r="A604" s="2" t="s">
        <v>2230</v>
      </c>
      <c r="B604" s="2" t="s">
        <v>2131</v>
      </c>
      <c r="C604" s="2" t="s">
        <v>2231</v>
      </c>
      <c r="D604" s="2" t="s">
        <v>2232</v>
      </c>
      <c r="E604" s="2" t="s">
        <v>116</v>
      </c>
      <c r="F604" s="2" t="s">
        <v>117</v>
      </c>
      <c r="G604" s="5">
        <v>3543</v>
      </c>
      <c r="H604" s="5">
        <v>20</v>
      </c>
      <c r="I604" s="5">
        <v>2835</v>
      </c>
      <c r="J604" s="5">
        <v>1</v>
      </c>
      <c r="K604" s="2" t="s">
        <v>26</v>
      </c>
      <c r="L604" s="2" t="s">
        <v>168</v>
      </c>
      <c r="M604" s="4">
        <v>4.4000000000000004</v>
      </c>
      <c r="N604" s="5">
        <v>213</v>
      </c>
      <c r="O604" s="3">
        <v>45831</v>
      </c>
      <c r="P604" s="2" t="s">
        <v>2390</v>
      </c>
      <c r="Q604" s="2" t="s">
        <v>65</v>
      </c>
      <c r="R604" s="2" t="s">
        <v>89</v>
      </c>
      <c r="S604" s="2" t="s">
        <v>90</v>
      </c>
      <c r="T604" s="2"/>
    </row>
    <row r="605" spans="1:20" ht="12.5" x14ac:dyDescent="0.25">
      <c r="A605" s="2" t="s">
        <v>2233</v>
      </c>
      <c r="B605" s="2" t="s">
        <v>709</v>
      </c>
      <c r="C605" s="2" t="s">
        <v>2234</v>
      </c>
      <c r="D605" s="2" t="s">
        <v>2235</v>
      </c>
      <c r="E605" s="2" t="s">
        <v>48</v>
      </c>
      <c r="F605" s="2" t="s">
        <v>25</v>
      </c>
      <c r="G605" s="5">
        <v>2546</v>
      </c>
      <c r="H605" s="5">
        <v>40</v>
      </c>
      <c r="I605" s="5">
        <v>1528</v>
      </c>
      <c r="J605" s="5">
        <v>2</v>
      </c>
      <c r="K605" s="2" t="s">
        <v>26</v>
      </c>
      <c r="L605" s="2" t="s">
        <v>168</v>
      </c>
      <c r="M605" s="4">
        <v>3.7</v>
      </c>
      <c r="N605" s="5">
        <v>210</v>
      </c>
      <c r="O605" s="3">
        <v>45850</v>
      </c>
      <c r="P605" s="2" t="s">
        <v>2390</v>
      </c>
      <c r="Q605" s="2" t="s">
        <v>65</v>
      </c>
      <c r="R605" s="2" t="s">
        <v>41</v>
      </c>
      <c r="S605" s="2" t="s">
        <v>42</v>
      </c>
      <c r="T605" s="2"/>
    </row>
    <row r="606" spans="1:20" ht="12.5" x14ac:dyDescent="0.25">
      <c r="A606" s="2" t="s">
        <v>2236</v>
      </c>
      <c r="B606" s="2" t="s">
        <v>479</v>
      </c>
      <c r="C606" s="2" t="s">
        <v>2237</v>
      </c>
      <c r="D606" s="2" t="s">
        <v>2238</v>
      </c>
      <c r="E606" s="2" t="s">
        <v>208</v>
      </c>
      <c r="F606" s="2" t="s">
        <v>117</v>
      </c>
      <c r="G606" s="5">
        <v>4118</v>
      </c>
      <c r="H606" s="5">
        <v>30</v>
      </c>
      <c r="I606" s="5">
        <v>2883</v>
      </c>
      <c r="J606" s="5">
        <v>2</v>
      </c>
      <c r="K606" s="2">
        <v>44</v>
      </c>
      <c r="L606" s="2" t="s">
        <v>73</v>
      </c>
      <c r="M606" s="4">
        <v>4.3</v>
      </c>
      <c r="N606" s="5">
        <v>214</v>
      </c>
      <c r="O606" s="3">
        <v>45772</v>
      </c>
      <c r="P606" s="2" t="s">
        <v>2392</v>
      </c>
      <c r="Q606" s="2" t="s">
        <v>78</v>
      </c>
      <c r="R606" s="2" t="s">
        <v>83</v>
      </c>
      <c r="S606" s="2" t="s">
        <v>83</v>
      </c>
      <c r="T606" s="2"/>
    </row>
    <row r="607" spans="1:20" ht="12.5" x14ac:dyDescent="0.25">
      <c r="A607" s="2" t="s">
        <v>2239</v>
      </c>
      <c r="B607" s="2" t="s">
        <v>607</v>
      </c>
      <c r="C607" s="2" t="s">
        <v>2240</v>
      </c>
      <c r="D607" s="2" t="s">
        <v>2241</v>
      </c>
      <c r="E607" s="2" t="s">
        <v>122</v>
      </c>
      <c r="F607" s="2" t="s">
        <v>123</v>
      </c>
      <c r="G607" s="5">
        <v>2890</v>
      </c>
      <c r="H607" s="5">
        <v>10</v>
      </c>
      <c r="I607" s="5">
        <v>2601</v>
      </c>
      <c r="J607" s="5">
        <v>1</v>
      </c>
      <c r="K607" s="2" t="s">
        <v>163</v>
      </c>
      <c r="L607" s="2" t="s">
        <v>49</v>
      </c>
      <c r="M607" s="4">
        <v>4.4000000000000004</v>
      </c>
      <c r="N607" s="5">
        <v>76</v>
      </c>
      <c r="O607" s="3">
        <v>45817</v>
      </c>
      <c r="P607" s="2" t="s">
        <v>2390</v>
      </c>
      <c r="Q607" s="2" t="s">
        <v>78</v>
      </c>
      <c r="R607" s="2" t="s">
        <v>83</v>
      </c>
      <c r="S607" s="2" t="s">
        <v>83</v>
      </c>
      <c r="T607" s="2"/>
    </row>
    <row r="608" spans="1:20" ht="12.5" x14ac:dyDescent="0.25">
      <c r="A608" s="2" t="s">
        <v>2242</v>
      </c>
      <c r="B608" s="2" t="s">
        <v>1506</v>
      </c>
      <c r="C608" s="2" t="s">
        <v>2243</v>
      </c>
      <c r="D608" s="2" t="s">
        <v>2244</v>
      </c>
      <c r="E608" s="2" t="s">
        <v>247</v>
      </c>
      <c r="F608" s="2" t="s">
        <v>248</v>
      </c>
      <c r="G608" s="5">
        <v>2741</v>
      </c>
      <c r="H608" s="5">
        <v>20</v>
      </c>
      <c r="I608" s="5">
        <v>2193</v>
      </c>
      <c r="J608" s="5">
        <v>2</v>
      </c>
      <c r="K608" s="2">
        <v>42</v>
      </c>
      <c r="L608" s="2" t="s">
        <v>133</v>
      </c>
      <c r="M608" s="4">
        <v>4.0999999999999996</v>
      </c>
      <c r="N608" s="5">
        <v>61</v>
      </c>
      <c r="O608" s="3">
        <v>45803</v>
      </c>
      <c r="P608" s="2" t="s">
        <v>2392</v>
      </c>
      <c r="Q608" s="2" t="s">
        <v>29</v>
      </c>
      <c r="R608" s="2" t="s">
        <v>30</v>
      </c>
      <c r="S608" s="2" t="s">
        <v>31</v>
      </c>
      <c r="T608" s="2"/>
    </row>
    <row r="609" spans="1:20" ht="12.5" x14ac:dyDescent="0.25">
      <c r="A609" s="2" t="s">
        <v>2245</v>
      </c>
      <c r="B609" s="2" t="s">
        <v>420</v>
      </c>
      <c r="C609" s="2" t="s">
        <v>2246</v>
      </c>
      <c r="D609" s="2" t="s">
        <v>2247</v>
      </c>
      <c r="E609" s="2" t="s">
        <v>24</v>
      </c>
      <c r="F609" s="2" t="s">
        <v>25</v>
      </c>
      <c r="G609" s="5">
        <v>3452</v>
      </c>
      <c r="H609" s="5">
        <v>20</v>
      </c>
      <c r="I609" s="5">
        <v>2762</v>
      </c>
      <c r="J609" s="5">
        <v>1</v>
      </c>
      <c r="K609" s="2">
        <v>44</v>
      </c>
      <c r="L609" s="2" t="s">
        <v>88</v>
      </c>
      <c r="M609" s="4">
        <v>4.0999999999999996</v>
      </c>
      <c r="N609" s="5">
        <v>239</v>
      </c>
      <c r="O609" s="3">
        <v>45814</v>
      </c>
      <c r="P609" s="2" t="s">
        <v>2392</v>
      </c>
      <c r="Q609" s="2" t="s">
        <v>65</v>
      </c>
      <c r="R609" s="2" t="s">
        <v>104</v>
      </c>
      <c r="S609" s="2" t="s">
        <v>105</v>
      </c>
      <c r="T609" s="2"/>
    </row>
    <row r="610" spans="1:20" ht="12.5" x14ac:dyDescent="0.25">
      <c r="A610" s="2" t="s">
        <v>2248</v>
      </c>
      <c r="B610" s="2" t="s">
        <v>529</v>
      </c>
      <c r="C610" s="2" t="s">
        <v>2249</v>
      </c>
      <c r="D610" s="2" t="s">
        <v>2250</v>
      </c>
      <c r="E610" s="2" t="s">
        <v>48</v>
      </c>
      <c r="F610" s="2" t="s">
        <v>25</v>
      </c>
      <c r="G610" s="5">
        <v>4987</v>
      </c>
      <c r="H610" s="5">
        <v>35</v>
      </c>
      <c r="I610" s="5">
        <v>3242</v>
      </c>
      <c r="J610" s="5">
        <v>2</v>
      </c>
      <c r="K610" s="2" t="s">
        <v>163</v>
      </c>
      <c r="L610" s="2" t="s">
        <v>88</v>
      </c>
      <c r="M610" s="4">
        <v>3.8</v>
      </c>
      <c r="N610" s="5">
        <v>70</v>
      </c>
      <c r="O610" s="3">
        <v>45820</v>
      </c>
      <c r="P610" s="2" t="s">
        <v>2391</v>
      </c>
      <c r="Q610" s="2" t="s">
        <v>65</v>
      </c>
      <c r="R610" s="2" t="s">
        <v>89</v>
      </c>
      <c r="S610" s="2" t="s">
        <v>90</v>
      </c>
      <c r="T610" s="2" t="s">
        <v>43</v>
      </c>
    </row>
    <row r="611" spans="1:20" ht="12.5" x14ac:dyDescent="0.25">
      <c r="A611" s="2" t="s">
        <v>2251</v>
      </c>
      <c r="B611" s="2" t="s">
        <v>966</v>
      </c>
      <c r="C611" s="2" t="s">
        <v>2252</v>
      </c>
      <c r="D611" s="2" t="s">
        <v>2253</v>
      </c>
      <c r="E611" s="2" t="s">
        <v>24</v>
      </c>
      <c r="F611" s="2" t="s">
        <v>25</v>
      </c>
      <c r="G611" s="5">
        <v>2068</v>
      </c>
      <c r="H611" s="5">
        <v>15</v>
      </c>
      <c r="I611" s="5">
        <v>1758</v>
      </c>
      <c r="J611" s="5">
        <v>2</v>
      </c>
      <c r="K611" s="2" t="s">
        <v>163</v>
      </c>
      <c r="L611" s="2" t="s">
        <v>39</v>
      </c>
      <c r="M611" s="4">
        <v>4.7</v>
      </c>
      <c r="N611" s="5">
        <v>76</v>
      </c>
      <c r="O611" s="3">
        <v>45835</v>
      </c>
      <c r="P611" s="2" t="s">
        <v>2391</v>
      </c>
      <c r="Q611" s="2" t="s">
        <v>65</v>
      </c>
      <c r="R611" s="2" t="s">
        <v>104</v>
      </c>
      <c r="S611" s="2" t="s">
        <v>105</v>
      </c>
      <c r="T611" s="2" t="s">
        <v>134</v>
      </c>
    </row>
    <row r="612" spans="1:20" ht="12.5" x14ac:dyDescent="0.25">
      <c r="A612" s="2" t="s">
        <v>2254</v>
      </c>
      <c r="B612" s="2" t="s">
        <v>2255</v>
      </c>
      <c r="C612" s="2" t="s">
        <v>2256</v>
      </c>
      <c r="D612" s="2" t="s">
        <v>2257</v>
      </c>
      <c r="E612" s="2" t="s">
        <v>24</v>
      </c>
      <c r="F612" s="2" t="s">
        <v>25</v>
      </c>
      <c r="G612" s="5">
        <v>1870</v>
      </c>
      <c r="H612" s="5">
        <v>20</v>
      </c>
      <c r="I612" s="5">
        <v>1496</v>
      </c>
      <c r="J612" s="5">
        <v>1</v>
      </c>
      <c r="K612" s="2" t="s">
        <v>56</v>
      </c>
      <c r="L612" s="2" t="s">
        <v>27</v>
      </c>
      <c r="M612" s="4">
        <v>3.9</v>
      </c>
      <c r="N612" s="5">
        <v>104</v>
      </c>
      <c r="O612" s="3">
        <v>45812</v>
      </c>
      <c r="P612" s="2" t="s">
        <v>2390</v>
      </c>
      <c r="Q612" s="2" t="s">
        <v>29</v>
      </c>
      <c r="R612" s="2" t="s">
        <v>89</v>
      </c>
      <c r="S612" s="2" t="s">
        <v>90</v>
      </c>
      <c r="T612" s="2"/>
    </row>
    <row r="613" spans="1:20" ht="12.5" x14ac:dyDescent="0.25">
      <c r="A613" s="2" t="s">
        <v>2258</v>
      </c>
      <c r="B613" s="2" t="s">
        <v>2259</v>
      </c>
      <c r="C613" s="2" t="s">
        <v>2260</v>
      </c>
      <c r="D613" s="2" t="s">
        <v>2261</v>
      </c>
      <c r="E613" s="2" t="s">
        <v>55</v>
      </c>
      <c r="F613" s="2" t="s">
        <v>38</v>
      </c>
      <c r="G613" s="5">
        <v>611</v>
      </c>
      <c r="H613" s="5">
        <v>30</v>
      </c>
      <c r="I613" s="5">
        <v>428</v>
      </c>
      <c r="J613" s="5">
        <v>1</v>
      </c>
      <c r="K613" s="2" t="s">
        <v>226</v>
      </c>
      <c r="L613" s="2" t="s">
        <v>209</v>
      </c>
      <c r="M613" s="4">
        <v>4.4000000000000004</v>
      </c>
      <c r="N613" s="5">
        <v>274</v>
      </c>
      <c r="O613" s="3">
        <v>45807</v>
      </c>
      <c r="P613" s="2" t="s">
        <v>2390</v>
      </c>
      <c r="Q613" s="2" t="s">
        <v>29</v>
      </c>
      <c r="R613" s="2" t="s">
        <v>185</v>
      </c>
      <c r="S613" s="2" t="s">
        <v>186</v>
      </c>
      <c r="T613" s="2"/>
    </row>
    <row r="614" spans="1:20" ht="12.5" x14ac:dyDescent="0.25">
      <c r="A614" s="2" t="s">
        <v>2262</v>
      </c>
      <c r="B614" s="2" t="s">
        <v>1854</v>
      </c>
      <c r="C614" s="2" t="s">
        <v>2263</v>
      </c>
      <c r="D614" s="2" t="s">
        <v>2264</v>
      </c>
      <c r="E614" s="2" t="s">
        <v>147</v>
      </c>
      <c r="F614" s="2" t="s">
        <v>148</v>
      </c>
      <c r="G614" s="5">
        <v>4811</v>
      </c>
      <c r="H614" s="5">
        <v>30</v>
      </c>
      <c r="I614" s="5">
        <v>3368</v>
      </c>
      <c r="J614" s="5">
        <v>3</v>
      </c>
      <c r="K614" s="2" t="s">
        <v>226</v>
      </c>
      <c r="L614" s="2" t="s">
        <v>168</v>
      </c>
      <c r="M614" s="4">
        <v>3.9</v>
      </c>
      <c r="N614" s="5">
        <v>229</v>
      </c>
      <c r="O614" s="3">
        <v>45793</v>
      </c>
      <c r="P614" s="2" t="s">
        <v>2392</v>
      </c>
      <c r="Q614" s="2" t="s">
        <v>29</v>
      </c>
      <c r="R614" s="2" t="s">
        <v>185</v>
      </c>
      <c r="S614" s="2" t="s">
        <v>186</v>
      </c>
      <c r="T614" s="2"/>
    </row>
    <row r="615" spans="1:20" ht="12.5" x14ac:dyDescent="0.25">
      <c r="A615" s="2" t="s">
        <v>2265</v>
      </c>
      <c r="B615" s="2" t="s">
        <v>396</v>
      </c>
      <c r="C615" s="2" t="s">
        <v>2266</v>
      </c>
      <c r="D615" s="2" t="s">
        <v>2267</v>
      </c>
      <c r="E615" s="2" t="s">
        <v>122</v>
      </c>
      <c r="F615" s="2" t="s">
        <v>123</v>
      </c>
      <c r="G615" s="5">
        <v>3316</v>
      </c>
      <c r="H615" s="5">
        <v>20</v>
      </c>
      <c r="I615" s="5">
        <v>2653</v>
      </c>
      <c r="J615" s="5">
        <v>3</v>
      </c>
      <c r="K615" s="2" t="s">
        <v>261</v>
      </c>
      <c r="L615" s="2" t="s">
        <v>103</v>
      </c>
      <c r="M615" s="4">
        <v>4.5999999999999996</v>
      </c>
      <c r="N615" s="5">
        <v>142</v>
      </c>
      <c r="O615" s="3">
        <v>45769</v>
      </c>
      <c r="P615" s="2" t="s">
        <v>2390</v>
      </c>
      <c r="Q615" s="2" t="s">
        <v>65</v>
      </c>
      <c r="R615" s="2" t="s">
        <v>110</v>
      </c>
      <c r="S615" s="2" t="s">
        <v>111</v>
      </c>
      <c r="T615" s="2"/>
    </row>
    <row r="616" spans="1:20" ht="12.5" x14ac:dyDescent="0.25">
      <c r="A616" s="2" t="s">
        <v>2268</v>
      </c>
      <c r="B616" s="2" t="s">
        <v>468</v>
      </c>
      <c r="C616" s="2" t="s">
        <v>2269</v>
      </c>
      <c r="D616" s="2" t="s">
        <v>2270</v>
      </c>
      <c r="E616" s="2" t="s">
        <v>147</v>
      </c>
      <c r="F616" s="2" t="s">
        <v>148</v>
      </c>
      <c r="G616" s="5">
        <v>3428</v>
      </c>
      <c r="H616" s="5">
        <v>35</v>
      </c>
      <c r="I616" s="5">
        <v>2229</v>
      </c>
      <c r="J616" s="5">
        <v>1</v>
      </c>
      <c r="K616" s="2" t="s">
        <v>163</v>
      </c>
      <c r="L616" s="2" t="s">
        <v>168</v>
      </c>
      <c r="M616" s="4">
        <v>4.8</v>
      </c>
      <c r="N616" s="5">
        <v>232</v>
      </c>
      <c r="O616" s="3">
        <v>45858</v>
      </c>
      <c r="P616" s="2" t="s">
        <v>2390</v>
      </c>
      <c r="Q616" s="2" t="s">
        <v>78</v>
      </c>
      <c r="R616" s="2" t="s">
        <v>149</v>
      </c>
      <c r="S616" s="2" t="s">
        <v>150</v>
      </c>
      <c r="T616" s="2"/>
    </row>
    <row r="617" spans="1:20" ht="12.5" x14ac:dyDescent="0.25">
      <c r="A617" s="2" t="s">
        <v>2271</v>
      </c>
      <c r="B617" s="2" t="s">
        <v>909</v>
      </c>
      <c r="C617" s="2" t="s">
        <v>2272</v>
      </c>
      <c r="D617" s="2" t="s">
        <v>2273</v>
      </c>
      <c r="E617" s="2" t="s">
        <v>208</v>
      </c>
      <c r="F617" s="2" t="s">
        <v>117</v>
      </c>
      <c r="G617" s="5">
        <v>3111</v>
      </c>
      <c r="H617" s="5">
        <v>20</v>
      </c>
      <c r="I617" s="5">
        <v>2489</v>
      </c>
      <c r="J617" s="5">
        <v>2</v>
      </c>
      <c r="K617" s="2">
        <v>42</v>
      </c>
      <c r="L617" s="2" t="s">
        <v>64</v>
      </c>
      <c r="M617" s="4">
        <v>4.3</v>
      </c>
      <c r="N617" s="5">
        <v>198</v>
      </c>
      <c r="O617" s="3">
        <v>45847</v>
      </c>
      <c r="P617" s="2" t="s">
        <v>2390</v>
      </c>
      <c r="Q617" s="2" t="s">
        <v>65</v>
      </c>
      <c r="R617" s="2" t="s">
        <v>41</v>
      </c>
      <c r="S617" s="2" t="s">
        <v>42</v>
      </c>
      <c r="T617" s="2"/>
    </row>
    <row r="618" spans="1:20" ht="12.5" x14ac:dyDescent="0.25">
      <c r="A618" s="2" t="s">
        <v>2274</v>
      </c>
      <c r="B618" s="2" t="s">
        <v>2175</v>
      </c>
      <c r="C618" s="2" t="s">
        <v>2275</v>
      </c>
      <c r="D618" s="2" t="s">
        <v>2276</v>
      </c>
      <c r="E618" s="2" t="s">
        <v>247</v>
      </c>
      <c r="F618" s="2" t="s">
        <v>248</v>
      </c>
      <c r="G618" s="5">
        <v>3794</v>
      </c>
      <c r="H618" s="5">
        <v>15</v>
      </c>
      <c r="I618" s="5">
        <v>3225</v>
      </c>
      <c r="J618" s="5">
        <v>3</v>
      </c>
      <c r="K618" s="2">
        <v>42</v>
      </c>
      <c r="L618" s="2" t="s">
        <v>39</v>
      </c>
      <c r="M618" s="4">
        <v>4.8</v>
      </c>
      <c r="N618" s="5">
        <v>235</v>
      </c>
      <c r="O618" s="3">
        <v>45853</v>
      </c>
      <c r="P618" s="2" t="s">
        <v>2391</v>
      </c>
      <c r="Q618" s="2" t="s">
        <v>78</v>
      </c>
      <c r="R618" s="2" t="s">
        <v>83</v>
      </c>
      <c r="S618" s="2" t="s">
        <v>83</v>
      </c>
      <c r="T618" s="2" t="s">
        <v>43</v>
      </c>
    </row>
    <row r="619" spans="1:20" ht="12.5" x14ac:dyDescent="0.25">
      <c r="A619" s="2" t="s">
        <v>2277</v>
      </c>
      <c r="B619" s="2" t="s">
        <v>2278</v>
      </c>
      <c r="C619" s="2" t="s">
        <v>2279</v>
      </c>
      <c r="D619" s="2" t="s">
        <v>2280</v>
      </c>
      <c r="E619" s="2" t="s">
        <v>24</v>
      </c>
      <c r="F619" s="2" t="s">
        <v>25</v>
      </c>
      <c r="G619" s="5">
        <v>4217</v>
      </c>
      <c r="H619" s="5">
        <v>25</v>
      </c>
      <c r="I619" s="5">
        <v>3163</v>
      </c>
      <c r="J619" s="5">
        <v>1</v>
      </c>
      <c r="K619" s="2" t="s">
        <v>226</v>
      </c>
      <c r="L619" s="2" t="s">
        <v>168</v>
      </c>
      <c r="M619" s="4">
        <v>4.7</v>
      </c>
      <c r="N619" s="5">
        <v>118</v>
      </c>
      <c r="O619" s="3">
        <v>45773</v>
      </c>
      <c r="P619" s="2" t="s">
        <v>2392</v>
      </c>
      <c r="Q619" s="2" t="s">
        <v>29</v>
      </c>
      <c r="R619" s="2" t="s">
        <v>104</v>
      </c>
      <c r="S619" s="2" t="s">
        <v>105</v>
      </c>
      <c r="T619" s="2"/>
    </row>
    <row r="620" spans="1:20" ht="12.5" x14ac:dyDescent="0.25">
      <c r="A620" s="2" t="s">
        <v>2281</v>
      </c>
      <c r="B620" s="2" t="s">
        <v>2282</v>
      </c>
      <c r="C620" s="2" t="s">
        <v>93</v>
      </c>
      <c r="D620" s="2" t="s">
        <v>2283</v>
      </c>
      <c r="E620" s="2" t="s">
        <v>24</v>
      </c>
      <c r="F620" s="2" t="s">
        <v>25</v>
      </c>
      <c r="G620" s="5">
        <v>3001</v>
      </c>
      <c r="H620" s="5">
        <v>20</v>
      </c>
      <c r="I620" s="5">
        <v>2401</v>
      </c>
      <c r="J620" s="5">
        <v>1</v>
      </c>
      <c r="K620" s="2" t="s">
        <v>163</v>
      </c>
      <c r="L620" s="2" t="s">
        <v>49</v>
      </c>
      <c r="M620" s="4">
        <v>4.5999999999999996</v>
      </c>
      <c r="N620" s="5">
        <v>138</v>
      </c>
      <c r="O620" s="3">
        <v>45835</v>
      </c>
      <c r="P620" s="2" t="s">
        <v>2390</v>
      </c>
      <c r="Q620" s="2" t="s">
        <v>78</v>
      </c>
      <c r="R620" s="2" t="s">
        <v>110</v>
      </c>
      <c r="S620" s="2" t="s">
        <v>111</v>
      </c>
      <c r="T620" s="2"/>
    </row>
    <row r="621" spans="1:20" ht="12.5" x14ac:dyDescent="0.25">
      <c r="A621" s="2" t="s">
        <v>2284</v>
      </c>
      <c r="B621" s="2" t="s">
        <v>2285</v>
      </c>
      <c r="C621" s="2" t="s">
        <v>2286</v>
      </c>
      <c r="D621" s="2" t="s">
        <v>2287</v>
      </c>
      <c r="E621" s="2" t="s">
        <v>55</v>
      </c>
      <c r="F621" s="2" t="s">
        <v>38</v>
      </c>
      <c r="G621" s="5">
        <v>4231</v>
      </c>
      <c r="H621" s="5">
        <v>20</v>
      </c>
      <c r="I621" s="5">
        <v>3385</v>
      </c>
      <c r="J621" s="5">
        <v>2</v>
      </c>
      <c r="K621" s="2">
        <v>40</v>
      </c>
      <c r="L621" s="2" t="s">
        <v>49</v>
      </c>
      <c r="M621" s="4">
        <v>4.5</v>
      </c>
      <c r="N621" s="5">
        <v>72</v>
      </c>
      <c r="O621" s="3">
        <v>45838</v>
      </c>
      <c r="P621" s="2" t="s">
        <v>2392</v>
      </c>
      <c r="Q621" s="2" t="s">
        <v>29</v>
      </c>
      <c r="R621" s="2" t="s">
        <v>104</v>
      </c>
      <c r="S621" s="2" t="s">
        <v>105</v>
      </c>
      <c r="T621" s="2"/>
    </row>
    <row r="622" spans="1:20" ht="12.5" x14ac:dyDescent="0.25">
      <c r="A622" s="2" t="s">
        <v>2288</v>
      </c>
      <c r="B622" s="2" t="s">
        <v>1502</v>
      </c>
      <c r="C622" s="2" t="s">
        <v>2289</v>
      </c>
      <c r="D622" s="2" t="s">
        <v>2290</v>
      </c>
      <c r="E622" s="2" t="s">
        <v>122</v>
      </c>
      <c r="F622" s="2" t="s">
        <v>123</v>
      </c>
      <c r="G622" s="5">
        <v>860</v>
      </c>
      <c r="H622" s="5">
        <v>20</v>
      </c>
      <c r="I622" s="5">
        <v>688</v>
      </c>
      <c r="J622" s="5">
        <v>2</v>
      </c>
      <c r="K622" s="2" t="s">
        <v>226</v>
      </c>
      <c r="L622" s="2" t="s">
        <v>73</v>
      </c>
      <c r="M622" s="4">
        <v>4.5999999999999996</v>
      </c>
      <c r="N622" s="5">
        <v>148</v>
      </c>
      <c r="O622" s="3">
        <v>45833</v>
      </c>
      <c r="P622" s="2" t="s">
        <v>2390</v>
      </c>
      <c r="Q622" s="2" t="s">
        <v>78</v>
      </c>
      <c r="R622" s="2" t="s">
        <v>66</v>
      </c>
      <c r="S622" s="2" t="s">
        <v>67</v>
      </c>
      <c r="T622" s="2"/>
    </row>
    <row r="623" spans="1:20" ht="12.5" x14ac:dyDescent="0.25">
      <c r="A623" s="2" t="s">
        <v>2291</v>
      </c>
      <c r="B623" s="2" t="s">
        <v>634</v>
      </c>
      <c r="C623" s="2" t="s">
        <v>2292</v>
      </c>
      <c r="D623" s="2" t="s">
        <v>2293</v>
      </c>
      <c r="E623" s="2" t="s">
        <v>208</v>
      </c>
      <c r="F623" s="2" t="s">
        <v>117</v>
      </c>
      <c r="G623" s="5">
        <v>4740</v>
      </c>
      <c r="H623" s="5">
        <v>35</v>
      </c>
      <c r="I623" s="5">
        <v>3081</v>
      </c>
      <c r="J623" s="5">
        <v>2</v>
      </c>
      <c r="K623" s="2" t="s">
        <v>261</v>
      </c>
      <c r="L623" s="2" t="s">
        <v>73</v>
      </c>
      <c r="M623" s="4">
        <v>3.9</v>
      </c>
      <c r="N623" s="5">
        <v>103</v>
      </c>
      <c r="O623" s="3">
        <v>45835</v>
      </c>
      <c r="P623" s="2" t="s">
        <v>2390</v>
      </c>
      <c r="Q623" s="2" t="s">
        <v>29</v>
      </c>
      <c r="R623" s="2" t="s">
        <v>89</v>
      </c>
      <c r="S623" s="2" t="s">
        <v>90</v>
      </c>
      <c r="T623" s="2"/>
    </row>
    <row r="624" spans="1:20" ht="12.5" x14ac:dyDescent="0.25">
      <c r="A624" s="2" t="s">
        <v>2294</v>
      </c>
      <c r="B624" s="2" t="s">
        <v>562</v>
      </c>
      <c r="C624" s="2" t="s">
        <v>2295</v>
      </c>
      <c r="D624" s="2" t="s">
        <v>2296</v>
      </c>
      <c r="E624" s="2" t="s">
        <v>55</v>
      </c>
      <c r="F624" s="2" t="s">
        <v>38</v>
      </c>
      <c r="G624" s="5">
        <v>4963</v>
      </c>
      <c r="H624" s="5">
        <v>30</v>
      </c>
      <c r="I624" s="5">
        <v>3475</v>
      </c>
      <c r="J624" s="5">
        <v>3</v>
      </c>
      <c r="K624" s="2" t="s">
        <v>26</v>
      </c>
      <c r="L624" s="2" t="s">
        <v>88</v>
      </c>
      <c r="M624" s="4">
        <v>3.9</v>
      </c>
      <c r="N624" s="5">
        <v>276</v>
      </c>
      <c r="O624" s="3">
        <v>45836</v>
      </c>
      <c r="P624" s="2" t="s">
        <v>2392</v>
      </c>
      <c r="Q624" s="2" t="s">
        <v>65</v>
      </c>
      <c r="R624" s="2" t="s">
        <v>66</v>
      </c>
      <c r="S624" s="2" t="s">
        <v>67</v>
      </c>
      <c r="T624" s="2"/>
    </row>
    <row r="625" spans="1:20" ht="12.5" x14ac:dyDescent="0.25">
      <c r="A625" s="2" t="s">
        <v>2297</v>
      </c>
      <c r="B625" s="2" t="s">
        <v>2298</v>
      </c>
      <c r="C625" s="2" t="s">
        <v>2299</v>
      </c>
      <c r="D625" s="2" t="s">
        <v>2300</v>
      </c>
      <c r="E625" s="2" t="s">
        <v>48</v>
      </c>
      <c r="F625" s="2" t="s">
        <v>25</v>
      </c>
      <c r="G625" s="5">
        <v>2653</v>
      </c>
      <c r="H625" s="5">
        <v>35</v>
      </c>
      <c r="I625" s="5">
        <v>1725</v>
      </c>
      <c r="J625" s="5">
        <v>2</v>
      </c>
      <c r="K625" s="2">
        <v>42</v>
      </c>
      <c r="L625" s="2" t="s">
        <v>103</v>
      </c>
      <c r="M625" s="4">
        <v>3.9</v>
      </c>
      <c r="N625" s="5">
        <v>199</v>
      </c>
      <c r="O625" s="3">
        <v>45793</v>
      </c>
      <c r="P625" s="2" t="s">
        <v>2390</v>
      </c>
      <c r="Q625" s="2" t="s">
        <v>78</v>
      </c>
      <c r="R625" s="2" t="s">
        <v>89</v>
      </c>
      <c r="S625" s="2" t="s">
        <v>90</v>
      </c>
      <c r="T625" s="2"/>
    </row>
    <row r="626" spans="1:20" ht="12.5" x14ac:dyDescent="0.25">
      <c r="A626" s="2" t="s">
        <v>2301</v>
      </c>
      <c r="B626" s="2" t="s">
        <v>787</v>
      </c>
      <c r="C626" s="2" t="s">
        <v>2302</v>
      </c>
      <c r="D626" s="2" t="s">
        <v>2303</v>
      </c>
      <c r="E626" s="2" t="s">
        <v>55</v>
      </c>
      <c r="F626" s="2" t="s">
        <v>38</v>
      </c>
      <c r="G626" s="5">
        <v>1822</v>
      </c>
      <c r="H626" s="5">
        <v>35</v>
      </c>
      <c r="I626" s="5">
        <v>1185</v>
      </c>
      <c r="J626" s="5">
        <v>2</v>
      </c>
      <c r="K626" s="2">
        <v>42</v>
      </c>
      <c r="L626" s="2" t="s">
        <v>49</v>
      </c>
      <c r="M626" s="4">
        <v>3.8</v>
      </c>
      <c r="N626" s="5">
        <v>55</v>
      </c>
      <c r="O626" s="3">
        <v>45774</v>
      </c>
      <c r="P626" s="2" t="s">
        <v>2391</v>
      </c>
      <c r="Q626" s="2" t="s">
        <v>29</v>
      </c>
      <c r="R626" s="2" t="s">
        <v>30</v>
      </c>
      <c r="S626" s="2" t="s">
        <v>31</v>
      </c>
      <c r="T626" s="2"/>
    </row>
    <row r="627" spans="1:20" ht="12.5" x14ac:dyDescent="0.25">
      <c r="A627" s="2" t="s">
        <v>2304</v>
      </c>
      <c r="B627" s="2" t="s">
        <v>1868</v>
      </c>
      <c r="C627" s="2" t="s">
        <v>2305</v>
      </c>
      <c r="D627" s="2" t="s">
        <v>2306</v>
      </c>
      <c r="E627" s="2" t="s">
        <v>247</v>
      </c>
      <c r="F627" s="2" t="s">
        <v>248</v>
      </c>
      <c r="G627" s="5">
        <v>3949</v>
      </c>
      <c r="H627" s="5">
        <v>35</v>
      </c>
      <c r="I627" s="5">
        <v>2567</v>
      </c>
      <c r="J627" s="5">
        <v>1</v>
      </c>
      <c r="K627" s="2" t="s">
        <v>56</v>
      </c>
      <c r="L627" s="2" t="s">
        <v>73</v>
      </c>
      <c r="M627" s="4">
        <v>3.7</v>
      </c>
      <c r="N627" s="5">
        <v>124</v>
      </c>
      <c r="O627" s="3">
        <v>45809</v>
      </c>
      <c r="P627" s="2" t="s">
        <v>2391</v>
      </c>
      <c r="Q627" s="2" t="s">
        <v>29</v>
      </c>
      <c r="R627" s="2" t="s">
        <v>41</v>
      </c>
      <c r="S627" s="2" t="s">
        <v>42</v>
      </c>
      <c r="T627" s="2" t="s">
        <v>134</v>
      </c>
    </row>
    <row r="628" spans="1:20" ht="12.5" x14ac:dyDescent="0.25">
      <c r="A628" s="2" t="s">
        <v>2307</v>
      </c>
      <c r="B628" s="2" t="s">
        <v>2308</v>
      </c>
      <c r="C628" s="2" t="s">
        <v>2309</v>
      </c>
      <c r="D628" s="2" t="s">
        <v>2310</v>
      </c>
      <c r="E628" s="2" t="s">
        <v>24</v>
      </c>
      <c r="F628" s="2" t="s">
        <v>25</v>
      </c>
      <c r="G628" s="5">
        <v>4914</v>
      </c>
      <c r="H628" s="5">
        <v>20</v>
      </c>
      <c r="I628" s="5">
        <v>3932</v>
      </c>
      <c r="J628" s="5">
        <v>3</v>
      </c>
      <c r="K628" s="2" t="s">
        <v>72</v>
      </c>
      <c r="L628" s="2" t="s">
        <v>39</v>
      </c>
      <c r="M628" s="4">
        <v>4.5</v>
      </c>
      <c r="N628" s="5">
        <v>143</v>
      </c>
      <c r="O628" s="3">
        <v>45846</v>
      </c>
      <c r="P628" s="2" t="s">
        <v>2392</v>
      </c>
      <c r="Q628" s="2" t="s">
        <v>65</v>
      </c>
      <c r="R628" s="2" t="s">
        <v>83</v>
      </c>
      <c r="S628" s="2" t="s">
        <v>83</v>
      </c>
      <c r="T628" s="2"/>
    </row>
    <row r="629" spans="1:20" ht="12.5" x14ac:dyDescent="0.25">
      <c r="A629" s="2" t="s">
        <v>2311</v>
      </c>
      <c r="B629" s="2" t="s">
        <v>670</v>
      </c>
      <c r="C629" s="2" t="s">
        <v>2312</v>
      </c>
      <c r="D629" s="2" t="s">
        <v>2313</v>
      </c>
      <c r="E629" s="2" t="s">
        <v>122</v>
      </c>
      <c r="F629" s="2" t="s">
        <v>123</v>
      </c>
      <c r="G629" s="5">
        <v>4395</v>
      </c>
      <c r="H629" s="5">
        <v>40</v>
      </c>
      <c r="I629" s="5">
        <v>2637</v>
      </c>
      <c r="J629" s="5">
        <v>3</v>
      </c>
      <c r="K629" s="2" t="s">
        <v>56</v>
      </c>
      <c r="L629" s="2" t="s">
        <v>64</v>
      </c>
      <c r="M629" s="4">
        <v>3.8</v>
      </c>
      <c r="N629" s="5">
        <v>248</v>
      </c>
      <c r="O629" s="3">
        <v>45804</v>
      </c>
      <c r="P629" s="2" t="s">
        <v>2392</v>
      </c>
      <c r="Q629" s="2" t="s">
        <v>65</v>
      </c>
      <c r="R629" s="2" t="s">
        <v>58</v>
      </c>
      <c r="S629" s="2" t="s">
        <v>59</v>
      </c>
      <c r="T629" s="2"/>
    </row>
    <row r="630" spans="1:20" ht="12.5" x14ac:dyDescent="0.25">
      <c r="A630" s="2" t="s">
        <v>2314</v>
      </c>
      <c r="B630" s="2" t="s">
        <v>2315</v>
      </c>
      <c r="C630" s="2" t="s">
        <v>504</v>
      </c>
      <c r="D630" s="2" t="s">
        <v>2316</v>
      </c>
      <c r="E630" s="2" t="s">
        <v>122</v>
      </c>
      <c r="F630" s="2" t="s">
        <v>123</v>
      </c>
      <c r="G630" s="5">
        <v>1955</v>
      </c>
      <c r="H630" s="5">
        <v>40</v>
      </c>
      <c r="I630" s="5">
        <v>1173</v>
      </c>
      <c r="J630" s="5">
        <v>2</v>
      </c>
      <c r="K630" s="2" t="s">
        <v>226</v>
      </c>
      <c r="L630" s="2" t="s">
        <v>73</v>
      </c>
      <c r="M630" s="4">
        <v>4.8</v>
      </c>
      <c r="N630" s="5">
        <v>76</v>
      </c>
      <c r="O630" s="3">
        <v>45847</v>
      </c>
      <c r="P630" s="2" t="s">
        <v>2391</v>
      </c>
      <c r="Q630" s="2" t="s">
        <v>78</v>
      </c>
      <c r="R630" s="2" t="s">
        <v>58</v>
      </c>
      <c r="S630" s="2" t="s">
        <v>59</v>
      </c>
      <c r="T630" s="2"/>
    </row>
    <row r="631" spans="1:20" ht="12.5" x14ac:dyDescent="0.25">
      <c r="A631" s="2" t="s">
        <v>2317</v>
      </c>
      <c r="B631" s="2" t="s">
        <v>2318</v>
      </c>
      <c r="C631" s="2" t="s">
        <v>2319</v>
      </c>
      <c r="D631" s="2" t="s">
        <v>2320</v>
      </c>
      <c r="E631" s="2" t="s">
        <v>132</v>
      </c>
      <c r="F631" s="2" t="s">
        <v>38</v>
      </c>
      <c r="G631" s="5">
        <v>3063</v>
      </c>
      <c r="H631" s="5">
        <v>40</v>
      </c>
      <c r="I631" s="5">
        <v>1838</v>
      </c>
      <c r="J631" s="5">
        <v>1</v>
      </c>
      <c r="K631" s="2" t="s">
        <v>72</v>
      </c>
      <c r="L631" s="2" t="s">
        <v>39</v>
      </c>
      <c r="M631" s="4">
        <v>3.6</v>
      </c>
      <c r="N631" s="5">
        <v>181</v>
      </c>
      <c r="O631" s="3">
        <v>45802</v>
      </c>
      <c r="P631" s="2" t="s">
        <v>2391</v>
      </c>
      <c r="Q631" s="2" t="s">
        <v>78</v>
      </c>
      <c r="R631" s="2" t="s">
        <v>185</v>
      </c>
      <c r="S631" s="2" t="s">
        <v>186</v>
      </c>
      <c r="T631" s="2" t="s">
        <v>50</v>
      </c>
    </row>
    <row r="632" spans="1:20" ht="12.5" x14ac:dyDescent="0.25">
      <c r="A632" s="2" t="s">
        <v>2321</v>
      </c>
      <c r="B632" s="2" t="s">
        <v>2322</v>
      </c>
      <c r="C632" s="2" t="s">
        <v>2323</v>
      </c>
      <c r="D632" s="2" t="s">
        <v>2324</v>
      </c>
      <c r="E632" s="2" t="s">
        <v>132</v>
      </c>
      <c r="F632" s="2" t="s">
        <v>38</v>
      </c>
      <c r="G632" s="5">
        <v>2762</v>
      </c>
      <c r="H632" s="5">
        <v>15</v>
      </c>
      <c r="I632" s="5">
        <v>2348</v>
      </c>
      <c r="J632" s="5">
        <v>1</v>
      </c>
      <c r="K632" s="2">
        <v>40</v>
      </c>
      <c r="L632" s="2" t="s">
        <v>27</v>
      </c>
      <c r="M632" s="4">
        <v>5</v>
      </c>
      <c r="N632" s="5">
        <v>160</v>
      </c>
      <c r="O632" s="3">
        <v>45790</v>
      </c>
      <c r="P632" s="2" t="s">
        <v>2391</v>
      </c>
      <c r="Q632" s="2" t="s">
        <v>29</v>
      </c>
      <c r="R632" s="2" t="s">
        <v>83</v>
      </c>
      <c r="S632" s="2" t="s">
        <v>83</v>
      </c>
      <c r="T632" s="2" t="s">
        <v>50</v>
      </c>
    </row>
    <row r="633" spans="1:20" ht="12.5" x14ac:dyDescent="0.25">
      <c r="A633" s="2" t="s">
        <v>2325</v>
      </c>
      <c r="B633" s="2" t="s">
        <v>2326</v>
      </c>
      <c r="C633" s="2" t="s">
        <v>2327</v>
      </c>
      <c r="D633" s="2" t="s">
        <v>2328</v>
      </c>
      <c r="E633" s="2" t="s">
        <v>37</v>
      </c>
      <c r="F633" s="2" t="s">
        <v>38</v>
      </c>
      <c r="G633" s="5">
        <v>4675</v>
      </c>
      <c r="H633" s="5">
        <v>40</v>
      </c>
      <c r="I633" s="5">
        <v>2805</v>
      </c>
      <c r="J633" s="5">
        <v>1</v>
      </c>
      <c r="K633" s="2" t="s">
        <v>226</v>
      </c>
      <c r="L633" s="2" t="s">
        <v>49</v>
      </c>
      <c r="M633" s="4">
        <v>4.0999999999999996</v>
      </c>
      <c r="N633" s="5">
        <v>46</v>
      </c>
      <c r="O633" s="3">
        <v>45828</v>
      </c>
      <c r="P633" s="2" t="s">
        <v>2391</v>
      </c>
      <c r="Q633" s="2" t="s">
        <v>78</v>
      </c>
      <c r="R633" s="2" t="s">
        <v>83</v>
      </c>
      <c r="S633" s="2" t="s">
        <v>83</v>
      </c>
      <c r="T633" s="2" t="s">
        <v>43</v>
      </c>
    </row>
    <row r="634" spans="1:20" ht="12.5" x14ac:dyDescent="0.25">
      <c r="A634" s="2" t="s">
        <v>2329</v>
      </c>
      <c r="B634" s="2" t="s">
        <v>2330</v>
      </c>
      <c r="C634" s="2" t="s">
        <v>2331</v>
      </c>
      <c r="D634" s="2" t="s">
        <v>2332</v>
      </c>
      <c r="E634" s="2" t="s">
        <v>24</v>
      </c>
      <c r="F634" s="2" t="s">
        <v>25</v>
      </c>
      <c r="G634" s="5">
        <v>2286</v>
      </c>
      <c r="H634" s="5">
        <v>30</v>
      </c>
      <c r="I634" s="5">
        <v>1601</v>
      </c>
      <c r="J634" s="5">
        <v>3</v>
      </c>
      <c r="K634" s="2" t="s">
        <v>163</v>
      </c>
      <c r="L634" s="2" t="s">
        <v>133</v>
      </c>
      <c r="M634" s="4">
        <v>4.7</v>
      </c>
      <c r="N634" s="5">
        <v>88</v>
      </c>
      <c r="O634" s="3">
        <v>45807</v>
      </c>
      <c r="P634" s="2" t="s">
        <v>2390</v>
      </c>
      <c r="Q634" s="2" t="s">
        <v>78</v>
      </c>
      <c r="R634" s="2" t="s">
        <v>41</v>
      </c>
      <c r="S634" s="2" t="s">
        <v>42</v>
      </c>
      <c r="T634" s="2"/>
    </row>
    <row r="635" spans="1:20" ht="12.5" x14ac:dyDescent="0.25">
      <c r="A635" s="2" t="s">
        <v>2333</v>
      </c>
      <c r="B635" s="2" t="s">
        <v>593</v>
      </c>
      <c r="C635" s="2" t="s">
        <v>2334</v>
      </c>
      <c r="D635" s="2" t="s">
        <v>2335</v>
      </c>
      <c r="E635" s="2" t="s">
        <v>147</v>
      </c>
      <c r="F635" s="2" t="s">
        <v>148</v>
      </c>
      <c r="G635" s="5">
        <v>1822</v>
      </c>
      <c r="H635" s="5">
        <v>40</v>
      </c>
      <c r="I635" s="5">
        <v>1094</v>
      </c>
      <c r="J635" s="5">
        <v>3</v>
      </c>
      <c r="K635" s="2" t="s">
        <v>26</v>
      </c>
      <c r="L635" s="2" t="s">
        <v>27</v>
      </c>
      <c r="M635" s="4">
        <v>4.7</v>
      </c>
      <c r="N635" s="5">
        <v>227</v>
      </c>
      <c r="O635" s="3">
        <v>45817</v>
      </c>
      <c r="P635" s="2" t="s">
        <v>2391</v>
      </c>
      <c r="Q635" s="2" t="s">
        <v>65</v>
      </c>
      <c r="R635" s="2" t="s">
        <v>41</v>
      </c>
      <c r="S635" s="2" t="s">
        <v>42</v>
      </c>
      <c r="T635" s="2" t="s">
        <v>43</v>
      </c>
    </row>
    <row r="636" spans="1:20" ht="12.5" x14ac:dyDescent="0.25">
      <c r="A636" s="2" t="s">
        <v>2336</v>
      </c>
      <c r="B636" s="2" t="s">
        <v>464</v>
      </c>
      <c r="C636" s="2" t="s">
        <v>2337</v>
      </c>
      <c r="D636" s="2" t="s">
        <v>2338</v>
      </c>
      <c r="E636" s="2" t="s">
        <v>147</v>
      </c>
      <c r="F636" s="2" t="s">
        <v>148</v>
      </c>
      <c r="G636" s="5">
        <v>1554</v>
      </c>
      <c r="H636" s="5">
        <v>40</v>
      </c>
      <c r="I636" s="5">
        <v>933</v>
      </c>
      <c r="J636" s="5">
        <v>3</v>
      </c>
      <c r="K636" s="2" t="s">
        <v>72</v>
      </c>
      <c r="L636" s="2" t="s">
        <v>103</v>
      </c>
      <c r="M636" s="4">
        <v>4.8</v>
      </c>
      <c r="N636" s="5">
        <v>240</v>
      </c>
      <c r="O636" s="3">
        <v>45802</v>
      </c>
      <c r="P636" s="2" t="s">
        <v>2391</v>
      </c>
      <c r="Q636" s="2" t="s">
        <v>29</v>
      </c>
      <c r="R636" s="2" t="s">
        <v>149</v>
      </c>
      <c r="S636" s="2" t="s">
        <v>150</v>
      </c>
      <c r="T636" s="2" t="s">
        <v>134</v>
      </c>
    </row>
    <row r="637" spans="1:20" ht="12.5" x14ac:dyDescent="0.25">
      <c r="A637" s="2" t="s">
        <v>2339</v>
      </c>
      <c r="B637" s="2" t="s">
        <v>1034</v>
      </c>
      <c r="C637" s="2" t="s">
        <v>2340</v>
      </c>
      <c r="D637" s="2" t="s">
        <v>2341</v>
      </c>
      <c r="E637" s="2" t="s">
        <v>48</v>
      </c>
      <c r="F637" s="2" t="s">
        <v>25</v>
      </c>
      <c r="G637" s="5">
        <v>1750</v>
      </c>
      <c r="H637" s="5">
        <v>15</v>
      </c>
      <c r="I637" s="5">
        <v>1488</v>
      </c>
      <c r="J637" s="5">
        <v>1</v>
      </c>
      <c r="K637" s="2">
        <v>44</v>
      </c>
      <c r="L637" s="2" t="s">
        <v>209</v>
      </c>
      <c r="M637" s="4">
        <v>3.7</v>
      </c>
      <c r="N637" s="5">
        <v>247</v>
      </c>
      <c r="O637" s="3">
        <v>45820</v>
      </c>
      <c r="P637" s="2" t="s">
        <v>2390</v>
      </c>
      <c r="Q637" s="2" t="s">
        <v>29</v>
      </c>
      <c r="R637" s="2" t="s">
        <v>58</v>
      </c>
      <c r="S637" s="2" t="s">
        <v>59</v>
      </c>
      <c r="T637" s="2"/>
    </row>
    <row r="638" spans="1:20" ht="12.5" x14ac:dyDescent="0.25">
      <c r="A638" s="2" t="s">
        <v>2342</v>
      </c>
      <c r="B638" s="2" t="s">
        <v>2343</v>
      </c>
      <c r="C638" s="2" t="s">
        <v>2344</v>
      </c>
      <c r="D638" s="2" t="s">
        <v>2345</v>
      </c>
      <c r="E638" s="2" t="s">
        <v>55</v>
      </c>
      <c r="F638" s="2" t="s">
        <v>38</v>
      </c>
      <c r="G638" s="5">
        <v>913</v>
      </c>
      <c r="H638" s="5">
        <v>30</v>
      </c>
      <c r="I638" s="5">
        <v>640</v>
      </c>
      <c r="J638" s="5">
        <v>1</v>
      </c>
      <c r="K638" s="2" t="s">
        <v>32</v>
      </c>
      <c r="L638" s="2" t="s">
        <v>103</v>
      </c>
      <c r="M638" s="4">
        <v>4.5999999999999996</v>
      </c>
      <c r="N638" s="5">
        <v>133</v>
      </c>
      <c r="O638" s="3">
        <v>45829</v>
      </c>
      <c r="P638" s="2" t="s">
        <v>2391</v>
      </c>
      <c r="Q638" s="2" t="s">
        <v>78</v>
      </c>
      <c r="R638" s="2" t="s">
        <v>58</v>
      </c>
      <c r="S638" s="2" t="s">
        <v>59</v>
      </c>
      <c r="T638" s="2" t="s">
        <v>203</v>
      </c>
    </row>
    <row r="639" spans="1:20" ht="12.5" x14ac:dyDescent="0.25">
      <c r="A639" s="2" t="s">
        <v>2346</v>
      </c>
      <c r="B639" s="2" t="s">
        <v>1905</v>
      </c>
      <c r="C639" s="2" t="s">
        <v>2347</v>
      </c>
      <c r="D639" s="2" t="s">
        <v>2348</v>
      </c>
      <c r="E639" s="2" t="s">
        <v>247</v>
      </c>
      <c r="F639" s="2" t="s">
        <v>248</v>
      </c>
      <c r="G639" s="5">
        <v>3692</v>
      </c>
      <c r="H639" s="5">
        <v>15</v>
      </c>
      <c r="I639" s="5">
        <v>3139</v>
      </c>
      <c r="J639" s="5">
        <v>1</v>
      </c>
      <c r="K639" s="2" t="s">
        <v>26</v>
      </c>
      <c r="L639" s="2" t="s">
        <v>133</v>
      </c>
      <c r="M639" s="4">
        <v>4.2</v>
      </c>
      <c r="N639" s="5">
        <v>123</v>
      </c>
      <c r="O639" s="3">
        <v>45858</v>
      </c>
      <c r="P639" s="2" t="s">
        <v>2392</v>
      </c>
      <c r="Q639" s="2" t="s">
        <v>78</v>
      </c>
      <c r="R639" s="2" t="s">
        <v>149</v>
      </c>
      <c r="S639" s="2" t="s">
        <v>150</v>
      </c>
      <c r="T639" s="2"/>
    </row>
    <row r="640" spans="1:20" ht="12.5" x14ac:dyDescent="0.25">
      <c r="A640" s="2" t="s">
        <v>2349</v>
      </c>
      <c r="B640" s="2" t="s">
        <v>1269</v>
      </c>
      <c r="C640" s="2" t="s">
        <v>2350</v>
      </c>
      <c r="D640" s="2" t="s">
        <v>2351</v>
      </c>
      <c r="E640" s="2" t="s">
        <v>116</v>
      </c>
      <c r="F640" s="2" t="s">
        <v>117</v>
      </c>
      <c r="G640" s="5">
        <v>4465</v>
      </c>
      <c r="H640" s="5">
        <v>30</v>
      </c>
      <c r="I640" s="5">
        <v>3126</v>
      </c>
      <c r="J640" s="5">
        <v>1</v>
      </c>
      <c r="K640" s="2" t="s">
        <v>32</v>
      </c>
      <c r="L640" s="2" t="s">
        <v>49</v>
      </c>
      <c r="M640" s="4">
        <v>4.9000000000000004</v>
      </c>
      <c r="N640" s="5">
        <v>44</v>
      </c>
      <c r="O640" s="3">
        <v>45819</v>
      </c>
      <c r="P640" s="2" t="s">
        <v>2391</v>
      </c>
      <c r="Q640" s="2" t="s">
        <v>29</v>
      </c>
      <c r="R640" s="2" t="s">
        <v>104</v>
      </c>
      <c r="S640" s="2" t="s">
        <v>105</v>
      </c>
      <c r="T640" s="2" t="s">
        <v>203</v>
      </c>
    </row>
    <row r="641" spans="1:20" ht="12.5" x14ac:dyDescent="0.25">
      <c r="A641" s="2" t="s">
        <v>2352</v>
      </c>
      <c r="B641" s="2" t="s">
        <v>2353</v>
      </c>
      <c r="C641" s="2" t="s">
        <v>2354</v>
      </c>
      <c r="D641" s="2" t="s">
        <v>2355</v>
      </c>
      <c r="E641" s="2" t="s">
        <v>37</v>
      </c>
      <c r="F641" s="2" t="s">
        <v>38</v>
      </c>
      <c r="G641" s="5">
        <v>4886</v>
      </c>
      <c r="H641" s="5">
        <v>25</v>
      </c>
      <c r="I641" s="5">
        <v>3665</v>
      </c>
      <c r="J641" s="5">
        <v>2</v>
      </c>
      <c r="K641" s="2" t="s">
        <v>163</v>
      </c>
      <c r="L641" s="2" t="s">
        <v>49</v>
      </c>
      <c r="M641" s="4">
        <v>4.2</v>
      </c>
      <c r="N641" s="5">
        <v>187</v>
      </c>
      <c r="O641" s="3">
        <v>45782</v>
      </c>
      <c r="P641" s="2" t="s">
        <v>2390</v>
      </c>
      <c r="Q641" s="2" t="s">
        <v>65</v>
      </c>
      <c r="R641" s="2" t="s">
        <v>83</v>
      </c>
      <c r="S641" s="2" t="s">
        <v>83</v>
      </c>
      <c r="T641" s="2"/>
    </row>
    <row r="642" spans="1:20" ht="12.5" x14ac:dyDescent="0.25">
      <c r="A642" s="2" t="s">
        <v>2356</v>
      </c>
      <c r="B642" s="2" t="s">
        <v>2357</v>
      </c>
      <c r="C642" s="2" t="s">
        <v>2358</v>
      </c>
      <c r="D642" s="2" t="s">
        <v>2359</v>
      </c>
      <c r="E642" s="2" t="s">
        <v>24</v>
      </c>
      <c r="F642" s="2" t="s">
        <v>25</v>
      </c>
      <c r="G642" s="5">
        <v>3249</v>
      </c>
      <c r="H642" s="5">
        <v>40</v>
      </c>
      <c r="I642" s="5">
        <v>1950</v>
      </c>
      <c r="J642" s="5">
        <v>2</v>
      </c>
      <c r="K642" s="2">
        <v>40</v>
      </c>
      <c r="L642" s="2" t="s">
        <v>133</v>
      </c>
      <c r="M642" s="4">
        <v>3.5</v>
      </c>
      <c r="N642" s="5">
        <v>245</v>
      </c>
      <c r="O642" s="3">
        <v>45825</v>
      </c>
      <c r="P642" s="2" t="s">
        <v>2392</v>
      </c>
      <c r="Q642" s="2" t="s">
        <v>65</v>
      </c>
      <c r="R642" s="2" t="s">
        <v>149</v>
      </c>
      <c r="S642" s="2" t="s">
        <v>150</v>
      </c>
      <c r="T642" s="2"/>
    </row>
    <row r="643" spans="1:20" ht="12.5" x14ac:dyDescent="0.25">
      <c r="A643" s="2" t="s">
        <v>2360</v>
      </c>
      <c r="B643" s="2" t="s">
        <v>448</v>
      </c>
      <c r="C643" s="2" t="s">
        <v>2361</v>
      </c>
      <c r="D643" s="2" t="s">
        <v>2362</v>
      </c>
      <c r="E643" s="2" t="s">
        <v>132</v>
      </c>
      <c r="F643" s="2" t="s">
        <v>38</v>
      </c>
      <c r="G643" s="5">
        <v>2112</v>
      </c>
      <c r="H643" s="5">
        <v>20</v>
      </c>
      <c r="I643" s="5">
        <v>1690</v>
      </c>
      <c r="J643" s="5">
        <v>1</v>
      </c>
      <c r="K643" s="2" t="s">
        <v>72</v>
      </c>
      <c r="L643" s="2" t="s">
        <v>73</v>
      </c>
      <c r="M643" s="4">
        <v>4.3</v>
      </c>
      <c r="N643" s="5">
        <v>295</v>
      </c>
      <c r="O643" s="3">
        <v>45827</v>
      </c>
      <c r="P643" s="2" t="s">
        <v>2391</v>
      </c>
      <c r="Q643" s="2" t="s">
        <v>65</v>
      </c>
      <c r="R643" s="2" t="s">
        <v>58</v>
      </c>
      <c r="S643" s="2" t="s">
        <v>59</v>
      </c>
      <c r="T643" s="2"/>
    </row>
    <row r="644" spans="1:20" ht="12.5" x14ac:dyDescent="0.25">
      <c r="A644" s="2" t="s">
        <v>2363</v>
      </c>
      <c r="B644" s="2" t="s">
        <v>828</v>
      </c>
      <c r="C644" s="2" t="s">
        <v>2364</v>
      </c>
      <c r="D644" s="2" t="s">
        <v>2365</v>
      </c>
      <c r="E644" s="2" t="s">
        <v>48</v>
      </c>
      <c r="F644" s="2" t="s">
        <v>25</v>
      </c>
      <c r="G644" s="5">
        <v>4882</v>
      </c>
      <c r="H644" s="5">
        <v>15</v>
      </c>
      <c r="I644" s="5">
        <v>4150</v>
      </c>
      <c r="J644" s="5">
        <v>1</v>
      </c>
      <c r="K644" s="2" t="s">
        <v>261</v>
      </c>
      <c r="L644" s="2" t="s">
        <v>49</v>
      </c>
      <c r="M644" s="4">
        <v>4.0999999999999996</v>
      </c>
      <c r="N644" s="5">
        <v>10</v>
      </c>
      <c r="O644" s="3">
        <v>45841</v>
      </c>
      <c r="P644" s="2" t="s">
        <v>2390</v>
      </c>
      <c r="Q644" s="2" t="s">
        <v>78</v>
      </c>
      <c r="R644" s="2" t="s">
        <v>104</v>
      </c>
      <c r="S644" s="2" t="s">
        <v>105</v>
      </c>
      <c r="T644" s="2"/>
    </row>
    <row r="645" spans="1:20" ht="12.5" x14ac:dyDescent="0.25">
      <c r="A645" s="2" t="s">
        <v>2366</v>
      </c>
      <c r="B645" s="2" t="s">
        <v>2353</v>
      </c>
      <c r="C645" s="2" t="s">
        <v>2367</v>
      </c>
      <c r="D645" s="2" t="s">
        <v>2368</v>
      </c>
      <c r="E645" s="2" t="s">
        <v>122</v>
      </c>
      <c r="F645" s="2" t="s">
        <v>123</v>
      </c>
      <c r="G645" s="5">
        <v>4153</v>
      </c>
      <c r="H645" s="5">
        <v>35</v>
      </c>
      <c r="I645" s="5">
        <v>2700</v>
      </c>
      <c r="J645" s="5">
        <v>3</v>
      </c>
      <c r="K645" s="2">
        <v>42</v>
      </c>
      <c r="L645" s="2" t="s">
        <v>103</v>
      </c>
      <c r="M645" s="4">
        <v>4.9000000000000004</v>
      </c>
      <c r="N645" s="5">
        <v>196</v>
      </c>
      <c r="O645" s="3">
        <v>45806</v>
      </c>
      <c r="P645" s="2" t="s">
        <v>2391</v>
      </c>
      <c r="Q645" s="2" t="s">
        <v>65</v>
      </c>
      <c r="R645" s="2" t="s">
        <v>185</v>
      </c>
      <c r="S645" s="2" t="s">
        <v>186</v>
      </c>
      <c r="T645" s="2" t="s">
        <v>134</v>
      </c>
    </row>
    <row r="646" spans="1:20" ht="12.5" x14ac:dyDescent="0.25">
      <c r="A646" s="2" t="s">
        <v>2369</v>
      </c>
      <c r="B646" s="2" t="s">
        <v>2083</v>
      </c>
      <c r="C646" s="2" t="s">
        <v>2370</v>
      </c>
      <c r="D646" s="2" t="s">
        <v>2371</v>
      </c>
      <c r="E646" s="2" t="s">
        <v>55</v>
      </c>
      <c r="F646" s="2" t="s">
        <v>38</v>
      </c>
      <c r="G646" s="5">
        <v>2656</v>
      </c>
      <c r="H646" s="5">
        <v>35</v>
      </c>
      <c r="I646" s="5">
        <v>1727</v>
      </c>
      <c r="J646" s="5">
        <v>1</v>
      </c>
      <c r="K646" s="2">
        <v>42</v>
      </c>
      <c r="L646" s="2" t="s">
        <v>27</v>
      </c>
      <c r="M646" s="4">
        <v>3.8</v>
      </c>
      <c r="N646" s="5">
        <v>278</v>
      </c>
      <c r="O646" s="3">
        <v>45784</v>
      </c>
      <c r="P646" s="2" t="s">
        <v>2391</v>
      </c>
      <c r="Q646" s="2" t="s">
        <v>65</v>
      </c>
      <c r="R646" s="2" t="s">
        <v>66</v>
      </c>
      <c r="S646" s="2" t="s">
        <v>67</v>
      </c>
      <c r="T646" s="2" t="s">
        <v>43</v>
      </c>
    </row>
    <row r="647" spans="1:20" ht="12.5" x14ac:dyDescent="0.25">
      <c r="A647" s="2" t="s">
        <v>2372</v>
      </c>
      <c r="B647" s="2" t="s">
        <v>2373</v>
      </c>
      <c r="C647" s="2" t="s">
        <v>2374</v>
      </c>
      <c r="D647" s="2" t="s">
        <v>2375</v>
      </c>
      <c r="E647" s="2" t="s">
        <v>48</v>
      </c>
      <c r="F647" s="2" t="s">
        <v>25</v>
      </c>
      <c r="G647" s="5">
        <v>2398</v>
      </c>
      <c r="H647" s="5">
        <v>35</v>
      </c>
      <c r="I647" s="5">
        <v>1559</v>
      </c>
      <c r="J647" s="5">
        <v>2</v>
      </c>
      <c r="K647" s="2">
        <v>44</v>
      </c>
      <c r="L647" s="2" t="s">
        <v>103</v>
      </c>
      <c r="M647" s="4">
        <v>3.9</v>
      </c>
      <c r="N647" s="5">
        <v>215</v>
      </c>
      <c r="O647" s="3">
        <v>45844</v>
      </c>
      <c r="P647" s="2" t="s">
        <v>2391</v>
      </c>
      <c r="Q647" s="2" t="s">
        <v>65</v>
      </c>
      <c r="R647" s="2" t="s">
        <v>30</v>
      </c>
      <c r="S647" s="2" t="s">
        <v>31</v>
      </c>
      <c r="T647" s="2" t="s">
        <v>50</v>
      </c>
    </row>
    <row r="648" spans="1:20" ht="12.5" x14ac:dyDescent="0.25">
      <c r="A648" s="2" t="s">
        <v>2376</v>
      </c>
      <c r="B648" s="2" t="s">
        <v>2377</v>
      </c>
      <c r="C648" s="2" t="s">
        <v>2378</v>
      </c>
      <c r="D648" s="2" t="s">
        <v>2379</v>
      </c>
      <c r="E648" s="2" t="s">
        <v>208</v>
      </c>
      <c r="F648" s="2" t="s">
        <v>117</v>
      </c>
      <c r="G648" s="5">
        <v>2430</v>
      </c>
      <c r="H648" s="5">
        <v>20</v>
      </c>
      <c r="I648" s="5">
        <v>1944</v>
      </c>
      <c r="J648" s="5">
        <v>1</v>
      </c>
      <c r="K648" s="2">
        <v>44</v>
      </c>
      <c r="L648" s="2" t="s">
        <v>49</v>
      </c>
      <c r="M648" s="4">
        <v>3.8</v>
      </c>
      <c r="N648" s="5">
        <v>147</v>
      </c>
      <c r="O648" s="3">
        <v>45816</v>
      </c>
      <c r="P648" s="2" t="s">
        <v>2390</v>
      </c>
      <c r="Q648" s="2" t="s">
        <v>29</v>
      </c>
      <c r="R648" s="2" t="s">
        <v>58</v>
      </c>
      <c r="S648" s="2" t="s">
        <v>59</v>
      </c>
      <c r="T648" s="2"/>
    </row>
    <row r="649" spans="1:20" ht="12.5" x14ac:dyDescent="0.25">
      <c r="A649" s="2" t="s">
        <v>2380</v>
      </c>
      <c r="B649" s="2" t="s">
        <v>1050</v>
      </c>
      <c r="C649" s="2" t="s">
        <v>2381</v>
      </c>
      <c r="D649" s="2" t="s">
        <v>2382</v>
      </c>
      <c r="E649" s="2" t="s">
        <v>208</v>
      </c>
      <c r="F649" s="2" t="s">
        <v>117</v>
      </c>
      <c r="G649" s="5">
        <v>4272</v>
      </c>
      <c r="H649" s="5">
        <v>40</v>
      </c>
      <c r="I649" s="5">
        <v>2564</v>
      </c>
      <c r="J649" s="5">
        <v>2</v>
      </c>
      <c r="K649" s="2" t="s">
        <v>163</v>
      </c>
      <c r="L649" s="2" t="s">
        <v>49</v>
      </c>
      <c r="M649" s="4">
        <v>4</v>
      </c>
      <c r="N649" s="5">
        <v>86</v>
      </c>
      <c r="O649" s="3">
        <v>45840</v>
      </c>
      <c r="P649" s="2" t="s">
        <v>2392</v>
      </c>
      <c r="Q649" s="2" t="s">
        <v>65</v>
      </c>
      <c r="R649" s="2" t="s">
        <v>41</v>
      </c>
      <c r="S649" s="2" t="s">
        <v>42</v>
      </c>
      <c r="T649" s="2"/>
    </row>
    <row r="650" spans="1:20" ht="12.5" x14ac:dyDescent="0.25">
      <c r="A650" s="2" t="s">
        <v>2383</v>
      </c>
      <c r="B650" s="2" t="s">
        <v>2259</v>
      </c>
      <c r="C650" s="2" t="s">
        <v>2384</v>
      </c>
      <c r="D650" s="2" t="s">
        <v>2385</v>
      </c>
      <c r="E650" s="2" t="s">
        <v>147</v>
      </c>
      <c r="F650" s="2" t="s">
        <v>148</v>
      </c>
      <c r="G650" s="5">
        <v>1668</v>
      </c>
      <c r="H650" s="5">
        <v>25</v>
      </c>
      <c r="I650" s="5">
        <v>1251</v>
      </c>
      <c r="J650" s="5">
        <v>1</v>
      </c>
      <c r="K650" s="2">
        <v>40</v>
      </c>
      <c r="L650" s="2" t="s">
        <v>133</v>
      </c>
      <c r="M650" s="4">
        <v>3.9</v>
      </c>
      <c r="N650" s="5">
        <v>246</v>
      </c>
      <c r="O650" s="3">
        <v>45819</v>
      </c>
      <c r="P650" s="2" t="s">
        <v>2390</v>
      </c>
      <c r="Q650" s="2" t="s">
        <v>65</v>
      </c>
      <c r="R650" s="2" t="s">
        <v>110</v>
      </c>
      <c r="S650" s="2" t="s">
        <v>111</v>
      </c>
      <c r="T650" s="2"/>
    </row>
    <row r="651" spans="1:20" ht="12.5" x14ac:dyDescent="0.25">
      <c r="A651" s="2" t="s">
        <v>2386</v>
      </c>
      <c r="B651" s="2" t="s">
        <v>2387</v>
      </c>
      <c r="C651" s="2" t="s">
        <v>2388</v>
      </c>
      <c r="D651" s="2" t="s">
        <v>2389</v>
      </c>
      <c r="E651" s="2" t="s">
        <v>24</v>
      </c>
      <c r="F651" s="2" t="s">
        <v>25</v>
      </c>
      <c r="G651" s="5">
        <v>4632</v>
      </c>
      <c r="H651" s="5">
        <v>25</v>
      </c>
      <c r="I651" s="5">
        <v>3474</v>
      </c>
      <c r="J651" s="5">
        <v>1</v>
      </c>
      <c r="K651" s="2" t="s">
        <v>26</v>
      </c>
      <c r="L651" s="2" t="s">
        <v>73</v>
      </c>
      <c r="M651" s="4">
        <v>3.9</v>
      </c>
      <c r="N651" s="5">
        <v>268</v>
      </c>
      <c r="O651" s="3">
        <v>45803</v>
      </c>
      <c r="P651" s="2" t="s">
        <v>2392</v>
      </c>
      <c r="Q651" s="2" t="s">
        <v>65</v>
      </c>
      <c r="R651" s="2" t="s">
        <v>185</v>
      </c>
      <c r="S651" s="2" t="s">
        <v>186</v>
      </c>
      <c r="T65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27732-A75A-4C93-A048-8FD2A22A14B9}">
  <sheetPr codeName="Sheet4">
    <outlinePr summaryBelow="0" summaryRight="0"/>
  </sheetPr>
  <dimension ref="A1:Z651"/>
  <sheetViews>
    <sheetView workbookViewId="0">
      <selection activeCell="C5" sqref="C5"/>
    </sheetView>
  </sheetViews>
  <sheetFormatPr defaultColWidth="12.6328125" defaultRowHeight="15.75" customHeight="1" x14ac:dyDescent="0.25"/>
  <cols>
    <col min="4" max="4" width="34.54296875" style="8" bestFit="1" customWidth="1"/>
    <col min="5" max="5" width="15.81640625" style="8" bestFit="1" customWidth="1"/>
    <col min="6" max="6" width="13.54296875" style="8" bestFit="1" customWidth="1"/>
    <col min="12" max="12" width="12.6328125" style="8"/>
    <col min="14" max="14" width="13.1796875" bestFit="1" customWidth="1"/>
    <col min="16" max="16" width="14.36328125" style="8" bestFit="1" customWidth="1"/>
    <col min="17" max="17" width="15.81640625" style="8" bestFit="1" customWidth="1"/>
    <col min="18" max="18" width="12.6328125" style="8"/>
    <col min="19" max="19" width="14.453125" style="8" bestFit="1" customWidth="1"/>
    <col min="20" max="20" width="14.1796875" style="8" bestFit="1" customWidth="1"/>
    <col min="22" max="23" width="16.1796875" bestFit="1" customWidth="1"/>
  </cols>
  <sheetData>
    <row r="1" spans="1:26" x14ac:dyDescent="0.3">
      <c r="A1" s="1" t="s">
        <v>0</v>
      </c>
      <c r="B1" s="1" t="s">
        <v>1</v>
      </c>
      <c r="C1" s="1" t="s">
        <v>2</v>
      </c>
      <c r="D1" s="6" t="s">
        <v>3</v>
      </c>
      <c r="E1" s="6" t="s">
        <v>4</v>
      </c>
      <c r="F1" s="6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6" t="s">
        <v>11</v>
      </c>
      <c r="M1" s="1" t="s">
        <v>12</v>
      </c>
      <c r="N1" s="1" t="s">
        <v>13</v>
      </c>
      <c r="O1" s="1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1" t="s">
        <v>2394</v>
      </c>
      <c r="V1" s="1" t="s">
        <v>2395</v>
      </c>
      <c r="W1" s="1" t="s">
        <v>2393</v>
      </c>
      <c r="X1" s="1" t="s">
        <v>2396</v>
      </c>
      <c r="Y1" s="1"/>
      <c r="Z1" s="1"/>
    </row>
    <row r="2" spans="1:26" ht="15.75" customHeight="1" x14ac:dyDescent="0.25">
      <c r="A2" s="2" t="s">
        <v>20</v>
      </c>
      <c r="B2" s="2" t="s">
        <v>21</v>
      </c>
      <c r="C2" s="2" t="s">
        <v>22</v>
      </c>
      <c r="D2" s="7" t="s">
        <v>23</v>
      </c>
      <c r="E2" s="7" t="s">
        <v>24</v>
      </c>
      <c r="F2" s="7" t="s">
        <v>25</v>
      </c>
      <c r="G2" s="5">
        <v>1154</v>
      </c>
      <c r="H2" s="5">
        <v>40</v>
      </c>
      <c r="I2" s="5">
        <v>693</v>
      </c>
      <c r="J2" s="5">
        <v>2</v>
      </c>
      <c r="K2" s="2" t="s">
        <v>26</v>
      </c>
      <c r="L2" s="7" t="s">
        <v>27</v>
      </c>
      <c r="M2" s="4">
        <v>5</v>
      </c>
      <c r="N2" s="5">
        <v>91</v>
      </c>
      <c r="O2" s="3">
        <v>45788</v>
      </c>
      <c r="P2" s="7" t="s">
        <v>2390</v>
      </c>
      <c r="Q2" s="7" t="s">
        <v>29</v>
      </c>
      <c r="R2" s="7" t="s">
        <v>30</v>
      </c>
      <c r="S2" s="7" t="s">
        <v>31</v>
      </c>
      <c r="T2" s="7"/>
      <c r="U2" s="11">
        <f t="shared" ref="U2:U65" si="0">G2*J2</f>
        <v>2308</v>
      </c>
      <c r="V2" s="11">
        <f t="shared" ref="V2:V65" si="1">I2*J2</f>
        <v>1386</v>
      </c>
      <c r="W2" s="11">
        <f t="shared" ref="W2:W65" si="2">(G2-I2)*J2</f>
        <v>922</v>
      </c>
      <c r="X2" t="str">
        <f t="shared" ref="X2:X65" si="3">IF(P2="DELIVERED","Completed",IF(P2="RETURNED","Returned","Cancelled"))</f>
        <v>Completed</v>
      </c>
    </row>
    <row r="3" spans="1:26" ht="15.75" customHeight="1" x14ac:dyDescent="0.25">
      <c r="A3" s="2" t="s">
        <v>33</v>
      </c>
      <c r="B3" s="2" t="s">
        <v>34</v>
      </c>
      <c r="C3" s="2" t="s">
        <v>35</v>
      </c>
      <c r="D3" s="7" t="s">
        <v>36</v>
      </c>
      <c r="E3" s="7" t="s">
        <v>37</v>
      </c>
      <c r="F3" s="7" t="s">
        <v>38</v>
      </c>
      <c r="G3" s="5">
        <v>629</v>
      </c>
      <c r="H3" s="5">
        <v>40</v>
      </c>
      <c r="I3" s="5">
        <v>378</v>
      </c>
      <c r="J3" s="5">
        <v>1</v>
      </c>
      <c r="K3" s="2">
        <v>42</v>
      </c>
      <c r="L3" s="7" t="s">
        <v>39</v>
      </c>
      <c r="M3" s="4">
        <v>5</v>
      </c>
      <c r="N3" s="5">
        <v>166</v>
      </c>
      <c r="O3" s="3">
        <v>45789</v>
      </c>
      <c r="P3" s="7" t="s">
        <v>2391</v>
      </c>
      <c r="Q3" s="7" t="s">
        <v>29</v>
      </c>
      <c r="R3" s="7" t="s">
        <v>41</v>
      </c>
      <c r="S3" s="7" t="s">
        <v>42</v>
      </c>
      <c r="T3" s="7" t="s">
        <v>43</v>
      </c>
      <c r="U3" s="11">
        <f t="shared" si="0"/>
        <v>629</v>
      </c>
      <c r="V3" s="11">
        <f t="shared" si="1"/>
        <v>378</v>
      </c>
      <c r="W3" s="11">
        <f t="shared" si="2"/>
        <v>251</v>
      </c>
      <c r="X3" t="str">
        <f t="shared" si="3"/>
        <v>Returned</v>
      </c>
    </row>
    <row r="4" spans="1:26" ht="15.75" customHeight="1" x14ac:dyDescent="0.25">
      <c r="A4" s="2" t="s">
        <v>44</v>
      </c>
      <c r="B4" s="2" t="s">
        <v>45</v>
      </c>
      <c r="C4" s="2" t="s">
        <v>46</v>
      </c>
      <c r="D4" s="7" t="s">
        <v>47</v>
      </c>
      <c r="E4" s="7" t="s">
        <v>48</v>
      </c>
      <c r="F4" s="7" t="s">
        <v>25</v>
      </c>
      <c r="G4" s="5">
        <v>4659</v>
      </c>
      <c r="H4" s="5">
        <v>20</v>
      </c>
      <c r="I4" s="5">
        <v>3728</v>
      </c>
      <c r="J4" s="5">
        <v>3</v>
      </c>
      <c r="K4" s="2" t="s">
        <v>26</v>
      </c>
      <c r="L4" s="7" t="s">
        <v>49</v>
      </c>
      <c r="M4" s="4">
        <v>4.2</v>
      </c>
      <c r="N4" s="5">
        <v>76</v>
      </c>
      <c r="O4" s="3">
        <v>45821</v>
      </c>
      <c r="P4" s="7" t="s">
        <v>2391</v>
      </c>
      <c r="Q4" s="7" t="s">
        <v>29</v>
      </c>
      <c r="R4" s="7" t="s">
        <v>30</v>
      </c>
      <c r="S4" s="7" t="s">
        <v>31</v>
      </c>
      <c r="T4" s="7" t="s">
        <v>50</v>
      </c>
      <c r="U4" s="11">
        <f t="shared" si="0"/>
        <v>13977</v>
      </c>
      <c r="V4" s="11">
        <f t="shared" si="1"/>
        <v>11184</v>
      </c>
      <c r="W4" s="11">
        <f t="shared" si="2"/>
        <v>2793</v>
      </c>
      <c r="X4" t="str">
        <f t="shared" si="3"/>
        <v>Returned</v>
      </c>
    </row>
    <row r="5" spans="1:26" ht="15.75" customHeight="1" x14ac:dyDescent="0.25">
      <c r="A5" s="2" t="s">
        <v>51</v>
      </c>
      <c r="B5" s="2" t="s">
        <v>52</v>
      </c>
      <c r="C5" s="2" t="s">
        <v>53</v>
      </c>
      <c r="D5" s="7" t="s">
        <v>54</v>
      </c>
      <c r="E5" s="7" t="s">
        <v>55</v>
      </c>
      <c r="F5" s="7" t="s">
        <v>38</v>
      </c>
      <c r="G5" s="5">
        <v>957</v>
      </c>
      <c r="H5" s="5">
        <v>20</v>
      </c>
      <c r="I5" s="5">
        <v>766</v>
      </c>
      <c r="J5" s="5">
        <v>3</v>
      </c>
      <c r="K5" s="2" t="s">
        <v>56</v>
      </c>
      <c r="L5" s="7" t="s">
        <v>27</v>
      </c>
      <c r="M5" s="4">
        <v>4.9000000000000004</v>
      </c>
      <c r="N5" s="5">
        <v>118</v>
      </c>
      <c r="O5" s="3">
        <v>45788</v>
      </c>
      <c r="P5" s="7" t="s">
        <v>2392</v>
      </c>
      <c r="Q5" s="7" t="s">
        <v>29</v>
      </c>
      <c r="R5" s="7" t="s">
        <v>58</v>
      </c>
      <c r="S5" s="7" t="s">
        <v>59</v>
      </c>
      <c r="T5" s="7"/>
      <c r="U5" s="11">
        <f t="shared" si="0"/>
        <v>2871</v>
      </c>
      <c r="V5" s="11">
        <f t="shared" si="1"/>
        <v>2298</v>
      </c>
      <c r="W5" s="11">
        <f t="shared" si="2"/>
        <v>573</v>
      </c>
      <c r="X5" t="str">
        <f t="shared" si="3"/>
        <v>Cancelled</v>
      </c>
    </row>
    <row r="6" spans="1:26" ht="15.75" customHeight="1" x14ac:dyDescent="0.25">
      <c r="A6" s="2" t="s">
        <v>60</v>
      </c>
      <c r="B6" s="2" t="s">
        <v>61</v>
      </c>
      <c r="C6" s="2" t="s">
        <v>62</v>
      </c>
      <c r="D6" s="7" t="s">
        <v>63</v>
      </c>
      <c r="E6" s="7" t="s">
        <v>24</v>
      </c>
      <c r="F6" s="7" t="s">
        <v>25</v>
      </c>
      <c r="G6" s="5">
        <v>2453</v>
      </c>
      <c r="H6" s="5">
        <v>10</v>
      </c>
      <c r="I6" s="5">
        <v>2208</v>
      </c>
      <c r="J6" s="5">
        <v>1</v>
      </c>
      <c r="K6" s="2">
        <v>40</v>
      </c>
      <c r="L6" s="7" t="s">
        <v>64</v>
      </c>
      <c r="M6" s="4">
        <v>3.7</v>
      </c>
      <c r="N6" s="5">
        <v>144</v>
      </c>
      <c r="O6" s="3">
        <v>45772</v>
      </c>
      <c r="P6" s="7" t="s">
        <v>2390</v>
      </c>
      <c r="Q6" s="7" t="s">
        <v>65</v>
      </c>
      <c r="R6" s="7" t="s">
        <v>66</v>
      </c>
      <c r="S6" s="7" t="s">
        <v>67</v>
      </c>
      <c r="T6" s="7"/>
      <c r="U6" s="11">
        <f t="shared" si="0"/>
        <v>2453</v>
      </c>
      <c r="V6" s="11">
        <f t="shared" si="1"/>
        <v>2208</v>
      </c>
      <c r="W6" s="11">
        <f t="shared" si="2"/>
        <v>245</v>
      </c>
      <c r="X6" t="str">
        <f t="shared" si="3"/>
        <v>Completed</v>
      </c>
    </row>
    <row r="7" spans="1:26" ht="15.75" customHeight="1" x14ac:dyDescent="0.25">
      <c r="A7" s="2" t="s">
        <v>68</v>
      </c>
      <c r="B7" s="2" t="s">
        <v>69</v>
      </c>
      <c r="C7" s="2" t="s">
        <v>70</v>
      </c>
      <c r="D7" s="7" t="s">
        <v>71</v>
      </c>
      <c r="E7" s="7" t="s">
        <v>55</v>
      </c>
      <c r="F7" s="7" t="s">
        <v>38</v>
      </c>
      <c r="G7" s="5">
        <v>4020</v>
      </c>
      <c r="H7" s="5">
        <v>35</v>
      </c>
      <c r="I7" s="5">
        <v>2613</v>
      </c>
      <c r="J7" s="5">
        <v>2</v>
      </c>
      <c r="K7" s="2" t="s">
        <v>72</v>
      </c>
      <c r="L7" s="7" t="s">
        <v>73</v>
      </c>
      <c r="M7" s="4">
        <v>4.8</v>
      </c>
      <c r="N7" s="5">
        <v>175</v>
      </c>
      <c r="O7" s="3">
        <v>45825</v>
      </c>
      <c r="P7" s="7" t="s">
        <v>2392</v>
      </c>
      <c r="Q7" s="7" t="s">
        <v>29</v>
      </c>
      <c r="R7" s="7" t="s">
        <v>66</v>
      </c>
      <c r="S7" s="7" t="s">
        <v>67</v>
      </c>
      <c r="T7" s="7"/>
      <c r="U7" s="11">
        <f t="shared" si="0"/>
        <v>8040</v>
      </c>
      <c r="V7" s="11">
        <f t="shared" si="1"/>
        <v>5226</v>
      </c>
      <c r="W7" s="11">
        <f t="shared" si="2"/>
        <v>2814</v>
      </c>
      <c r="X7" t="str">
        <f t="shared" si="3"/>
        <v>Cancelled</v>
      </c>
    </row>
    <row r="8" spans="1:26" ht="15.75" customHeight="1" x14ac:dyDescent="0.25">
      <c r="A8" s="2" t="s">
        <v>74</v>
      </c>
      <c r="B8" s="2" t="s">
        <v>75</v>
      </c>
      <c r="C8" s="2" t="s">
        <v>76</v>
      </c>
      <c r="D8" s="7" t="s">
        <v>77</v>
      </c>
      <c r="E8" s="7" t="s">
        <v>48</v>
      </c>
      <c r="F8" s="7" t="s">
        <v>25</v>
      </c>
      <c r="G8" s="5">
        <v>3415</v>
      </c>
      <c r="H8" s="5">
        <v>20</v>
      </c>
      <c r="I8" s="5">
        <v>2732</v>
      </c>
      <c r="J8" s="5">
        <v>2</v>
      </c>
      <c r="K8" s="2" t="s">
        <v>56</v>
      </c>
      <c r="L8" s="7" t="s">
        <v>64</v>
      </c>
      <c r="M8" s="4">
        <v>4.2</v>
      </c>
      <c r="N8" s="5">
        <v>113</v>
      </c>
      <c r="O8" s="3">
        <v>45772</v>
      </c>
      <c r="P8" s="7" t="s">
        <v>2392</v>
      </c>
      <c r="Q8" s="7" t="s">
        <v>78</v>
      </c>
      <c r="R8" s="7" t="s">
        <v>41</v>
      </c>
      <c r="S8" s="7" t="s">
        <v>42</v>
      </c>
      <c r="T8" s="7"/>
      <c r="U8" s="11">
        <f t="shared" si="0"/>
        <v>6830</v>
      </c>
      <c r="V8" s="11">
        <f t="shared" si="1"/>
        <v>5464</v>
      </c>
      <c r="W8" s="11">
        <f t="shared" si="2"/>
        <v>1366</v>
      </c>
      <c r="X8" t="str">
        <f t="shared" si="3"/>
        <v>Cancelled</v>
      </c>
    </row>
    <row r="9" spans="1:26" ht="15.75" customHeight="1" x14ac:dyDescent="0.25">
      <c r="A9" s="2" t="s">
        <v>79</v>
      </c>
      <c r="B9" s="2" t="s">
        <v>80</v>
      </c>
      <c r="C9" s="2" t="s">
        <v>81</v>
      </c>
      <c r="D9" s="7" t="s">
        <v>82</v>
      </c>
      <c r="E9" s="7" t="s">
        <v>37</v>
      </c>
      <c r="F9" s="7" t="s">
        <v>38</v>
      </c>
      <c r="G9" s="5">
        <v>1089</v>
      </c>
      <c r="H9" s="5">
        <v>15</v>
      </c>
      <c r="I9" s="5">
        <v>926</v>
      </c>
      <c r="J9" s="5">
        <v>3</v>
      </c>
      <c r="K9" s="2">
        <v>44</v>
      </c>
      <c r="L9" s="7" t="s">
        <v>39</v>
      </c>
      <c r="M9" s="4">
        <v>4.8</v>
      </c>
      <c r="N9" s="5">
        <v>48</v>
      </c>
      <c r="O9" s="3">
        <v>45845</v>
      </c>
      <c r="P9" s="7" t="s">
        <v>2390</v>
      </c>
      <c r="Q9" s="7" t="s">
        <v>65</v>
      </c>
      <c r="R9" s="7" t="s">
        <v>83</v>
      </c>
      <c r="S9" s="7" t="s">
        <v>83</v>
      </c>
      <c r="T9" s="7"/>
      <c r="U9" s="11">
        <f t="shared" si="0"/>
        <v>3267</v>
      </c>
      <c r="V9" s="11">
        <f t="shared" si="1"/>
        <v>2778</v>
      </c>
      <c r="W9" s="11">
        <f t="shared" si="2"/>
        <v>489</v>
      </c>
      <c r="X9" t="str">
        <f t="shared" si="3"/>
        <v>Completed</v>
      </c>
    </row>
    <row r="10" spans="1:26" ht="15.75" customHeight="1" x14ac:dyDescent="0.25">
      <c r="A10" s="2" t="s">
        <v>84</v>
      </c>
      <c r="B10" s="2" t="s">
        <v>85</v>
      </c>
      <c r="C10" s="2" t="s">
        <v>86</v>
      </c>
      <c r="D10" s="7" t="s">
        <v>87</v>
      </c>
      <c r="E10" s="7" t="s">
        <v>55</v>
      </c>
      <c r="F10" s="7" t="s">
        <v>38</v>
      </c>
      <c r="G10" s="5">
        <v>1150</v>
      </c>
      <c r="H10" s="5">
        <v>25</v>
      </c>
      <c r="I10" s="5">
        <v>863</v>
      </c>
      <c r="J10" s="5">
        <v>2</v>
      </c>
      <c r="K10" s="2" t="s">
        <v>72</v>
      </c>
      <c r="L10" s="7" t="s">
        <v>88</v>
      </c>
      <c r="M10" s="4">
        <v>4.3</v>
      </c>
      <c r="N10" s="5">
        <v>229</v>
      </c>
      <c r="O10" s="3">
        <v>45814</v>
      </c>
      <c r="P10" s="7" t="s">
        <v>2391</v>
      </c>
      <c r="Q10" s="7" t="s">
        <v>29</v>
      </c>
      <c r="R10" s="7" t="s">
        <v>89</v>
      </c>
      <c r="S10" s="7" t="s">
        <v>90</v>
      </c>
      <c r="T10" s="7" t="s">
        <v>43</v>
      </c>
      <c r="U10" s="11">
        <f t="shared" si="0"/>
        <v>2300</v>
      </c>
      <c r="V10" s="11">
        <f t="shared" si="1"/>
        <v>1726</v>
      </c>
      <c r="W10" s="11">
        <f t="shared" si="2"/>
        <v>574</v>
      </c>
      <c r="X10" t="str">
        <f t="shared" si="3"/>
        <v>Returned</v>
      </c>
    </row>
    <row r="11" spans="1:26" ht="15.75" customHeight="1" x14ac:dyDescent="0.25">
      <c r="A11" s="2" t="s">
        <v>91</v>
      </c>
      <c r="B11" s="2" t="s">
        <v>92</v>
      </c>
      <c r="C11" s="2" t="s">
        <v>93</v>
      </c>
      <c r="D11" s="7" t="s">
        <v>94</v>
      </c>
      <c r="E11" s="7" t="s">
        <v>48</v>
      </c>
      <c r="F11" s="7" t="s">
        <v>25</v>
      </c>
      <c r="G11" s="5">
        <v>3458</v>
      </c>
      <c r="H11" s="5">
        <v>35</v>
      </c>
      <c r="I11" s="5">
        <v>2248</v>
      </c>
      <c r="J11" s="5">
        <v>3</v>
      </c>
      <c r="K11" s="2">
        <v>40</v>
      </c>
      <c r="L11" s="7" t="s">
        <v>88</v>
      </c>
      <c r="M11" s="4">
        <v>4.9000000000000004</v>
      </c>
      <c r="N11" s="5">
        <v>297</v>
      </c>
      <c r="O11" s="3">
        <v>45781</v>
      </c>
      <c r="P11" s="7" t="s">
        <v>2392</v>
      </c>
      <c r="Q11" s="7" t="s">
        <v>78</v>
      </c>
      <c r="R11" s="7" t="s">
        <v>30</v>
      </c>
      <c r="S11" s="7" t="s">
        <v>31</v>
      </c>
      <c r="T11" s="7"/>
      <c r="U11" s="11">
        <f t="shared" si="0"/>
        <v>10374</v>
      </c>
      <c r="V11" s="11">
        <f t="shared" si="1"/>
        <v>6744</v>
      </c>
      <c r="W11" s="11">
        <f t="shared" si="2"/>
        <v>3630</v>
      </c>
      <c r="X11" t="str">
        <f t="shared" si="3"/>
        <v>Cancelled</v>
      </c>
    </row>
    <row r="12" spans="1:26" ht="15.75" customHeight="1" x14ac:dyDescent="0.25">
      <c r="A12" s="2" t="s">
        <v>95</v>
      </c>
      <c r="B12" s="2" t="s">
        <v>96</v>
      </c>
      <c r="C12" s="2" t="s">
        <v>97</v>
      </c>
      <c r="D12" s="7" t="s">
        <v>98</v>
      </c>
      <c r="E12" s="7" t="s">
        <v>55</v>
      </c>
      <c r="F12" s="7" t="s">
        <v>38</v>
      </c>
      <c r="G12" s="5">
        <v>3389</v>
      </c>
      <c r="H12" s="5">
        <v>35</v>
      </c>
      <c r="I12" s="5">
        <v>2203</v>
      </c>
      <c r="J12" s="5">
        <v>2</v>
      </c>
      <c r="K12" s="2" t="s">
        <v>72</v>
      </c>
      <c r="L12" s="7" t="s">
        <v>27</v>
      </c>
      <c r="M12" s="4">
        <v>3.8</v>
      </c>
      <c r="N12" s="5">
        <v>83</v>
      </c>
      <c r="O12" s="3">
        <v>45796</v>
      </c>
      <c r="P12" s="7" t="s">
        <v>2391</v>
      </c>
      <c r="Q12" s="7" t="s">
        <v>29</v>
      </c>
      <c r="R12" s="7" t="s">
        <v>58</v>
      </c>
      <c r="S12" s="7" t="s">
        <v>59</v>
      </c>
      <c r="T12" s="7" t="s">
        <v>43</v>
      </c>
      <c r="U12" s="11">
        <f t="shared" si="0"/>
        <v>6778</v>
      </c>
      <c r="V12" s="11">
        <f t="shared" si="1"/>
        <v>4406</v>
      </c>
      <c r="W12" s="11">
        <f t="shared" si="2"/>
        <v>2372</v>
      </c>
      <c r="X12" t="str">
        <f t="shared" si="3"/>
        <v>Returned</v>
      </c>
    </row>
    <row r="13" spans="1:26" ht="15.75" customHeight="1" x14ac:dyDescent="0.25">
      <c r="A13" s="2" t="s">
        <v>99</v>
      </c>
      <c r="B13" s="2" t="s">
        <v>100</v>
      </c>
      <c r="C13" s="2" t="s">
        <v>101</v>
      </c>
      <c r="D13" s="7" t="s">
        <v>102</v>
      </c>
      <c r="E13" s="7" t="s">
        <v>24</v>
      </c>
      <c r="F13" s="7" t="s">
        <v>25</v>
      </c>
      <c r="G13" s="5">
        <v>4446</v>
      </c>
      <c r="H13" s="5">
        <v>10</v>
      </c>
      <c r="I13" s="5">
        <v>4002</v>
      </c>
      <c r="J13" s="5">
        <v>1</v>
      </c>
      <c r="K13" s="2" t="s">
        <v>26</v>
      </c>
      <c r="L13" s="7" t="s">
        <v>103</v>
      </c>
      <c r="M13" s="4">
        <v>4</v>
      </c>
      <c r="N13" s="5">
        <v>178</v>
      </c>
      <c r="O13" s="3">
        <v>45815</v>
      </c>
      <c r="P13" s="7" t="s">
        <v>2392</v>
      </c>
      <c r="Q13" s="7" t="s">
        <v>29</v>
      </c>
      <c r="R13" s="7" t="s">
        <v>104</v>
      </c>
      <c r="S13" s="7" t="s">
        <v>105</v>
      </c>
      <c r="T13" s="7"/>
      <c r="U13" s="11">
        <f t="shared" si="0"/>
        <v>4446</v>
      </c>
      <c r="V13" s="11">
        <f t="shared" si="1"/>
        <v>4002</v>
      </c>
      <c r="W13" s="11">
        <f t="shared" si="2"/>
        <v>444</v>
      </c>
      <c r="X13" t="str">
        <f t="shared" si="3"/>
        <v>Cancelled</v>
      </c>
    </row>
    <row r="14" spans="1:26" ht="15.75" customHeight="1" x14ac:dyDescent="0.25">
      <c r="A14" s="2" t="s">
        <v>106</v>
      </c>
      <c r="B14" s="2" t="s">
        <v>107</v>
      </c>
      <c r="C14" s="2" t="s">
        <v>108</v>
      </c>
      <c r="D14" s="7" t="s">
        <v>109</v>
      </c>
      <c r="E14" s="7" t="s">
        <v>55</v>
      </c>
      <c r="F14" s="7" t="s">
        <v>38</v>
      </c>
      <c r="G14" s="5">
        <v>4024</v>
      </c>
      <c r="H14" s="5">
        <v>25</v>
      </c>
      <c r="I14" s="5">
        <v>3018</v>
      </c>
      <c r="J14" s="5">
        <v>3</v>
      </c>
      <c r="K14" s="2" t="s">
        <v>72</v>
      </c>
      <c r="L14" s="7" t="s">
        <v>49</v>
      </c>
      <c r="M14" s="4">
        <v>4.8</v>
      </c>
      <c r="N14" s="5">
        <v>111</v>
      </c>
      <c r="O14" s="3">
        <v>45823</v>
      </c>
      <c r="P14" s="7" t="s">
        <v>2390</v>
      </c>
      <c r="Q14" s="7" t="s">
        <v>65</v>
      </c>
      <c r="R14" s="7" t="s">
        <v>110</v>
      </c>
      <c r="S14" s="7" t="s">
        <v>111</v>
      </c>
      <c r="T14" s="7"/>
      <c r="U14" s="11">
        <f t="shared" si="0"/>
        <v>12072</v>
      </c>
      <c r="V14" s="11">
        <f t="shared" si="1"/>
        <v>9054</v>
      </c>
      <c r="W14" s="11">
        <f t="shared" si="2"/>
        <v>3018</v>
      </c>
      <c r="X14" t="str">
        <f t="shared" si="3"/>
        <v>Completed</v>
      </c>
    </row>
    <row r="15" spans="1:26" ht="15.75" customHeight="1" x14ac:dyDescent="0.25">
      <c r="A15" s="2" t="s">
        <v>112</v>
      </c>
      <c r="B15" s="2" t="s">
        <v>113</v>
      </c>
      <c r="C15" s="2" t="s">
        <v>114</v>
      </c>
      <c r="D15" s="7" t="s">
        <v>115</v>
      </c>
      <c r="E15" s="7" t="s">
        <v>116</v>
      </c>
      <c r="F15" s="7" t="s">
        <v>117</v>
      </c>
      <c r="G15" s="5">
        <v>4129</v>
      </c>
      <c r="H15" s="5">
        <v>40</v>
      </c>
      <c r="I15" s="5">
        <v>2478</v>
      </c>
      <c r="J15" s="5">
        <v>1</v>
      </c>
      <c r="K15" s="2" t="s">
        <v>26</v>
      </c>
      <c r="L15" s="7" t="s">
        <v>88</v>
      </c>
      <c r="M15" s="4">
        <v>4.0999999999999996</v>
      </c>
      <c r="N15" s="5">
        <v>34</v>
      </c>
      <c r="O15" s="3">
        <v>45810</v>
      </c>
      <c r="P15" s="7" t="s">
        <v>2390</v>
      </c>
      <c r="Q15" s="7" t="s">
        <v>65</v>
      </c>
      <c r="R15" s="7" t="s">
        <v>41</v>
      </c>
      <c r="S15" s="7" t="s">
        <v>42</v>
      </c>
      <c r="T15" s="7"/>
      <c r="U15" s="11">
        <f t="shared" si="0"/>
        <v>4129</v>
      </c>
      <c r="V15" s="11">
        <f t="shared" si="1"/>
        <v>2478</v>
      </c>
      <c r="W15" s="11">
        <f t="shared" si="2"/>
        <v>1651</v>
      </c>
      <c r="X15" t="str">
        <f t="shared" si="3"/>
        <v>Completed</v>
      </c>
    </row>
    <row r="16" spans="1:26" ht="15.75" customHeight="1" x14ac:dyDescent="0.25">
      <c r="A16" s="2" t="s">
        <v>118</v>
      </c>
      <c r="B16" s="2" t="s">
        <v>119</v>
      </c>
      <c r="C16" s="2" t="s">
        <v>120</v>
      </c>
      <c r="D16" s="7" t="s">
        <v>121</v>
      </c>
      <c r="E16" s="7" t="s">
        <v>122</v>
      </c>
      <c r="F16" s="7" t="s">
        <v>123</v>
      </c>
      <c r="G16" s="5">
        <v>4507</v>
      </c>
      <c r="H16" s="5">
        <v>15</v>
      </c>
      <c r="I16" s="5">
        <v>3831</v>
      </c>
      <c r="J16" s="5">
        <v>3</v>
      </c>
      <c r="K16" s="2" t="s">
        <v>26</v>
      </c>
      <c r="L16" s="7" t="s">
        <v>49</v>
      </c>
      <c r="M16" s="4">
        <v>3.5</v>
      </c>
      <c r="N16" s="5">
        <v>283</v>
      </c>
      <c r="O16" s="3">
        <v>45855</v>
      </c>
      <c r="P16" s="7" t="s">
        <v>2392</v>
      </c>
      <c r="Q16" s="7" t="s">
        <v>65</v>
      </c>
      <c r="R16" s="7" t="s">
        <v>66</v>
      </c>
      <c r="S16" s="7" t="s">
        <v>67</v>
      </c>
      <c r="T16" s="7"/>
      <c r="U16" s="11">
        <f t="shared" si="0"/>
        <v>13521</v>
      </c>
      <c r="V16" s="11">
        <f t="shared" si="1"/>
        <v>11493</v>
      </c>
      <c r="W16" s="11">
        <f t="shared" si="2"/>
        <v>2028</v>
      </c>
      <c r="X16" t="str">
        <f t="shared" si="3"/>
        <v>Cancelled</v>
      </c>
    </row>
    <row r="17" spans="1:24" ht="15.75" customHeight="1" x14ac:dyDescent="0.25">
      <c r="A17" s="2" t="s">
        <v>124</v>
      </c>
      <c r="B17" s="2" t="s">
        <v>125</v>
      </c>
      <c r="C17" s="2" t="s">
        <v>126</v>
      </c>
      <c r="D17" s="7" t="s">
        <v>127</v>
      </c>
      <c r="E17" s="7" t="s">
        <v>37</v>
      </c>
      <c r="F17" s="7" t="s">
        <v>38</v>
      </c>
      <c r="G17" s="5">
        <v>1783</v>
      </c>
      <c r="H17" s="5">
        <v>35</v>
      </c>
      <c r="I17" s="5">
        <v>1159</v>
      </c>
      <c r="J17" s="5">
        <v>3</v>
      </c>
      <c r="K17" s="2" t="s">
        <v>26</v>
      </c>
      <c r="L17" s="7" t="s">
        <v>88</v>
      </c>
      <c r="M17" s="4">
        <v>3.9</v>
      </c>
      <c r="N17" s="5">
        <v>276</v>
      </c>
      <c r="O17" s="3">
        <v>45786</v>
      </c>
      <c r="P17" s="7" t="s">
        <v>2392</v>
      </c>
      <c r="Q17" s="7" t="s">
        <v>29</v>
      </c>
      <c r="R17" s="7" t="s">
        <v>104</v>
      </c>
      <c r="S17" s="7" t="s">
        <v>105</v>
      </c>
      <c r="T17" s="7"/>
      <c r="U17" s="11">
        <f t="shared" si="0"/>
        <v>5349</v>
      </c>
      <c r="V17" s="11">
        <f t="shared" si="1"/>
        <v>3477</v>
      </c>
      <c r="W17" s="11">
        <f t="shared" si="2"/>
        <v>1872</v>
      </c>
      <c r="X17" t="str">
        <f t="shared" si="3"/>
        <v>Cancelled</v>
      </c>
    </row>
    <row r="18" spans="1:24" ht="15.75" customHeight="1" x14ac:dyDescent="0.25">
      <c r="A18" s="2" t="s">
        <v>128</v>
      </c>
      <c r="B18" s="2" t="s">
        <v>129</v>
      </c>
      <c r="C18" s="2" t="s">
        <v>130</v>
      </c>
      <c r="D18" s="7" t="s">
        <v>131</v>
      </c>
      <c r="E18" s="7" t="s">
        <v>132</v>
      </c>
      <c r="F18" s="7" t="s">
        <v>38</v>
      </c>
      <c r="G18" s="5">
        <v>2133</v>
      </c>
      <c r="H18" s="5">
        <v>10</v>
      </c>
      <c r="I18" s="5">
        <v>1920</v>
      </c>
      <c r="J18" s="5">
        <v>1</v>
      </c>
      <c r="K18" s="2" t="s">
        <v>72</v>
      </c>
      <c r="L18" s="7" t="s">
        <v>133</v>
      </c>
      <c r="M18" s="4">
        <v>3.7</v>
      </c>
      <c r="N18" s="5">
        <v>230</v>
      </c>
      <c r="O18" s="3">
        <v>45829</v>
      </c>
      <c r="P18" s="7" t="s">
        <v>2391</v>
      </c>
      <c r="Q18" s="7" t="s">
        <v>29</v>
      </c>
      <c r="R18" s="7" t="s">
        <v>66</v>
      </c>
      <c r="S18" s="7" t="s">
        <v>67</v>
      </c>
      <c r="T18" s="7" t="s">
        <v>134</v>
      </c>
      <c r="U18" s="11">
        <f t="shared" si="0"/>
        <v>2133</v>
      </c>
      <c r="V18" s="11">
        <f t="shared" si="1"/>
        <v>1920</v>
      </c>
      <c r="W18" s="11">
        <f t="shared" si="2"/>
        <v>213</v>
      </c>
      <c r="X18" t="str">
        <f t="shared" si="3"/>
        <v>Returned</v>
      </c>
    </row>
    <row r="19" spans="1:24" ht="12.5" x14ac:dyDescent="0.25">
      <c r="A19" s="2" t="s">
        <v>135</v>
      </c>
      <c r="B19" s="2" t="s">
        <v>136</v>
      </c>
      <c r="C19" s="2" t="s">
        <v>137</v>
      </c>
      <c r="D19" s="7" t="s">
        <v>138</v>
      </c>
      <c r="E19" s="7" t="s">
        <v>37</v>
      </c>
      <c r="F19" s="7" t="s">
        <v>38</v>
      </c>
      <c r="G19" s="5">
        <v>1859</v>
      </c>
      <c r="H19" s="5">
        <v>10</v>
      </c>
      <c r="I19" s="5">
        <v>1674</v>
      </c>
      <c r="J19" s="5">
        <v>1</v>
      </c>
      <c r="K19" s="2" t="s">
        <v>26</v>
      </c>
      <c r="L19" s="7" t="s">
        <v>27</v>
      </c>
      <c r="M19" s="4">
        <v>4.8</v>
      </c>
      <c r="N19" s="5">
        <v>288</v>
      </c>
      <c r="O19" s="3">
        <v>45821</v>
      </c>
      <c r="P19" s="7" t="s">
        <v>2391</v>
      </c>
      <c r="Q19" s="7" t="s">
        <v>65</v>
      </c>
      <c r="R19" s="7" t="s">
        <v>83</v>
      </c>
      <c r="S19" s="7" t="s">
        <v>83</v>
      </c>
      <c r="T19" s="7" t="s">
        <v>50</v>
      </c>
      <c r="U19" s="11">
        <f t="shared" si="0"/>
        <v>1859</v>
      </c>
      <c r="V19" s="11">
        <f t="shared" si="1"/>
        <v>1674</v>
      </c>
      <c r="W19" s="11">
        <f t="shared" si="2"/>
        <v>185</v>
      </c>
      <c r="X19" t="str">
        <f t="shared" si="3"/>
        <v>Returned</v>
      </c>
    </row>
    <row r="20" spans="1:24" ht="12.5" x14ac:dyDescent="0.25">
      <c r="A20" s="2" t="s">
        <v>139</v>
      </c>
      <c r="B20" s="2" t="s">
        <v>140</v>
      </c>
      <c r="C20" s="2" t="s">
        <v>141</v>
      </c>
      <c r="D20" s="7" t="s">
        <v>142</v>
      </c>
      <c r="E20" s="7" t="s">
        <v>37</v>
      </c>
      <c r="F20" s="7" t="s">
        <v>38</v>
      </c>
      <c r="G20" s="5">
        <v>3778</v>
      </c>
      <c r="H20" s="5">
        <v>20</v>
      </c>
      <c r="I20" s="5">
        <v>3023</v>
      </c>
      <c r="J20" s="5">
        <v>1</v>
      </c>
      <c r="K20" s="2" t="s">
        <v>32</v>
      </c>
      <c r="L20" s="7" t="s">
        <v>27</v>
      </c>
      <c r="M20" s="4">
        <v>4.5</v>
      </c>
      <c r="N20" s="5">
        <v>73</v>
      </c>
      <c r="O20" s="3">
        <v>45823</v>
      </c>
      <c r="P20" s="7" t="s">
        <v>2390</v>
      </c>
      <c r="Q20" s="7" t="s">
        <v>29</v>
      </c>
      <c r="R20" s="7" t="s">
        <v>41</v>
      </c>
      <c r="S20" s="7" t="s">
        <v>42</v>
      </c>
      <c r="T20" s="7"/>
      <c r="U20" s="11">
        <f t="shared" si="0"/>
        <v>3778</v>
      </c>
      <c r="V20" s="11">
        <f t="shared" si="1"/>
        <v>3023</v>
      </c>
      <c r="W20" s="11">
        <f t="shared" si="2"/>
        <v>755</v>
      </c>
      <c r="X20" t="str">
        <f t="shared" si="3"/>
        <v>Completed</v>
      </c>
    </row>
    <row r="21" spans="1:24" ht="12.5" x14ac:dyDescent="0.25">
      <c r="A21" s="2" t="s">
        <v>143</v>
      </c>
      <c r="B21" s="2" t="s">
        <v>144</v>
      </c>
      <c r="C21" s="2" t="s">
        <v>145</v>
      </c>
      <c r="D21" s="7" t="s">
        <v>146</v>
      </c>
      <c r="E21" s="7" t="s">
        <v>147</v>
      </c>
      <c r="F21" s="7" t="s">
        <v>148</v>
      </c>
      <c r="G21" s="5">
        <v>4606</v>
      </c>
      <c r="H21" s="5">
        <v>15</v>
      </c>
      <c r="I21" s="5">
        <v>3916</v>
      </c>
      <c r="J21" s="5">
        <v>1</v>
      </c>
      <c r="K21" s="2">
        <v>42</v>
      </c>
      <c r="L21" s="7" t="s">
        <v>73</v>
      </c>
      <c r="M21" s="4">
        <v>4</v>
      </c>
      <c r="N21" s="5">
        <v>107</v>
      </c>
      <c r="O21" s="3">
        <v>45784</v>
      </c>
      <c r="P21" s="7" t="s">
        <v>2392</v>
      </c>
      <c r="Q21" s="7" t="s">
        <v>65</v>
      </c>
      <c r="R21" s="7" t="s">
        <v>149</v>
      </c>
      <c r="S21" s="7" t="s">
        <v>150</v>
      </c>
      <c r="T21" s="7"/>
      <c r="U21" s="11">
        <f t="shared" si="0"/>
        <v>4606</v>
      </c>
      <c r="V21" s="11">
        <f t="shared" si="1"/>
        <v>3916</v>
      </c>
      <c r="W21" s="11">
        <f t="shared" si="2"/>
        <v>690</v>
      </c>
      <c r="X21" t="str">
        <f t="shared" si="3"/>
        <v>Cancelled</v>
      </c>
    </row>
    <row r="22" spans="1:24" ht="12.5" x14ac:dyDescent="0.25">
      <c r="A22" s="2" t="s">
        <v>151</v>
      </c>
      <c r="B22" s="2" t="s">
        <v>152</v>
      </c>
      <c r="C22" s="2" t="s">
        <v>153</v>
      </c>
      <c r="D22" s="7" t="s">
        <v>154</v>
      </c>
      <c r="E22" s="7" t="s">
        <v>122</v>
      </c>
      <c r="F22" s="7" t="s">
        <v>123</v>
      </c>
      <c r="G22" s="5">
        <v>2002</v>
      </c>
      <c r="H22" s="5">
        <v>15</v>
      </c>
      <c r="I22" s="5">
        <v>1702</v>
      </c>
      <c r="J22" s="5">
        <v>3</v>
      </c>
      <c r="K22" s="2">
        <v>42</v>
      </c>
      <c r="L22" s="7" t="s">
        <v>73</v>
      </c>
      <c r="M22" s="4">
        <v>4.5</v>
      </c>
      <c r="N22" s="5">
        <v>126</v>
      </c>
      <c r="O22" s="3">
        <v>45819</v>
      </c>
      <c r="P22" s="7" t="s">
        <v>2392</v>
      </c>
      <c r="Q22" s="7" t="s">
        <v>78</v>
      </c>
      <c r="R22" s="7" t="s">
        <v>110</v>
      </c>
      <c r="S22" s="7" t="s">
        <v>111</v>
      </c>
      <c r="T22" s="7"/>
      <c r="U22" s="11">
        <f t="shared" si="0"/>
        <v>6006</v>
      </c>
      <c r="V22" s="11">
        <f t="shared" si="1"/>
        <v>5106</v>
      </c>
      <c r="W22" s="11">
        <f t="shared" si="2"/>
        <v>900</v>
      </c>
      <c r="X22" t="str">
        <f t="shared" si="3"/>
        <v>Cancelled</v>
      </c>
    </row>
    <row r="23" spans="1:24" ht="12.5" x14ac:dyDescent="0.25">
      <c r="A23" s="2" t="s">
        <v>155</v>
      </c>
      <c r="B23" s="2" t="s">
        <v>156</v>
      </c>
      <c r="C23" s="2" t="s">
        <v>157</v>
      </c>
      <c r="D23" s="7" t="s">
        <v>158</v>
      </c>
      <c r="E23" s="7" t="s">
        <v>55</v>
      </c>
      <c r="F23" s="7" t="s">
        <v>38</v>
      </c>
      <c r="G23" s="5">
        <v>788</v>
      </c>
      <c r="H23" s="5">
        <v>25</v>
      </c>
      <c r="I23" s="5">
        <v>591</v>
      </c>
      <c r="J23" s="5">
        <v>3</v>
      </c>
      <c r="K23" s="2" t="s">
        <v>56</v>
      </c>
      <c r="L23" s="7" t="s">
        <v>27</v>
      </c>
      <c r="M23" s="4">
        <v>3.5</v>
      </c>
      <c r="N23" s="5">
        <v>289</v>
      </c>
      <c r="O23" s="3">
        <v>45841</v>
      </c>
      <c r="P23" s="7" t="s">
        <v>2392</v>
      </c>
      <c r="Q23" s="7" t="s">
        <v>78</v>
      </c>
      <c r="R23" s="7" t="s">
        <v>66</v>
      </c>
      <c r="S23" s="7" t="s">
        <v>67</v>
      </c>
      <c r="T23" s="7"/>
      <c r="U23" s="11">
        <f t="shared" si="0"/>
        <v>2364</v>
      </c>
      <c r="V23" s="11">
        <f t="shared" si="1"/>
        <v>1773</v>
      </c>
      <c r="W23" s="11">
        <f t="shared" si="2"/>
        <v>591</v>
      </c>
      <c r="X23" t="str">
        <f t="shared" si="3"/>
        <v>Cancelled</v>
      </c>
    </row>
    <row r="24" spans="1:24" ht="12.5" x14ac:dyDescent="0.25">
      <c r="A24" s="2" t="s">
        <v>159</v>
      </c>
      <c r="B24" s="2" t="s">
        <v>160</v>
      </c>
      <c r="C24" s="2" t="s">
        <v>161</v>
      </c>
      <c r="D24" s="7" t="s">
        <v>162</v>
      </c>
      <c r="E24" s="7" t="s">
        <v>55</v>
      </c>
      <c r="F24" s="7" t="s">
        <v>38</v>
      </c>
      <c r="G24" s="5">
        <v>1075</v>
      </c>
      <c r="H24" s="5">
        <v>35</v>
      </c>
      <c r="I24" s="5">
        <v>699</v>
      </c>
      <c r="J24" s="5">
        <v>3</v>
      </c>
      <c r="K24" s="2" t="s">
        <v>163</v>
      </c>
      <c r="L24" s="7" t="s">
        <v>88</v>
      </c>
      <c r="M24" s="4">
        <v>4.3</v>
      </c>
      <c r="N24" s="5">
        <v>187</v>
      </c>
      <c r="O24" s="3">
        <v>45812</v>
      </c>
      <c r="P24" s="7" t="s">
        <v>2392</v>
      </c>
      <c r="Q24" s="7" t="s">
        <v>78</v>
      </c>
      <c r="R24" s="7" t="s">
        <v>104</v>
      </c>
      <c r="S24" s="7" t="s">
        <v>105</v>
      </c>
      <c r="T24" s="7"/>
      <c r="U24" s="11">
        <f t="shared" si="0"/>
        <v>3225</v>
      </c>
      <c r="V24" s="11">
        <f t="shared" si="1"/>
        <v>2097</v>
      </c>
      <c r="W24" s="11">
        <f t="shared" si="2"/>
        <v>1128</v>
      </c>
      <c r="X24" t="str">
        <f t="shared" si="3"/>
        <v>Cancelled</v>
      </c>
    </row>
    <row r="25" spans="1:24" ht="12.5" x14ac:dyDescent="0.25">
      <c r="A25" s="2" t="s">
        <v>164</v>
      </c>
      <c r="B25" s="2" t="s">
        <v>165</v>
      </c>
      <c r="C25" s="2" t="s">
        <v>166</v>
      </c>
      <c r="D25" s="7" t="s">
        <v>167</v>
      </c>
      <c r="E25" s="7" t="s">
        <v>132</v>
      </c>
      <c r="F25" s="7" t="s">
        <v>38</v>
      </c>
      <c r="G25" s="5">
        <v>2429</v>
      </c>
      <c r="H25" s="5">
        <v>30</v>
      </c>
      <c r="I25" s="5">
        <v>1701</v>
      </c>
      <c r="J25" s="5">
        <v>3</v>
      </c>
      <c r="K25" s="2">
        <v>40</v>
      </c>
      <c r="L25" s="7" t="s">
        <v>168</v>
      </c>
      <c r="M25" s="4">
        <v>3.7</v>
      </c>
      <c r="N25" s="5">
        <v>112</v>
      </c>
      <c r="O25" s="3">
        <v>45798</v>
      </c>
      <c r="P25" s="7" t="s">
        <v>2392</v>
      </c>
      <c r="Q25" s="7" t="s">
        <v>65</v>
      </c>
      <c r="R25" s="7" t="s">
        <v>41</v>
      </c>
      <c r="S25" s="7" t="s">
        <v>42</v>
      </c>
      <c r="T25" s="7"/>
      <c r="U25" s="11">
        <f t="shared" si="0"/>
        <v>7287</v>
      </c>
      <c r="V25" s="11">
        <f t="shared" si="1"/>
        <v>5103</v>
      </c>
      <c r="W25" s="11">
        <f t="shared" si="2"/>
        <v>2184</v>
      </c>
      <c r="X25" t="str">
        <f t="shared" si="3"/>
        <v>Cancelled</v>
      </c>
    </row>
    <row r="26" spans="1:24" ht="12.5" x14ac:dyDescent="0.25">
      <c r="A26" s="2" t="s">
        <v>169</v>
      </c>
      <c r="B26" s="2" t="s">
        <v>170</v>
      </c>
      <c r="C26" s="2" t="s">
        <v>171</v>
      </c>
      <c r="D26" s="7" t="s">
        <v>172</v>
      </c>
      <c r="E26" s="7" t="s">
        <v>116</v>
      </c>
      <c r="F26" s="7" t="s">
        <v>117</v>
      </c>
      <c r="G26" s="5">
        <v>3693</v>
      </c>
      <c r="H26" s="5">
        <v>40</v>
      </c>
      <c r="I26" s="5">
        <v>2216</v>
      </c>
      <c r="J26" s="5">
        <v>1</v>
      </c>
      <c r="K26" s="2" t="s">
        <v>163</v>
      </c>
      <c r="L26" s="7" t="s">
        <v>88</v>
      </c>
      <c r="M26" s="4">
        <v>3.7</v>
      </c>
      <c r="N26" s="5">
        <v>60</v>
      </c>
      <c r="O26" s="3">
        <v>45801</v>
      </c>
      <c r="P26" s="7" t="s">
        <v>2391</v>
      </c>
      <c r="Q26" s="7" t="s">
        <v>65</v>
      </c>
      <c r="R26" s="7" t="s">
        <v>58</v>
      </c>
      <c r="S26" s="7" t="s">
        <v>59</v>
      </c>
      <c r="T26" s="7" t="s">
        <v>50</v>
      </c>
      <c r="U26" s="11">
        <f t="shared" si="0"/>
        <v>3693</v>
      </c>
      <c r="V26" s="11">
        <f t="shared" si="1"/>
        <v>2216</v>
      </c>
      <c r="W26" s="11">
        <f t="shared" si="2"/>
        <v>1477</v>
      </c>
      <c r="X26" t="str">
        <f t="shared" si="3"/>
        <v>Returned</v>
      </c>
    </row>
    <row r="27" spans="1:24" ht="12.5" x14ac:dyDescent="0.25">
      <c r="A27" s="2" t="s">
        <v>173</v>
      </c>
      <c r="B27" s="2" t="s">
        <v>174</v>
      </c>
      <c r="C27" s="2" t="s">
        <v>175</v>
      </c>
      <c r="D27" s="7" t="s">
        <v>176</v>
      </c>
      <c r="E27" s="7" t="s">
        <v>24</v>
      </c>
      <c r="F27" s="7" t="s">
        <v>25</v>
      </c>
      <c r="G27" s="5">
        <v>785</v>
      </c>
      <c r="H27" s="5">
        <v>30</v>
      </c>
      <c r="I27" s="5">
        <v>550</v>
      </c>
      <c r="J27" s="5">
        <v>1</v>
      </c>
      <c r="K27" s="2" t="s">
        <v>72</v>
      </c>
      <c r="L27" s="7" t="s">
        <v>133</v>
      </c>
      <c r="M27" s="4">
        <v>4.9000000000000004</v>
      </c>
      <c r="N27" s="5">
        <v>169</v>
      </c>
      <c r="O27" s="3">
        <v>45856</v>
      </c>
      <c r="P27" s="7" t="s">
        <v>2392</v>
      </c>
      <c r="Q27" s="7" t="s">
        <v>78</v>
      </c>
      <c r="R27" s="7" t="s">
        <v>110</v>
      </c>
      <c r="S27" s="7" t="s">
        <v>111</v>
      </c>
      <c r="T27" s="7"/>
      <c r="U27" s="11">
        <f t="shared" si="0"/>
        <v>785</v>
      </c>
      <c r="V27" s="11">
        <f t="shared" si="1"/>
        <v>550</v>
      </c>
      <c r="W27" s="11">
        <f t="shared" si="2"/>
        <v>235</v>
      </c>
      <c r="X27" t="str">
        <f t="shared" si="3"/>
        <v>Cancelled</v>
      </c>
    </row>
    <row r="28" spans="1:24" ht="12.5" x14ac:dyDescent="0.25">
      <c r="A28" s="2" t="s">
        <v>177</v>
      </c>
      <c r="B28" s="2" t="s">
        <v>178</v>
      </c>
      <c r="C28" s="2" t="s">
        <v>179</v>
      </c>
      <c r="D28" s="7" t="s">
        <v>180</v>
      </c>
      <c r="E28" s="7" t="s">
        <v>24</v>
      </c>
      <c r="F28" s="7" t="s">
        <v>25</v>
      </c>
      <c r="G28" s="5">
        <v>1009</v>
      </c>
      <c r="H28" s="5">
        <v>25</v>
      </c>
      <c r="I28" s="5">
        <v>757</v>
      </c>
      <c r="J28" s="5">
        <v>1</v>
      </c>
      <c r="K28" s="2" t="s">
        <v>72</v>
      </c>
      <c r="L28" s="7" t="s">
        <v>88</v>
      </c>
      <c r="M28" s="4">
        <v>4.5</v>
      </c>
      <c r="N28" s="5">
        <v>20</v>
      </c>
      <c r="O28" s="3">
        <v>45844</v>
      </c>
      <c r="P28" s="7" t="s">
        <v>2391</v>
      </c>
      <c r="Q28" s="7" t="s">
        <v>78</v>
      </c>
      <c r="R28" s="7" t="s">
        <v>149</v>
      </c>
      <c r="S28" s="7" t="s">
        <v>150</v>
      </c>
      <c r="T28" s="7" t="s">
        <v>134</v>
      </c>
      <c r="U28" s="11">
        <f t="shared" si="0"/>
        <v>1009</v>
      </c>
      <c r="V28" s="11">
        <f t="shared" si="1"/>
        <v>757</v>
      </c>
      <c r="W28" s="11">
        <f t="shared" si="2"/>
        <v>252</v>
      </c>
      <c r="X28" t="str">
        <f t="shared" si="3"/>
        <v>Returned</v>
      </c>
    </row>
    <row r="29" spans="1:24" ht="12.5" x14ac:dyDescent="0.25">
      <c r="A29" s="2" t="s">
        <v>181</v>
      </c>
      <c r="B29" s="2" t="s">
        <v>182</v>
      </c>
      <c r="C29" s="2" t="s">
        <v>183</v>
      </c>
      <c r="D29" s="7" t="s">
        <v>184</v>
      </c>
      <c r="E29" s="7" t="s">
        <v>55</v>
      </c>
      <c r="F29" s="7" t="s">
        <v>38</v>
      </c>
      <c r="G29" s="5">
        <v>3962</v>
      </c>
      <c r="H29" s="5">
        <v>35</v>
      </c>
      <c r="I29" s="5">
        <v>2576</v>
      </c>
      <c r="J29" s="5">
        <v>2</v>
      </c>
      <c r="K29" s="2" t="s">
        <v>32</v>
      </c>
      <c r="L29" s="7" t="s">
        <v>73</v>
      </c>
      <c r="M29" s="4">
        <v>4.7</v>
      </c>
      <c r="N29" s="5">
        <v>165</v>
      </c>
      <c r="O29" s="3">
        <v>45778</v>
      </c>
      <c r="P29" s="7" t="s">
        <v>2392</v>
      </c>
      <c r="Q29" s="7" t="s">
        <v>65</v>
      </c>
      <c r="R29" s="7" t="s">
        <v>185</v>
      </c>
      <c r="S29" s="7" t="s">
        <v>186</v>
      </c>
      <c r="T29" s="7"/>
      <c r="U29" s="11">
        <f t="shared" si="0"/>
        <v>7924</v>
      </c>
      <c r="V29" s="11">
        <f t="shared" si="1"/>
        <v>5152</v>
      </c>
      <c r="W29" s="11">
        <f t="shared" si="2"/>
        <v>2772</v>
      </c>
      <c r="X29" t="str">
        <f t="shared" si="3"/>
        <v>Cancelled</v>
      </c>
    </row>
    <row r="30" spans="1:24" ht="12.5" x14ac:dyDescent="0.25">
      <c r="A30" s="2" t="s">
        <v>187</v>
      </c>
      <c r="B30" s="2" t="s">
        <v>188</v>
      </c>
      <c r="C30" s="2" t="s">
        <v>189</v>
      </c>
      <c r="D30" s="7" t="s">
        <v>190</v>
      </c>
      <c r="E30" s="7" t="s">
        <v>48</v>
      </c>
      <c r="F30" s="7" t="s">
        <v>25</v>
      </c>
      <c r="G30" s="5">
        <v>4353</v>
      </c>
      <c r="H30" s="5">
        <v>35</v>
      </c>
      <c r="I30" s="5">
        <v>2830</v>
      </c>
      <c r="J30" s="5">
        <v>3</v>
      </c>
      <c r="K30" s="2" t="s">
        <v>32</v>
      </c>
      <c r="L30" s="7" t="s">
        <v>73</v>
      </c>
      <c r="M30" s="4">
        <v>4.5</v>
      </c>
      <c r="N30" s="5">
        <v>83</v>
      </c>
      <c r="O30" s="3">
        <v>45798</v>
      </c>
      <c r="P30" s="7" t="s">
        <v>2392</v>
      </c>
      <c r="Q30" s="7" t="s">
        <v>65</v>
      </c>
      <c r="R30" s="7" t="s">
        <v>89</v>
      </c>
      <c r="S30" s="7" t="s">
        <v>90</v>
      </c>
      <c r="T30" s="7"/>
      <c r="U30" s="11">
        <f t="shared" si="0"/>
        <v>13059</v>
      </c>
      <c r="V30" s="11">
        <f t="shared" si="1"/>
        <v>8490</v>
      </c>
      <c r="W30" s="11">
        <f t="shared" si="2"/>
        <v>4569</v>
      </c>
      <c r="X30" t="str">
        <f t="shared" si="3"/>
        <v>Cancelled</v>
      </c>
    </row>
    <row r="31" spans="1:24" ht="12.5" x14ac:dyDescent="0.25">
      <c r="A31" s="2" t="s">
        <v>191</v>
      </c>
      <c r="B31" s="2" t="s">
        <v>192</v>
      </c>
      <c r="C31" s="2" t="s">
        <v>193</v>
      </c>
      <c r="D31" s="7" t="s">
        <v>194</v>
      </c>
      <c r="E31" s="7" t="s">
        <v>55</v>
      </c>
      <c r="F31" s="7" t="s">
        <v>38</v>
      </c>
      <c r="G31" s="5">
        <v>2953</v>
      </c>
      <c r="H31" s="5">
        <v>25</v>
      </c>
      <c r="I31" s="5">
        <v>2215</v>
      </c>
      <c r="J31" s="5">
        <v>3</v>
      </c>
      <c r="K31" s="2" t="s">
        <v>72</v>
      </c>
      <c r="L31" s="7" t="s">
        <v>88</v>
      </c>
      <c r="M31" s="4">
        <v>3.9</v>
      </c>
      <c r="N31" s="5">
        <v>199</v>
      </c>
      <c r="O31" s="3">
        <v>45843</v>
      </c>
      <c r="P31" s="7" t="s">
        <v>2392</v>
      </c>
      <c r="Q31" s="7" t="s">
        <v>65</v>
      </c>
      <c r="R31" s="7" t="s">
        <v>104</v>
      </c>
      <c r="S31" s="7" t="s">
        <v>105</v>
      </c>
      <c r="T31" s="7"/>
      <c r="U31" s="11">
        <f t="shared" si="0"/>
        <v>8859</v>
      </c>
      <c r="V31" s="11">
        <f t="shared" si="1"/>
        <v>6645</v>
      </c>
      <c r="W31" s="11">
        <f t="shared" si="2"/>
        <v>2214</v>
      </c>
      <c r="X31" t="str">
        <f t="shared" si="3"/>
        <v>Cancelled</v>
      </c>
    </row>
    <row r="32" spans="1:24" ht="12.5" x14ac:dyDescent="0.25">
      <c r="A32" s="2" t="s">
        <v>195</v>
      </c>
      <c r="B32" s="2" t="s">
        <v>196</v>
      </c>
      <c r="C32" s="2" t="s">
        <v>197</v>
      </c>
      <c r="D32" s="7" t="s">
        <v>198</v>
      </c>
      <c r="E32" s="7" t="s">
        <v>48</v>
      </c>
      <c r="F32" s="7" t="s">
        <v>25</v>
      </c>
      <c r="G32" s="5">
        <v>2438</v>
      </c>
      <c r="H32" s="5">
        <v>30</v>
      </c>
      <c r="I32" s="5">
        <v>1707</v>
      </c>
      <c r="J32" s="5">
        <v>2</v>
      </c>
      <c r="K32" s="2" t="s">
        <v>163</v>
      </c>
      <c r="L32" s="7" t="s">
        <v>27</v>
      </c>
      <c r="M32" s="4">
        <v>3.8</v>
      </c>
      <c r="N32" s="5">
        <v>56</v>
      </c>
      <c r="O32" s="3">
        <v>45826</v>
      </c>
      <c r="P32" s="7" t="s">
        <v>2390</v>
      </c>
      <c r="Q32" s="7" t="s">
        <v>29</v>
      </c>
      <c r="R32" s="7" t="s">
        <v>110</v>
      </c>
      <c r="S32" s="7" t="s">
        <v>111</v>
      </c>
      <c r="T32" s="7"/>
      <c r="U32" s="11">
        <f t="shared" si="0"/>
        <v>4876</v>
      </c>
      <c r="V32" s="11">
        <f t="shared" si="1"/>
        <v>3414</v>
      </c>
      <c r="W32" s="11">
        <f t="shared" si="2"/>
        <v>1462</v>
      </c>
      <c r="X32" t="str">
        <f t="shared" si="3"/>
        <v>Completed</v>
      </c>
    </row>
    <row r="33" spans="1:24" ht="12.5" x14ac:dyDescent="0.25">
      <c r="A33" s="2" t="s">
        <v>199</v>
      </c>
      <c r="B33" s="2" t="s">
        <v>200</v>
      </c>
      <c r="C33" s="2" t="s">
        <v>201</v>
      </c>
      <c r="D33" s="7" t="s">
        <v>202</v>
      </c>
      <c r="E33" s="7" t="s">
        <v>24</v>
      </c>
      <c r="F33" s="7" t="s">
        <v>25</v>
      </c>
      <c r="G33" s="5">
        <v>3535</v>
      </c>
      <c r="H33" s="5">
        <v>35</v>
      </c>
      <c r="I33" s="5">
        <v>2298</v>
      </c>
      <c r="J33" s="5">
        <v>1</v>
      </c>
      <c r="K33" s="2">
        <v>42</v>
      </c>
      <c r="L33" s="7" t="s">
        <v>168</v>
      </c>
      <c r="M33" s="4">
        <v>3.8</v>
      </c>
      <c r="N33" s="5">
        <v>298</v>
      </c>
      <c r="O33" s="3">
        <v>45841</v>
      </c>
      <c r="P33" s="7" t="s">
        <v>2391</v>
      </c>
      <c r="Q33" s="7" t="s">
        <v>29</v>
      </c>
      <c r="R33" s="7" t="s">
        <v>89</v>
      </c>
      <c r="S33" s="7" t="s">
        <v>90</v>
      </c>
      <c r="T33" s="7" t="s">
        <v>203</v>
      </c>
      <c r="U33" s="11">
        <f t="shared" si="0"/>
        <v>3535</v>
      </c>
      <c r="V33" s="11">
        <f t="shared" si="1"/>
        <v>2298</v>
      </c>
      <c r="W33" s="11">
        <f t="shared" si="2"/>
        <v>1237</v>
      </c>
      <c r="X33" t="str">
        <f t="shared" si="3"/>
        <v>Returned</v>
      </c>
    </row>
    <row r="34" spans="1:24" ht="12.5" x14ac:dyDescent="0.25">
      <c r="A34" s="2" t="s">
        <v>204</v>
      </c>
      <c r="B34" s="2" t="s">
        <v>205</v>
      </c>
      <c r="C34" s="2" t="s">
        <v>206</v>
      </c>
      <c r="D34" s="7" t="s">
        <v>207</v>
      </c>
      <c r="E34" s="7" t="s">
        <v>208</v>
      </c>
      <c r="F34" s="7" t="s">
        <v>117</v>
      </c>
      <c r="G34" s="5">
        <v>632</v>
      </c>
      <c r="H34" s="5">
        <v>30</v>
      </c>
      <c r="I34" s="5">
        <v>443</v>
      </c>
      <c r="J34" s="5">
        <v>1</v>
      </c>
      <c r="K34" s="2">
        <v>40</v>
      </c>
      <c r="L34" s="7" t="s">
        <v>209</v>
      </c>
      <c r="M34" s="4">
        <v>4.0999999999999996</v>
      </c>
      <c r="N34" s="5">
        <v>70</v>
      </c>
      <c r="O34" s="3">
        <v>45834</v>
      </c>
      <c r="P34" s="7" t="s">
        <v>2390</v>
      </c>
      <c r="Q34" s="7" t="s">
        <v>78</v>
      </c>
      <c r="R34" s="7" t="s">
        <v>110</v>
      </c>
      <c r="S34" s="7" t="s">
        <v>111</v>
      </c>
      <c r="T34" s="7"/>
      <c r="U34" s="11">
        <f t="shared" si="0"/>
        <v>632</v>
      </c>
      <c r="V34" s="11">
        <f t="shared" si="1"/>
        <v>443</v>
      </c>
      <c r="W34" s="11">
        <f t="shared" si="2"/>
        <v>189</v>
      </c>
      <c r="X34" t="str">
        <f t="shared" si="3"/>
        <v>Completed</v>
      </c>
    </row>
    <row r="35" spans="1:24" ht="12.5" x14ac:dyDescent="0.25">
      <c r="A35" s="2" t="s">
        <v>210</v>
      </c>
      <c r="B35" s="2" t="s">
        <v>211</v>
      </c>
      <c r="C35" s="2" t="s">
        <v>212</v>
      </c>
      <c r="D35" s="7" t="s">
        <v>213</v>
      </c>
      <c r="E35" s="7" t="s">
        <v>48</v>
      </c>
      <c r="F35" s="7" t="s">
        <v>25</v>
      </c>
      <c r="G35" s="5">
        <v>3134</v>
      </c>
      <c r="H35" s="5">
        <v>15</v>
      </c>
      <c r="I35" s="5">
        <v>2664</v>
      </c>
      <c r="J35" s="5">
        <v>2</v>
      </c>
      <c r="K35" s="2" t="s">
        <v>72</v>
      </c>
      <c r="L35" s="7" t="s">
        <v>27</v>
      </c>
      <c r="M35" s="4">
        <v>4.0999999999999996</v>
      </c>
      <c r="N35" s="5">
        <v>173</v>
      </c>
      <c r="O35" s="3">
        <v>45770</v>
      </c>
      <c r="P35" s="7" t="s">
        <v>2391</v>
      </c>
      <c r="Q35" s="7" t="s">
        <v>78</v>
      </c>
      <c r="R35" s="7" t="s">
        <v>110</v>
      </c>
      <c r="S35" s="7" t="s">
        <v>111</v>
      </c>
      <c r="T35" s="7" t="s">
        <v>203</v>
      </c>
      <c r="U35" s="11">
        <f t="shared" si="0"/>
        <v>6268</v>
      </c>
      <c r="V35" s="11">
        <f t="shared" si="1"/>
        <v>5328</v>
      </c>
      <c r="W35" s="11">
        <f t="shared" si="2"/>
        <v>940</v>
      </c>
      <c r="X35" t="str">
        <f t="shared" si="3"/>
        <v>Returned</v>
      </c>
    </row>
    <row r="36" spans="1:24" ht="12.5" x14ac:dyDescent="0.25">
      <c r="A36" s="2" t="s">
        <v>214</v>
      </c>
      <c r="B36" s="2" t="s">
        <v>215</v>
      </c>
      <c r="C36" s="2" t="s">
        <v>216</v>
      </c>
      <c r="D36" s="7" t="s">
        <v>217</v>
      </c>
      <c r="E36" s="7" t="s">
        <v>147</v>
      </c>
      <c r="F36" s="7" t="s">
        <v>148</v>
      </c>
      <c r="G36" s="5">
        <v>874</v>
      </c>
      <c r="H36" s="5">
        <v>30</v>
      </c>
      <c r="I36" s="5">
        <v>612</v>
      </c>
      <c r="J36" s="5">
        <v>3</v>
      </c>
      <c r="K36" s="2" t="s">
        <v>26</v>
      </c>
      <c r="L36" s="7" t="s">
        <v>103</v>
      </c>
      <c r="M36" s="4">
        <v>4</v>
      </c>
      <c r="N36" s="5">
        <v>269</v>
      </c>
      <c r="O36" s="3">
        <v>45822</v>
      </c>
      <c r="P36" s="7" t="s">
        <v>2391</v>
      </c>
      <c r="Q36" s="7" t="s">
        <v>29</v>
      </c>
      <c r="R36" s="7" t="s">
        <v>185</v>
      </c>
      <c r="S36" s="7" t="s">
        <v>186</v>
      </c>
      <c r="T36" s="7" t="s">
        <v>134</v>
      </c>
      <c r="U36" s="11">
        <f t="shared" si="0"/>
        <v>2622</v>
      </c>
      <c r="V36" s="11">
        <f t="shared" si="1"/>
        <v>1836</v>
      </c>
      <c r="W36" s="11">
        <f t="shared" si="2"/>
        <v>786</v>
      </c>
      <c r="X36" t="str">
        <f t="shared" si="3"/>
        <v>Returned</v>
      </c>
    </row>
    <row r="37" spans="1:24" ht="12.5" x14ac:dyDescent="0.25">
      <c r="A37" s="2" t="s">
        <v>218</v>
      </c>
      <c r="B37" s="2" t="s">
        <v>219</v>
      </c>
      <c r="C37" s="2" t="s">
        <v>220</v>
      </c>
      <c r="D37" s="7" t="s">
        <v>221</v>
      </c>
      <c r="E37" s="7" t="s">
        <v>37</v>
      </c>
      <c r="F37" s="7" t="s">
        <v>38</v>
      </c>
      <c r="G37" s="5">
        <v>4940</v>
      </c>
      <c r="H37" s="5">
        <v>25</v>
      </c>
      <c r="I37" s="5">
        <v>3705</v>
      </c>
      <c r="J37" s="5">
        <v>1</v>
      </c>
      <c r="K37" s="2" t="s">
        <v>72</v>
      </c>
      <c r="L37" s="7" t="s">
        <v>49</v>
      </c>
      <c r="M37" s="4">
        <v>3.6</v>
      </c>
      <c r="N37" s="5">
        <v>215</v>
      </c>
      <c r="O37" s="3">
        <v>45852</v>
      </c>
      <c r="P37" s="7" t="s">
        <v>2390</v>
      </c>
      <c r="Q37" s="7" t="s">
        <v>78</v>
      </c>
      <c r="R37" s="7" t="s">
        <v>83</v>
      </c>
      <c r="S37" s="7" t="s">
        <v>83</v>
      </c>
      <c r="T37" s="7"/>
      <c r="U37" s="11">
        <f t="shared" si="0"/>
        <v>4940</v>
      </c>
      <c r="V37" s="11">
        <f t="shared" si="1"/>
        <v>3705</v>
      </c>
      <c r="W37" s="11">
        <f t="shared" si="2"/>
        <v>1235</v>
      </c>
      <c r="X37" t="str">
        <f t="shared" si="3"/>
        <v>Completed</v>
      </c>
    </row>
    <row r="38" spans="1:24" ht="12.5" x14ac:dyDescent="0.25">
      <c r="A38" s="2" t="s">
        <v>222</v>
      </c>
      <c r="B38" s="2" t="s">
        <v>223</v>
      </c>
      <c r="C38" s="2" t="s">
        <v>224</v>
      </c>
      <c r="D38" s="7" t="s">
        <v>225</v>
      </c>
      <c r="E38" s="7" t="s">
        <v>37</v>
      </c>
      <c r="F38" s="7" t="s">
        <v>38</v>
      </c>
      <c r="G38" s="5">
        <v>708</v>
      </c>
      <c r="H38" s="5">
        <v>35</v>
      </c>
      <c r="I38" s="5">
        <v>461</v>
      </c>
      <c r="J38" s="5">
        <v>2</v>
      </c>
      <c r="K38" s="2" t="s">
        <v>226</v>
      </c>
      <c r="L38" s="7" t="s">
        <v>133</v>
      </c>
      <c r="M38" s="4">
        <v>5</v>
      </c>
      <c r="N38" s="5">
        <v>11</v>
      </c>
      <c r="O38" s="3">
        <v>45842</v>
      </c>
      <c r="P38" s="7" t="s">
        <v>2391</v>
      </c>
      <c r="Q38" s="7" t="s">
        <v>78</v>
      </c>
      <c r="R38" s="7" t="s">
        <v>41</v>
      </c>
      <c r="S38" s="7" t="s">
        <v>42</v>
      </c>
      <c r="T38" s="7" t="s">
        <v>50</v>
      </c>
      <c r="U38" s="11">
        <f t="shared" si="0"/>
        <v>1416</v>
      </c>
      <c r="V38" s="11">
        <f t="shared" si="1"/>
        <v>922</v>
      </c>
      <c r="W38" s="11">
        <f t="shared" si="2"/>
        <v>494</v>
      </c>
      <c r="X38" t="str">
        <f t="shared" si="3"/>
        <v>Returned</v>
      </c>
    </row>
    <row r="39" spans="1:24" ht="12.5" x14ac:dyDescent="0.25">
      <c r="A39" s="2" t="s">
        <v>227</v>
      </c>
      <c r="B39" s="2" t="s">
        <v>228</v>
      </c>
      <c r="C39" s="2" t="s">
        <v>229</v>
      </c>
      <c r="D39" s="7" t="s">
        <v>230</v>
      </c>
      <c r="E39" s="7" t="s">
        <v>116</v>
      </c>
      <c r="F39" s="7" t="s">
        <v>117</v>
      </c>
      <c r="G39" s="5">
        <v>1162</v>
      </c>
      <c r="H39" s="5">
        <v>10</v>
      </c>
      <c r="I39" s="5">
        <v>1046</v>
      </c>
      <c r="J39" s="5">
        <v>2</v>
      </c>
      <c r="K39" s="2" t="s">
        <v>56</v>
      </c>
      <c r="L39" s="7" t="s">
        <v>64</v>
      </c>
      <c r="M39" s="4">
        <v>4.5</v>
      </c>
      <c r="N39" s="5">
        <v>180</v>
      </c>
      <c r="O39" s="3">
        <v>45835</v>
      </c>
      <c r="P39" s="7" t="s">
        <v>2392</v>
      </c>
      <c r="Q39" s="7" t="s">
        <v>65</v>
      </c>
      <c r="R39" s="7" t="s">
        <v>185</v>
      </c>
      <c r="S39" s="7" t="s">
        <v>186</v>
      </c>
      <c r="T39" s="7"/>
      <c r="U39" s="11">
        <f t="shared" si="0"/>
        <v>2324</v>
      </c>
      <c r="V39" s="11">
        <f t="shared" si="1"/>
        <v>2092</v>
      </c>
      <c r="W39" s="11">
        <f t="shared" si="2"/>
        <v>232</v>
      </c>
      <c r="X39" t="str">
        <f t="shared" si="3"/>
        <v>Cancelled</v>
      </c>
    </row>
    <row r="40" spans="1:24" ht="12.5" x14ac:dyDescent="0.25">
      <c r="A40" s="2" t="s">
        <v>231</v>
      </c>
      <c r="B40" s="2" t="s">
        <v>232</v>
      </c>
      <c r="C40" s="2" t="s">
        <v>233</v>
      </c>
      <c r="D40" s="7" t="s">
        <v>234</v>
      </c>
      <c r="E40" s="7" t="s">
        <v>48</v>
      </c>
      <c r="F40" s="7" t="s">
        <v>25</v>
      </c>
      <c r="G40" s="5">
        <v>2342</v>
      </c>
      <c r="H40" s="5">
        <v>25</v>
      </c>
      <c r="I40" s="5">
        <v>1757</v>
      </c>
      <c r="J40" s="5">
        <v>3</v>
      </c>
      <c r="K40" s="2" t="s">
        <v>32</v>
      </c>
      <c r="L40" s="7" t="s">
        <v>209</v>
      </c>
      <c r="M40" s="4">
        <v>3.8</v>
      </c>
      <c r="N40" s="5">
        <v>265</v>
      </c>
      <c r="O40" s="3">
        <v>45783</v>
      </c>
      <c r="P40" s="7" t="s">
        <v>2392</v>
      </c>
      <c r="Q40" s="7" t="s">
        <v>29</v>
      </c>
      <c r="R40" s="7" t="s">
        <v>149</v>
      </c>
      <c r="S40" s="7" t="s">
        <v>150</v>
      </c>
      <c r="T40" s="7"/>
      <c r="U40" s="11">
        <f t="shared" si="0"/>
        <v>7026</v>
      </c>
      <c r="V40" s="11">
        <f t="shared" si="1"/>
        <v>5271</v>
      </c>
      <c r="W40" s="11">
        <f t="shared" si="2"/>
        <v>1755</v>
      </c>
      <c r="X40" t="str">
        <f t="shared" si="3"/>
        <v>Cancelled</v>
      </c>
    </row>
    <row r="41" spans="1:24" ht="12.5" x14ac:dyDescent="0.25">
      <c r="A41" s="2" t="s">
        <v>235</v>
      </c>
      <c r="B41" s="2" t="s">
        <v>236</v>
      </c>
      <c r="C41" s="2" t="s">
        <v>237</v>
      </c>
      <c r="D41" s="7" t="s">
        <v>238</v>
      </c>
      <c r="E41" s="7" t="s">
        <v>24</v>
      </c>
      <c r="F41" s="7" t="s">
        <v>25</v>
      </c>
      <c r="G41" s="5">
        <v>2830</v>
      </c>
      <c r="H41" s="5">
        <v>20</v>
      </c>
      <c r="I41" s="5">
        <v>2264</v>
      </c>
      <c r="J41" s="5">
        <v>1</v>
      </c>
      <c r="K41" s="2">
        <v>42</v>
      </c>
      <c r="L41" s="7" t="s">
        <v>103</v>
      </c>
      <c r="M41" s="4">
        <v>4</v>
      </c>
      <c r="N41" s="5">
        <v>254</v>
      </c>
      <c r="O41" s="3">
        <v>45858</v>
      </c>
      <c r="P41" s="7" t="s">
        <v>2390</v>
      </c>
      <c r="Q41" s="7" t="s">
        <v>78</v>
      </c>
      <c r="R41" s="7" t="s">
        <v>149</v>
      </c>
      <c r="S41" s="7" t="s">
        <v>150</v>
      </c>
      <c r="T41" s="7"/>
      <c r="U41" s="11">
        <f t="shared" si="0"/>
        <v>2830</v>
      </c>
      <c r="V41" s="11">
        <f t="shared" si="1"/>
        <v>2264</v>
      </c>
      <c r="W41" s="11">
        <f t="shared" si="2"/>
        <v>566</v>
      </c>
      <c r="X41" t="str">
        <f t="shared" si="3"/>
        <v>Completed</v>
      </c>
    </row>
    <row r="42" spans="1:24" ht="12.5" x14ac:dyDescent="0.25">
      <c r="A42" s="2" t="s">
        <v>239</v>
      </c>
      <c r="B42" s="2" t="s">
        <v>240</v>
      </c>
      <c r="C42" s="2" t="s">
        <v>241</v>
      </c>
      <c r="D42" s="7" t="s">
        <v>242</v>
      </c>
      <c r="E42" s="7" t="s">
        <v>208</v>
      </c>
      <c r="F42" s="7" t="s">
        <v>117</v>
      </c>
      <c r="G42" s="5">
        <v>4422</v>
      </c>
      <c r="H42" s="5">
        <v>30</v>
      </c>
      <c r="I42" s="5">
        <v>3096</v>
      </c>
      <c r="J42" s="5">
        <v>2</v>
      </c>
      <c r="K42" s="2" t="s">
        <v>26</v>
      </c>
      <c r="L42" s="7" t="s">
        <v>88</v>
      </c>
      <c r="M42" s="4">
        <v>4.8</v>
      </c>
      <c r="N42" s="5">
        <v>39</v>
      </c>
      <c r="O42" s="3">
        <v>45853</v>
      </c>
      <c r="P42" s="7" t="s">
        <v>2391</v>
      </c>
      <c r="Q42" s="7" t="s">
        <v>65</v>
      </c>
      <c r="R42" s="7" t="s">
        <v>41</v>
      </c>
      <c r="S42" s="7" t="s">
        <v>42</v>
      </c>
      <c r="T42" s="7" t="s">
        <v>203</v>
      </c>
      <c r="U42" s="11">
        <f t="shared" si="0"/>
        <v>8844</v>
      </c>
      <c r="V42" s="11">
        <f t="shared" si="1"/>
        <v>6192</v>
      </c>
      <c r="W42" s="11">
        <f t="shared" si="2"/>
        <v>2652</v>
      </c>
      <c r="X42" t="str">
        <f t="shared" si="3"/>
        <v>Returned</v>
      </c>
    </row>
    <row r="43" spans="1:24" ht="12.5" x14ac:dyDescent="0.25">
      <c r="A43" s="2" t="s">
        <v>243</v>
      </c>
      <c r="B43" s="2" t="s">
        <v>244</v>
      </c>
      <c r="C43" s="2" t="s">
        <v>245</v>
      </c>
      <c r="D43" s="7" t="s">
        <v>246</v>
      </c>
      <c r="E43" s="7" t="s">
        <v>247</v>
      </c>
      <c r="F43" s="7" t="s">
        <v>248</v>
      </c>
      <c r="G43" s="5">
        <v>1508</v>
      </c>
      <c r="H43" s="5">
        <v>40</v>
      </c>
      <c r="I43" s="5">
        <v>905</v>
      </c>
      <c r="J43" s="5">
        <v>1</v>
      </c>
      <c r="K43" s="2" t="s">
        <v>56</v>
      </c>
      <c r="L43" s="7" t="s">
        <v>27</v>
      </c>
      <c r="M43" s="4">
        <v>4.9000000000000004</v>
      </c>
      <c r="N43" s="5">
        <v>192</v>
      </c>
      <c r="O43" s="3">
        <v>45847</v>
      </c>
      <c r="P43" s="7" t="s">
        <v>2392</v>
      </c>
      <c r="Q43" s="7" t="s">
        <v>78</v>
      </c>
      <c r="R43" s="7" t="s">
        <v>104</v>
      </c>
      <c r="S43" s="7" t="s">
        <v>105</v>
      </c>
      <c r="T43" s="7"/>
      <c r="U43" s="11">
        <f t="shared" si="0"/>
        <v>1508</v>
      </c>
      <c r="V43" s="11">
        <f t="shared" si="1"/>
        <v>905</v>
      </c>
      <c r="W43" s="11">
        <f t="shared" si="2"/>
        <v>603</v>
      </c>
      <c r="X43" t="str">
        <f t="shared" si="3"/>
        <v>Cancelled</v>
      </c>
    </row>
    <row r="44" spans="1:24" ht="12.5" x14ac:dyDescent="0.25">
      <c r="A44" s="2" t="s">
        <v>249</v>
      </c>
      <c r="B44" s="2" t="s">
        <v>250</v>
      </c>
      <c r="C44" s="2" t="s">
        <v>251</v>
      </c>
      <c r="D44" s="7" t="s">
        <v>252</v>
      </c>
      <c r="E44" s="7" t="s">
        <v>132</v>
      </c>
      <c r="F44" s="7" t="s">
        <v>38</v>
      </c>
      <c r="G44" s="5">
        <v>3065</v>
      </c>
      <c r="H44" s="5">
        <v>30</v>
      </c>
      <c r="I44" s="5">
        <v>2146</v>
      </c>
      <c r="J44" s="5">
        <v>3</v>
      </c>
      <c r="K44" s="2">
        <v>44</v>
      </c>
      <c r="L44" s="7" t="s">
        <v>49</v>
      </c>
      <c r="M44" s="4">
        <v>4.4000000000000004</v>
      </c>
      <c r="N44" s="5">
        <v>196</v>
      </c>
      <c r="O44" s="3">
        <v>45843</v>
      </c>
      <c r="P44" s="7" t="s">
        <v>2390</v>
      </c>
      <c r="Q44" s="7" t="s">
        <v>65</v>
      </c>
      <c r="R44" s="7" t="s">
        <v>185</v>
      </c>
      <c r="S44" s="7" t="s">
        <v>186</v>
      </c>
      <c r="T44" s="7"/>
      <c r="U44" s="11">
        <f t="shared" si="0"/>
        <v>9195</v>
      </c>
      <c r="V44" s="11">
        <f t="shared" si="1"/>
        <v>6438</v>
      </c>
      <c r="W44" s="11">
        <f t="shared" si="2"/>
        <v>2757</v>
      </c>
      <c r="X44" t="str">
        <f t="shared" si="3"/>
        <v>Completed</v>
      </c>
    </row>
    <row r="45" spans="1:24" ht="12.5" x14ac:dyDescent="0.25">
      <c r="A45" s="2" t="s">
        <v>253</v>
      </c>
      <c r="B45" s="2" t="s">
        <v>254</v>
      </c>
      <c r="C45" s="2" t="s">
        <v>255</v>
      </c>
      <c r="D45" s="7" t="s">
        <v>256</v>
      </c>
      <c r="E45" s="7" t="s">
        <v>55</v>
      </c>
      <c r="F45" s="7" t="s">
        <v>38</v>
      </c>
      <c r="G45" s="5">
        <v>3272</v>
      </c>
      <c r="H45" s="5">
        <v>30</v>
      </c>
      <c r="I45" s="5">
        <v>2291</v>
      </c>
      <c r="J45" s="5">
        <v>2</v>
      </c>
      <c r="K45" s="2" t="s">
        <v>26</v>
      </c>
      <c r="L45" s="7" t="s">
        <v>39</v>
      </c>
      <c r="M45" s="4">
        <v>4.4000000000000004</v>
      </c>
      <c r="N45" s="5">
        <v>72</v>
      </c>
      <c r="O45" s="3">
        <v>45772</v>
      </c>
      <c r="P45" s="7" t="s">
        <v>2390</v>
      </c>
      <c r="Q45" s="7" t="s">
        <v>78</v>
      </c>
      <c r="R45" s="7" t="s">
        <v>89</v>
      </c>
      <c r="S45" s="7" t="s">
        <v>90</v>
      </c>
      <c r="T45" s="7"/>
      <c r="U45" s="11">
        <f t="shared" si="0"/>
        <v>6544</v>
      </c>
      <c r="V45" s="11">
        <f t="shared" si="1"/>
        <v>4582</v>
      </c>
      <c r="W45" s="11">
        <f t="shared" si="2"/>
        <v>1962</v>
      </c>
      <c r="X45" t="str">
        <f t="shared" si="3"/>
        <v>Completed</v>
      </c>
    </row>
    <row r="46" spans="1:24" ht="12.5" x14ac:dyDescent="0.25">
      <c r="A46" s="2" t="s">
        <v>257</v>
      </c>
      <c r="B46" s="2" t="s">
        <v>258</v>
      </c>
      <c r="C46" s="2" t="s">
        <v>259</v>
      </c>
      <c r="D46" s="7" t="s">
        <v>260</v>
      </c>
      <c r="E46" s="7" t="s">
        <v>24</v>
      </c>
      <c r="F46" s="7" t="s">
        <v>25</v>
      </c>
      <c r="G46" s="5">
        <v>1580</v>
      </c>
      <c r="H46" s="5">
        <v>35</v>
      </c>
      <c r="I46" s="5">
        <v>1027</v>
      </c>
      <c r="J46" s="5">
        <v>2</v>
      </c>
      <c r="K46" s="2" t="s">
        <v>261</v>
      </c>
      <c r="L46" s="7" t="s">
        <v>88</v>
      </c>
      <c r="M46" s="4">
        <v>3.9</v>
      </c>
      <c r="N46" s="5">
        <v>36</v>
      </c>
      <c r="O46" s="3">
        <v>45779</v>
      </c>
      <c r="P46" s="7" t="s">
        <v>2391</v>
      </c>
      <c r="Q46" s="7" t="s">
        <v>29</v>
      </c>
      <c r="R46" s="7" t="s">
        <v>83</v>
      </c>
      <c r="S46" s="7" t="s">
        <v>83</v>
      </c>
      <c r="T46" s="7"/>
      <c r="U46" s="11">
        <f t="shared" si="0"/>
        <v>3160</v>
      </c>
      <c r="V46" s="11">
        <f t="shared" si="1"/>
        <v>2054</v>
      </c>
      <c r="W46" s="11">
        <f t="shared" si="2"/>
        <v>1106</v>
      </c>
      <c r="X46" t="str">
        <f t="shared" si="3"/>
        <v>Returned</v>
      </c>
    </row>
    <row r="47" spans="1:24" ht="12.5" x14ac:dyDescent="0.25">
      <c r="A47" s="2" t="s">
        <v>262</v>
      </c>
      <c r="B47" s="2" t="s">
        <v>263</v>
      </c>
      <c r="C47" s="2" t="s">
        <v>264</v>
      </c>
      <c r="D47" s="7" t="s">
        <v>265</v>
      </c>
      <c r="E47" s="7" t="s">
        <v>132</v>
      </c>
      <c r="F47" s="7" t="s">
        <v>38</v>
      </c>
      <c r="G47" s="5">
        <v>1257</v>
      </c>
      <c r="H47" s="5">
        <v>25</v>
      </c>
      <c r="I47" s="5">
        <v>943</v>
      </c>
      <c r="J47" s="5">
        <v>3</v>
      </c>
      <c r="K47" s="2" t="s">
        <v>163</v>
      </c>
      <c r="L47" s="7" t="s">
        <v>209</v>
      </c>
      <c r="M47" s="4">
        <v>3.9</v>
      </c>
      <c r="N47" s="5">
        <v>165</v>
      </c>
      <c r="O47" s="3">
        <v>45842</v>
      </c>
      <c r="P47" s="7" t="s">
        <v>2390</v>
      </c>
      <c r="Q47" s="7" t="s">
        <v>65</v>
      </c>
      <c r="R47" s="7" t="s">
        <v>89</v>
      </c>
      <c r="S47" s="7" t="s">
        <v>90</v>
      </c>
      <c r="T47" s="7"/>
      <c r="U47" s="11">
        <f t="shared" si="0"/>
        <v>3771</v>
      </c>
      <c r="V47" s="11">
        <f t="shared" si="1"/>
        <v>2829</v>
      </c>
      <c r="W47" s="11">
        <f t="shared" si="2"/>
        <v>942</v>
      </c>
      <c r="X47" t="str">
        <f t="shared" si="3"/>
        <v>Completed</v>
      </c>
    </row>
    <row r="48" spans="1:24" ht="12.5" x14ac:dyDescent="0.25">
      <c r="A48" s="2" t="s">
        <v>266</v>
      </c>
      <c r="B48" s="2" t="s">
        <v>267</v>
      </c>
      <c r="C48" s="2" t="s">
        <v>268</v>
      </c>
      <c r="D48" s="7" t="s">
        <v>269</v>
      </c>
      <c r="E48" s="7" t="s">
        <v>247</v>
      </c>
      <c r="F48" s="7" t="s">
        <v>248</v>
      </c>
      <c r="G48" s="5">
        <v>2005</v>
      </c>
      <c r="H48" s="5">
        <v>10</v>
      </c>
      <c r="I48" s="5">
        <v>1805</v>
      </c>
      <c r="J48" s="5">
        <v>1</v>
      </c>
      <c r="K48" s="2" t="s">
        <v>163</v>
      </c>
      <c r="L48" s="7" t="s">
        <v>103</v>
      </c>
      <c r="M48" s="4">
        <v>4.9000000000000004</v>
      </c>
      <c r="N48" s="5">
        <v>22</v>
      </c>
      <c r="O48" s="3">
        <v>45770</v>
      </c>
      <c r="P48" s="7" t="s">
        <v>2392</v>
      </c>
      <c r="Q48" s="7" t="s">
        <v>78</v>
      </c>
      <c r="R48" s="7" t="s">
        <v>104</v>
      </c>
      <c r="S48" s="7" t="s">
        <v>105</v>
      </c>
      <c r="T48" s="7"/>
      <c r="U48" s="11">
        <f t="shared" si="0"/>
        <v>2005</v>
      </c>
      <c r="V48" s="11">
        <f t="shared" si="1"/>
        <v>1805</v>
      </c>
      <c r="W48" s="11">
        <f t="shared" si="2"/>
        <v>200</v>
      </c>
      <c r="X48" t="str">
        <f t="shared" si="3"/>
        <v>Cancelled</v>
      </c>
    </row>
    <row r="49" spans="1:24" ht="12.5" x14ac:dyDescent="0.25">
      <c r="A49" s="2" t="s">
        <v>270</v>
      </c>
      <c r="B49" s="2" t="s">
        <v>271</v>
      </c>
      <c r="C49" s="2" t="s">
        <v>272</v>
      </c>
      <c r="D49" s="7" t="s">
        <v>273</v>
      </c>
      <c r="E49" s="7" t="s">
        <v>48</v>
      </c>
      <c r="F49" s="7" t="s">
        <v>25</v>
      </c>
      <c r="G49" s="5">
        <v>3202</v>
      </c>
      <c r="H49" s="5">
        <v>25</v>
      </c>
      <c r="I49" s="5">
        <v>2402</v>
      </c>
      <c r="J49" s="5">
        <v>3</v>
      </c>
      <c r="K49" s="2">
        <v>44</v>
      </c>
      <c r="L49" s="7" t="s">
        <v>88</v>
      </c>
      <c r="M49" s="4">
        <v>4.3</v>
      </c>
      <c r="N49" s="5">
        <v>104</v>
      </c>
      <c r="O49" s="3">
        <v>45807</v>
      </c>
      <c r="P49" s="7" t="s">
        <v>2391</v>
      </c>
      <c r="Q49" s="7" t="s">
        <v>78</v>
      </c>
      <c r="R49" s="7" t="s">
        <v>83</v>
      </c>
      <c r="S49" s="7" t="s">
        <v>83</v>
      </c>
      <c r="T49" s="7"/>
      <c r="U49" s="11">
        <f t="shared" si="0"/>
        <v>9606</v>
      </c>
      <c r="V49" s="11">
        <f t="shared" si="1"/>
        <v>7206</v>
      </c>
      <c r="W49" s="11">
        <f t="shared" si="2"/>
        <v>2400</v>
      </c>
      <c r="X49" t="str">
        <f t="shared" si="3"/>
        <v>Returned</v>
      </c>
    </row>
    <row r="50" spans="1:24" ht="12.5" x14ac:dyDescent="0.25">
      <c r="A50" s="2" t="s">
        <v>274</v>
      </c>
      <c r="B50" s="2" t="s">
        <v>275</v>
      </c>
      <c r="C50" s="2" t="s">
        <v>276</v>
      </c>
      <c r="D50" s="7" t="s">
        <v>277</v>
      </c>
      <c r="E50" s="7" t="s">
        <v>24</v>
      </c>
      <c r="F50" s="7" t="s">
        <v>25</v>
      </c>
      <c r="G50" s="5">
        <v>3086</v>
      </c>
      <c r="H50" s="5">
        <v>40</v>
      </c>
      <c r="I50" s="5">
        <v>1852</v>
      </c>
      <c r="J50" s="5">
        <v>3</v>
      </c>
      <c r="K50" s="2">
        <v>44</v>
      </c>
      <c r="L50" s="7" t="s">
        <v>27</v>
      </c>
      <c r="M50" s="4">
        <v>3.6</v>
      </c>
      <c r="N50" s="5">
        <v>162</v>
      </c>
      <c r="O50" s="3">
        <v>45849</v>
      </c>
      <c r="P50" s="7" t="s">
        <v>2390</v>
      </c>
      <c r="Q50" s="7" t="s">
        <v>65</v>
      </c>
      <c r="R50" s="7" t="s">
        <v>185</v>
      </c>
      <c r="S50" s="7" t="s">
        <v>186</v>
      </c>
      <c r="T50" s="7"/>
      <c r="U50" s="11">
        <f t="shared" si="0"/>
        <v>9258</v>
      </c>
      <c r="V50" s="11">
        <f t="shared" si="1"/>
        <v>5556</v>
      </c>
      <c r="W50" s="11">
        <f t="shared" si="2"/>
        <v>3702</v>
      </c>
      <c r="X50" t="str">
        <f t="shared" si="3"/>
        <v>Completed</v>
      </c>
    </row>
    <row r="51" spans="1:24" ht="12.5" x14ac:dyDescent="0.25">
      <c r="A51" s="2" t="s">
        <v>278</v>
      </c>
      <c r="B51" s="2" t="s">
        <v>279</v>
      </c>
      <c r="C51" s="2" t="s">
        <v>280</v>
      </c>
      <c r="D51" s="7" t="s">
        <v>281</v>
      </c>
      <c r="E51" s="7" t="s">
        <v>247</v>
      </c>
      <c r="F51" s="7" t="s">
        <v>248</v>
      </c>
      <c r="G51" s="5">
        <v>827</v>
      </c>
      <c r="H51" s="5">
        <v>10</v>
      </c>
      <c r="I51" s="5">
        <v>745</v>
      </c>
      <c r="J51" s="5">
        <v>1</v>
      </c>
      <c r="K51" s="2" t="s">
        <v>163</v>
      </c>
      <c r="L51" s="7" t="s">
        <v>209</v>
      </c>
      <c r="M51" s="4">
        <v>4.9000000000000004</v>
      </c>
      <c r="N51" s="5">
        <v>23</v>
      </c>
      <c r="O51" s="3">
        <v>45831</v>
      </c>
      <c r="P51" s="7" t="s">
        <v>2390</v>
      </c>
      <c r="Q51" s="7" t="s">
        <v>65</v>
      </c>
      <c r="R51" s="7" t="s">
        <v>41</v>
      </c>
      <c r="S51" s="7" t="s">
        <v>42</v>
      </c>
      <c r="T51" s="7"/>
      <c r="U51" s="11">
        <f t="shared" si="0"/>
        <v>827</v>
      </c>
      <c r="V51" s="11">
        <f t="shared" si="1"/>
        <v>745</v>
      </c>
      <c r="W51" s="11">
        <f t="shared" si="2"/>
        <v>82</v>
      </c>
      <c r="X51" t="str">
        <f t="shared" si="3"/>
        <v>Completed</v>
      </c>
    </row>
    <row r="52" spans="1:24" ht="12.5" x14ac:dyDescent="0.25">
      <c r="A52" s="2" t="s">
        <v>282</v>
      </c>
      <c r="B52" s="2" t="s">
        <v>283</v>
      </c>
      <c r="C52" s="2" t="s">
        <v>284</v>
      </c>
      <c r="D52" s="7" t="s">
        <v>285</v>
      </c>
      <c r="E52" s="7" t="s">
        <v>147</v>
      </c>
      <c r="F52" s="7" t="s">
        <v>148</v>
      </c>
      <c r="G52" s="5">
        <v>4317</v>
      </c>
      <c r="H52" s="5">
        <v>15</v>
      </c>
      <c r="I52" s="5">
        <v>3670</v>
      </c>
      <c r="J52" s="5">
        <v>3</v>
      </c>
      <c r="K52" s="2" t="s">
        <v>26</v>
      </c>
      <c r="L52" s="7" t="s">
        <v>103</v>
      </c>
      <c r="M52" s="4">
        <v>4.3</v>
      </c>
      <c r="N52" s="5">
        <v>220</v>
      </c>
      <c r="O52" s="3">
        <v>45802</v>
      </c>
      <c r="P52" s="7" t="s">
        <v>2391</v>
      </c>
      <c r="Q52" s="7" t="s">
        <v>65</v>
      </c>
      <c r="R52" s="7" t="s">
        <v>104</v>
      </c>
      <c r="S52" s="7" t="s">
        <v>105</v>
      </c>
      <c r="T52" s="7" t="s">
        <v>43</v>
      </c>
      <c r="U52" s="11">
        <f t="shared" si="0"/>
        <v>12951</v>
      </c>
      <c r="V52" s="11">
        <f t="shared" si="1"/>
        <v>11010</v>
      </c>
      <c r="W52" s="11">
        <f t="shared" si="2"/>
        <v>1941</v>
      </c>
      <c r="X52" t="str">
        <f t="shared" si="3"/>
        <v>Returned</v>
      </c>
    </row>
    <row r="53" spans="1:24" ht="12.5" x14ac:dyDescent="0.25">
      <c r="A53" s="2" t="s">
        <v>286</v>
      </c>
      <c r="B53" s="2" t="s">
        <v>287</v>
      </c>
      <c r="C53" s="2" t="s">
        <v>288</v>
      </c>
      <c r="D53" s="7" t="s">
        <v>289</v>
      </c>
      <c r="E53" s="7" t="s">
        <v>55</v>
      </c>
      <c r="F53" s="7" t="s">
        <v>38</v>
      </c>
      <c r="G53" s="5">
        <v>2064</v>
      </c>
      <c r="H53" s="5">
        <v>40</v>
      </c>
      <c r="I53" s="5">
        <v>1239</v>
      </c>
      <c r="J53" s="5">
        <v>1</v>
      </c>
      <c r="K53" s="2">
        <v>44</v>
      </c>
      <c r="L53" s="7" t="s">
        <v>73</v>
      </c>
      <c r="M53" s="4">
        <v>4.9000000000000004</v>
      </c>
      <c r="N53" s="5">
        <v>61</v>
      </c>
      <c r="O53" s="3">
        <v>45838</v>
      </c>
      <c r="P53" s="7" t="s">
        <v>2390</v>
      </c>
      <c r="Q53" s="7" t="s">
        <v>78</v>
      </c>
      <c r="R53" s="7" t="s">
        <v>83</v>
      </c>
      <c r="S53" s="7" t="s">
        <v>83</v>
      </c>
      <c r="T53" s="7"/>
      <c r="U53" s="11">
        <f t="shared" si="0"/>
        <v>2064</v>
      </c>
      <c r="V53" s="11">
        <f t="shared" si="1"/>
        <v>1239</v>
      </c>
      <c r="W53" s="11">
        <f t="shared" si="2"/>
        <v>825</v>
      </c>
      <c r="X53" t="str">
        <f t="shared" si="3"/>
        <v>Completed</v>
      </c>
    </row>
    <row r="54" spans="1:24" ht="12.5" x14ac:dyDescent="0.25">
      <c r="A54" s="2" t="s">
        <v>290</v>
      </c>
      <c r="B54" s="2" t="s">
        <v>291</v>
      </c>
      <c r="C54" s="2" t="s">
        <v>292</v>
      </c>
      <c r="D54" s="7" t="s">
        <v>293</v>
      </c>
      <c r="E54" s="7" t="s">
        <v>247</v>
      </c>
      <c r="F54" s="7" t="s">
        <v>248</v>
      </c>
      <c r="G54" s="5">
        <v>1715</v>
      </c>
      <c r="H54" s="5">
        <v>25</v>
      </c>
      <c r="I54" s="5">
        <v>1287</v>
      </c>
      <c r="J54" s="5">
        <v>3</v>
      </c>
      <c r="K54" s="2">
        <v>42</v>
      </c>
      <c r="L54" s="7" t="s">
        <v>27</v>
      </c>
      <c r="M54" s="4">
        <v>5</v>
      </c>
      <c r="N54" s="5">
        <v>55</v>
      </c>
      <c r="O54" s="3">
        <v>45848</v>
      </c>
      <c r="P54" s="7" t="s">
        <v>2392</v>
      </c>
      <c r="Q54" s="7" t="s">
        <v>29</v>
      </c>
      <c r="R54" s="7" t="s">
        <v>185</v>
      </c>
      <c r="S54" s="7" t="s">
        <v>186</v>
      </c>
      <c r="T54" s="7"/>
      <c r="U54" s="11">
        <f t="shared" si="0"/>
        <v>5145</v>
      </c>
      <c r="V54" s="11">
        <f t="shared" si="1"/>
        <v>3861</v>
      </c>
      <c r="W54" s="11">
        <f t="shared" si="2"/>
        <v>1284</v>
      </c>
      <c r="X54" t="str">
        <f t="shared" si="3"/>
        <v>Cancelled</v>
      </c>
    </row>
    <row r="55" spans="1:24" ht="12.5" x14ac:dyDescent="0.25">
      <c r="A55" s="2" t="s">
        <v>294</v>
      </c>
      <c r="B55" s="2" t="s">
        <v>295</v>
      </c>
      <c r="C55" s="2" t="s">
        <v>296</v>
      </c>
      <c r="D55" s="7" t="s">
        <v>297</v>
      </c>
      <c r="E55" s="7" t="s">
        <v>147</v>
      </c>
      <c r="F55" s="7" t="s">
        <v>148</v>
      </c>
      <c r="G55" s="5">
        <v>4414</v>
      </c>
      <c r="H55" s="5">
        <v>35</v>
      </c>
      <c r="I55" s="5">
        <v>2870</v>
      </c>
      <c r="J55" s="5">
        <v>2</v>
      </c>
      <c r="K55" s="2">
        <v>40</v>
      </c>
      <c r="L55" s="7" t="s">
        <v>168</v>
      </c>
      <c r="M55" s="4">
        <v>4.3</v>
      </c>
      <c r="N55" s="5">
        <v>15</v>
      </c>
      <c r="O55" s="3">
        <v>45829</v>
      </c>
      <c r="P55" s="7" t="s">
        <v>2391</v>
      </c>
      <c r="Q55" s="7" t="s">
        <v>29</v>
      </c>
      <c r="R55" s="7" t="s">
        <v>89</v>
      </c>
      <c r="S55" s="7" t="s">
        <v>90</v>
      </c>
      <c r="T55" s="7" t="s">
        <v>43</v>
      </c>
      <c r="U55" s="11">
        <f t="shared" si="0"/>
        <v>8828</v>
      </c>
      <c r="V55" s="11">
        <f t="shared" si="1"/>
        <v>5740</v>
      </c>
      <c r="W55" s="11">
        <f t="shared" si="2"/>
        <v>3088</v>
      </c>
      <c r="X55" t="str">
        <f t="shared" si="3"/>
        <v>Returned</v>
      </c>
    </row>
    <row r="56" spans="1:24" ht="12.5" x14ac:dyDescent="0.25">
      <c r="A56" s="2" t="s">
        <v>298</v>
      </c>
      <c r="B56" s="2" t="s">
        <v>299</v>
      </c>
      <c r="C56" s="2" t="s">
        <v>300</v>
      </c>
      <c r="D56" s="7" t="s">
        <v>301</v>
      </c>
      <c r="E56" s="7" t="s">
        <v>48</v>
      </c>
      <c r="F56" s="7" t="s">
        <v>25</v>
      </c>
      <c r="G56" s="5">
        <v>1566</v>
      </c>
      <c r="H56" s="5">
        <v>25</v>
      </c>
      <c r="I56" s="5">
        <v>1175</v>
      </c>
      <c r="J56" s="5">
        <v>1</v>
      </c>
      <c r="K56" s="2" t="s">
        <v>56</v>
      </c>
      <c r="L56" s="7" t="s">
        <v>168</v>
      </c>
      <c r="M56" s="4">
        <v>4.9000000000000004</v>
      </c>
      <c r="N56" s="5">
        <v>220</v>
      </c>
      <c r="O56" s="3">
        <v>45801</v>
      </c>
      <c r="P56" s="7" t="s">
        <v>2392</v>
      </c>
      <c r="Q56" s="7" t="s">
        <v>29</v>
      </c>
      <c r="R56" s="7" t="s">
        <v>41</v>
      </c>
      <c r="S56" s="7" t="s">
        <v>42</v>
      </c>
      <c r="T56" s="7"/>
      <c r="U56" s="11">
        <f t="shared" si="0"/>
        <v>1566</v>
      </c>
      <c r="V56" s="11">
        <f t="shared" si="1"/>
        <v>1175</v>
      </c>
      <c r="W56" s="11">
        <f t="shared" si="2"/>
        <v>391</v>
      </c>
      <c r="X56" t="str">
        <f t="shared" si="3"/>
        <v>Cancelled</v>
      </c>
    </row>
    <row r="57" spans="1:24" ht="12.5" x14ac:dyDescent="0.25">
      <c r="A57" s="2" t="s">
        <v>302</v>
      </c>
      <c r="B57" s="2" t="s">
        <v>303</v>
      </c>
      <c r="C57" s="2" t="s">
        <v>304</v>
      </c>
      <c r="D57" s="7" t="s">
        <v>305</v>
      </c>
      <c r="E57" s="7" t="s">
        <v>132</v>
      </c>
      <c r="F57" s="7" t="s">
        <v>38</v>
      </c>
      <c r="G57" s="5">
        <v>3647</v>
      </c>
      <c r="H57" s="5">
        <v>30</v>
      </c>
      <c r="I57" s="5">
        <v>2553</v>
      </c>
      <c r="J57" s="5">
        <v>2</v>
      </c>
      <c r="K57" s="2" t="s">
        <v>163</v>
      </c>
      <c r="L57" s="7" t="s">
        <v>209</v>
      </c>
      <c r="M57" s="4">
        <v>5</v>
      </c>
      <c r="N57" s="5">
        <v>159</v>
      </c>
      <c r="O57" s="3">
        <v>45793</v>
      </c>
      <c r="P57" s="7" t="s">
        <v>2391</v>
      </c>
      <c r="Q57" s="7" t="s">
        <v>78</v>
      </c>
      <c r="R57" s="7" t="s">
        <v>41</v>
      </c>
      <c r="S57" s="7" t="s">
        <v>42</v>
      </c>
      <c r="T57" s="7" t="s">
        <v>203</v>
      </c>
      <c r="U57" s="11">
        <f t="shared" si="0"/>
        <v>7294</v>
      </c>
      <c r="V57" s="11">
        <f t="shared" si="1"/>
        <v>5106</v>
      </c>
      <c r="W57" s="11">
        <f t="shared" si="2"/>
        <v>2188</v>
      </c>
      <c r="X57" t="str">
        <f t="shared" si="3"/>
        <v>Returned</v>
      </c>
    </row>
    <row r="58" spans="1:24" ht="12.5" x14ac:dyDescent="0.25">
      <c r="A58" s="2" t="s">
        <v>306</v>
      </c>
      <c r="B58" s="2" t="s">
        <v>307</v>
      </c>
      <c r="C58" s="2" t="s">
        <v>308</v>
      </c>
      <c r="D58" s="7" t="s">
        <v>309</v>
      </c>
      <c r="E58" s="7" t="s">
        <v>147</v>
      </c>
      <c r="F58" s="7" t="s">
        <v>148</v>
      </c>
      <c r="G58" s="5">
        <v>4903</v>
      </c>
      <c r="H58" s="5">
        <v>35</v>
      </c>
      <c r="I58" s="5">
        <v>3187</v>
      </c>
      <c r="J58" s="5">
        <v>3</v>
      </c>
      <c r="K58" s="2">
        <v>42</v>
      </c>
      <c r="L58" s="7" t="s">
        <v>39</v>
      </c>
      <c r="M58" s="4">
        <v>3.8</v>
      </c>
      <c r="N58" s="5">
        <v>98</v>
      </c>
      <c r="O58" s="3">
        <v>45771</v>
      </c>
      <c r="P58" s="7" t="s">
        <v>2392</v>
      </c>
      <c r="Q58" s="7" t="s">
        <v>78</v>
      </c>
      <c r="R58" s="7" t="s">
        <v>104</v>
      </c>
      <c r="S58" s="7" t="s">
        <v>105</v>
      </c>
      <c r="T58" s="7"/>
      <c r="U58" s="11">
        <f t="shared" si="0"/>
        <v>14709</v>
      </c>
      <c r="V58" s="11">
        <f t="shared" si="1"/>
        <v>9561</v>
      </c>
      <c r="W58" s="11">
        <f t="shared" si="2"/>
        <v>5148</v>
      </c>
      <c r="X58" t="str">
        <f t="shared" si="3"/>
        <v>Cancelled</v>
      </c>
    </row>
    <row r="59" spans="1:24" ht="12.5" x14ac:dyDescent="0.25">
      <c r="A59" s="2" t="s">
        <v>310</v>
      </c>
      <c r="B59" s="2" t="s">
        <v>311</v>
      </c>
      <c r="C59" s="2" t="s">
        <v>241</v>
      </c>
      <c r="D59" s="7" t="s">
        <v>312</v>
      </c>
      <c r="E59" s="7" t="s">
        <v>247</v>
      </c>
      <c r="F59" s="7" t="s">
        <v>248</v>
      </c>
      <c r="G59" s="5">
        <v>4841</v>
      </c>
      <c r="H59" s="5">
        <v>20</v>
      </c>
      <c r="I59" s="5">
        <v>3873</v>
      </c>
      <c r="J59" s="5">
        <v>2</v>
      </c>
      <c r="K59" s="2">
        <v>42</v>
      </c>
      <c r="L59" s="7" t="s">
        <v>209</v>
      </c>
      <c r="M59" s="4">
        <v>3.7</v>
      </c>
      <c r="N59" s="5">
        <v>175</v>
      </c>
      <c r="O59" s="3">
        <v>45770</v>
      </c>
      <c r="P59" s="7" t="s">
        <v>2390</v>
      </c>
      <c r="Q59" s="7" t="s">
        <v>65</v>
      </c>
      <c r="R59" s="7" t="s">
        <v>66</v>
      </c>
      <c r="S59" s="7" t="s">
        <v>67</v>
      </c>
      <c r="T59" s="7"/>
      <c r="U59" s="11">
        <f t="shared" si="0"/>
        <v>9682</v>
      </c>
      <c r="V59" s="11">
        <f t="shared" si="1"/>
        <v>7746</v>
      </c>
      <c r="W59" s="11">
        <f t="shared" si="2"/>
        <v>1936</v>
      </c>
      <c r="X59" t="str">
        <f t="shared" si="3"/>
        <v>Completed</v>
      </c>
    </row>
    <row r="60" spans="1:24" ht="12.5" x14ac:dyDescent="0.25">
      <c r="A60" s="2" t="s">
        <v>313</v>
      </c>
      <c r="B60" s="2" t="s">
        <v>314</v>
      </c>
      <c r="C60" s="2" t="s">
        <v>315</v>
      </c>
      <c r="D60" s="7" t="s">
        <v>316</v>
      </c>
      <c r="E60" s="7" t="s">
        <v>55</v>
      </c>
      <c r="F60" s="7" t="s">
        <v>38</v>
      </c>
      <c r="G60" s="5">
        <v>1037</v>
      </c>
      <c r="H60" s="5">
        <v>30</v>
      </c>
      <c r="I60" s="5">
        <v>726</v>
      </c>
      <c r="J60" s="5">
        <v>3</v>
      </c>
      <c r="K60" s="2" t="s">
        <v>226</v>
      </c>
      <c r="L60" s="7" t="s">
        <v>39</v>
      </c>
      <c r="M60" s="4">
        <v>3.7</v>
      </c>
      <c r="N60" s="5">
        <v>18</v>
      </c>
      <c r="O60" s="3">
        <v>45828</v>
      </c>
      <c r="P60" s="7" t="s">
        <v>2390</v>
      </c>
      <c r="Q60" s="7" t="s">
        <v>29</v>
      </c>
      <c r="R60" s="7" t="s">
        <v>30</v>
      </c>
      <c r="S60" s="7" t="s">
        <v>31</v>
      </c>
      <c r="T60" s="7"/>
      <c r="U60" s="11">
        <f t="shared" si="0"/>
        <v>3111</v>
      </c>
      <c r="V60" s="11">
        <f t="shared" si="1"/>
        <v>2178</v>
      </c>
      <c r="W60" s="11">
        <f t="shared" si="2"/>
        <v>933</v>
      </c>
      <c r="X60" t="str">
        <f t="shared" si="3"/>
        <v>Completed</v>
      </c>
    </row>
    <row r="61" spans="1:24" ht="12.5" x14ac:dyDescent="0.25">
      <c r="A61" s="2" t="s">
        <v>317</v>
      </c>
      <c r="B61" s="2" t="s">
        <v>318</v>
      </c>
      <c r="C61" s="2" t="s">
        <v>319</v>
      </c>
      <c r="D61" s="7" t="s">
        <v>320</v>
      </c>
      <c r="E61" s="7" t="s">
        <v>48</v>
      </c>
      <c r="F61" s="7" t="s">
        <v>25</v>
      </c>
      <c r="G61" s="5">
        <v>989</v>
      </c>
      <c r="H61" s="5">
        <v>30</v>
      </c>
      <c r="I61" s="5">
        <v>693</v>
      </c>
      <c r="J61" s="5">
        <v>1</v>
      </c>
      <c r="K61" s="2" t="s">
        <v>32</v>
      </c>
      <c r="L61" s="7" t="s">
        <v>27</v>
      </c>
      <c r="M61" s="4">
        <v>3.9</v>
      </c>
      <c r="N61" s="5">
        <v>37</v>
      </c>
      <c r="O61" s="3">
        <v>45792</v>
      </c>
      <c r="P61" s="7" t="s">
        <v>2390</v>
      </c>
      <c r="Q61" s="7" t="s">
        <v>65</v>
      </c>
      <c r="R61" s="7" t="s">
        <v>104</v>
      </c>
      <c r="S61" s="7" t="s">
        <v>105</v>
      </c>
      <c r="T61" s="7"/>
      <c r="U61" s="11">
        <f t="shared" si="0"/>
        <v>989</v>
      </c>
      <c r="V61" s="11">
        <f t="shared" si="1"/>
        <v>693</v>
      </c>
      <c r="W61" s="11">
        <f t="shared" si="2"/>
        <v>296</v>
      </c>
      <c r="X61" t="str">
        <f t="shared" si="3"/>
        <v>Completed</v>
      </c>
    </row>
    <row r="62" spans="1:24" ht="12.5" x14ac:dyDescent="0.25">
      <c r="A62" s="2" t="s">
        <v>321</v>
      </c>
      <c r="B62" s="2" t="s">
        <v>232</v>
      </c>
      <c r="C62" s="2" t="s">
        <v>322</v>
      </c>
      <c r="D62" s="7" t="s">
        <v>323</v>
      </c>
      <c r="E62" s="7" t="s">
        <v>208</v>
      </c>
      <c r="F62" s="7" t="s">
        <v>117</v>
      </c>
      <c r="G62" s="5">
        <v>2866</v>
      </c>
      <c r="H62" s="5">
        <v>15</v>
      </c>
      <c r="I62" s="5">
        <v>2437</v>
      </c>
      <c r="J62" s="5">
        <v>2</v>
      </c>
      <c r="K62" s="2">
        <v>44</v>
      </c>
      <c r="L62" s="7" t="s">
        <v>64</v>
      </c>
      <c r="M62" s="4">
        <v>4.5999999999999996</v>
      </c>
      <c r="N62" s="5">
        <v>167</v>
      </c>
      <c r="O62" s="3">
        <v>45783</v>
      </c>
      <c r="P62" s="7" t="s">
        <v>2392</v>
      </c>
      <c r="Q62" s="7" t="s">
        <v>65</v>
      </c>
      <c r="R62" s="7" t="s">
        <v>58</v>
      </c>
      <c r="S62" s="7" t="s">
        <v>59</v>
      </c>
      <c r="T62" s="7"/>
      <c r="U62" s="11">
        <f t="shared" si="0"/>
        <v>5732</v>
      </c>
      <c r="V62" s="11">
        <f t="shared" si="1"/>
        <v>4874</v>
      </c>
      <c r="W62" s="11">
        <f t="shared" si="2"/>
        <v>858</v>
      </c>
      <c r="X62" t="str">
        <f t="shared" si="3"/>
        <v>Cancelled</v>
      </c>
    </row>
    <row r="63" spans="1:24" ht="12.5" x14ac:dyDescent="0.25">
      <c r="A63" s="2" t="s">
        <v>324</v>
      </c>
      <c r="B63" s="2" t="s">
        <v>325</v>
      </c>
      <c r="C63" s="2" t="s">
        <v>326</v>
      </c>
      <c r="D63" s="7" t="s">
        <v>327</v>
      </c>
      <c r="E63" s="7" t="s">
        <v>208</v>
      </c>
      <c r="F63" s="7" t="s">
        <v>117</v>
      </c>
      <c r="G63" s="5">
        <v>4671</v>
      </c>
      <c r="H63" s="5">
        <v>20</v>
      </c>
      <c r="I63" s="5">
        <v>3737</v>
      </c>
      <c r="J63" s="5">
        <v>3</v>
      </c>
      <c r="K63" s="2" t="s">
        <v>163</v>
      </c>
      <c r="L63" s="7" t="s">
        <v>39</v>
      </c>
      <c r="M63" s="4">
        <v>3.9</v>
      </c>
      <c r="N63" s="5">
        <v>48</v>
      </c>
      <c r="O63" s="3">
        <v>45840</v>
      </c>
      <c r="P63" s="7" t="s">
        <v>2390</v>
      </c>
      <c r="Q63" s="7" t="s">
        <v>29</v>
      </c>
      <c r="R63" s="7" t="s">
        <v>89</v>
      </c>
      <c r="S63" s="7" t="s">
        <v>90</v>
      </c>
      <c r="T63" s="7"/>
      <c r="U63" s="11">
        <f t="shared" si="0"/>
        <v>14013</v>
      </c>
      <c r="V63" s="11">
        <f t="shared" si="1"/>
        <v>11211</v>
      </c>
      <c r="W63" s="11">
        <f t="shared" si="2"/>
        <v>2802</v>
      </c>
      <c r="X63" t="str">
        <f t="shared" si="3"/>
        <v>Completed</v>
      </c>
    </row>
    <row r="64" spans="1:24" ht="12.5" x14ac:dyDescent="0.25">
      <c r="A64" s="2" t="s">
        <v>328</v>
      </c>
      <c r="B64" s="2" t="s">
        <v>329</v>
      </c>
      <c r="C64" s="2" t="s">
        <v>330</v>
      </c>
      <c r="D64" s="7" t="s">
        <v>331</v>
      </c>
      <c r="E64" s="7" t="s">
        <v>37</v>
      </c>
      <c r="F64" s="7" t="s">
        <v>38</v>
      </c>
      <c r="G64" s="5">
        <v>4620</v>
      </c>
      <c r="H64" s="5">
        <v>15</v>
      </c>
      <c r="I64" s="5">
        <v>3927</v>
      </c>
      <c r="J64" s="5">
        <v>1</v>
      </c>
      <c r="K64" s="2" t="s">
        <v>226</v>
      </c>
      <c r="L64" s="7" t="s">
        <v>73</v>
      </c>
      <c r="M64" s="4">
        <v>4.2</v>
      </c>
      <c r="N64" s="5">
        <v>57</v>
      </c>
      <c r="O64" s="3">
        <v>45857</v>
      </c>
      <c r="P64" s="7" t="s">
        <v>2392</v>
      </c>
      <c r="Q64" s="7" t="s">
        <v>65</v>
      </c>
      <c r="R64" s="7" t="s">
        <v>58</v>
      </c>
      <c r="S64" s="7" t="s">
        <v>59</v>
      </c>
      <c r="T64" s="7"/>
      <c r="U64" s="11">
        <f t="shared" si="0"/>
        <v>4620</v>
      </c>
      <c r="V64" s="11">
        <f t="shared" si="1"/>
        <v>3927</v>
      </c>
      <c r="W64" s="11">
        <f t="shared" si="2"/>
        <v>693</v>
      </c>
      <c r="X64" t="str">
        <f t="shared" si="3"/>
        <v>Cancelled</v>
      </c>
    </row>
    <row r="65" spans="1:24" ht="12.5" x14ac:dyDescent="0.25">
      <c r="A65" s="2" t="s">
        <v>332</v>
      </c>
      <c r="B65" s="2" t="s">
        <v>333</v>
      </c>
      <c r="C65" s="2" t="s">
        <v>334</v>
      </c>
      <c r="D65" s="7" t="s">
        <v>335</v>
      </c>
      <c r="E65" s="7" t="s">
        <v>116</v>
      </c>
      <c r="F65" s="7" t="s">
        <v>117</v>
      </c>
      <c r="G65" s="5">
        <v>3540</v>
      </c>
      <c r="H65" s="5">
        <v>10</v>
      </c>
      <c r="I65" s="5">
        <v>3186</v>
      </c>
      <c r="J65" s="5">
        <v>3</v>
      </c>
      <c r="K65" s="2">
        <v>44</v>
      </c>
      <c r="L65" s="7" t="s">
        <v>73</v>
      </c>
      <c r="M65" s="4">
        <v>4.0999999999999996</v>
      </c>
      <c r="N65" s="5">
        <v>144</v>
      </c>
      <c r="O65" s="3">
        <v>45784</v>
      </c>
      <c r="P65" s="7" t="s">
        <v>2390</v>
      </c>
      <c r="Q65" s="7" t="s">
        <v>78</v>
      </c>
      <c r="R65" s="7" t="s">
        <v>83</v>
      </c>
      <c r="S65" s="7" t="s">
        <v>83</v>
      </c>
      <c r="T65" s="7"/>
      <c r="U65" s="11">
        <f t="shared" si="0"/>
        <v>10620</v>
      </c>
      <c r="V65" s="11">
        <f t="shared" si="1"/>
        <v>9558</v>
      </c>
      <c r="W65" s="11">
        <f t="shared" si="2"/>
        <v>1062</v>
      </c>
      <c r="X65" t="str">
        <f t="shared" si="3"/>
        <v>Completed</v>
      </c>
    </row>
    <row r="66" spans="1:24" ht="12.5" x14ac:dyDescent="0.25">
      <c r="A66" s="2" t="s">
        <v>336</v>
      </c>
      <c r="B66" s="2" t="s">
        <v>337</v>
      </c>
      <c r="C66" s="2" t="s">
        <v>338</v>
      </c>
      <c r="D66" s="7" t="s">
        <v>339</v>
      </c>
      <c r="E66" s="7" t="s">
        <v>132</v>
      </c>
      <c r="F66" s="7" t="s">
        <v>38</v>
      </c>
      <c r="G66" s="5">
        <v>871</v>
      </c>
      <c r="H66" s="5">
        <v>15</v>
      </c>
      <c r="I66" s="5">
        <v>741</v>
      </c>
      <c r="J66" s="5">
        <v>2</v>
      </c>
      <c r="K66" s="2" t="s">
        <v>163</v>
      </c>
      <c r="L66" s="7" t="s">
        <v>209</v>
      </c>
      <c r="M66" s="4">
        <v>4.2</v>
      </c>
      <c r="N66" s="5">
        <v>72</v>
      </c>
      <c r="O66" s="3">
        <v>45806</v>
      </c>
      <c r="P66" s="7" t="s">
        <v>2392</v>
      </c>
      <c r="Q66" s="7" t="s">
        <v>29</v>
      </c>
      <c r="R66" s="7" t="s">
        <v>89</v>
      </c>
      <c r="S66" s="7" t="s">
        <v>90</v>
      </c>
      <c r="T66" s="7"/>
      <c r="U66" s="11">
        <f t="shared" ref="U66:U129" si="4">G66*J66</f>
        <v>1742</v>
      </c>
      <c r="V66" s="11">
        <f t="shared" ref="V66:V129" si="5">I66*J66</f>
        <v>1482</v>
      </c>
      <c r="W66" s="11">
        <f t="shared" ref="W66:W129" si="6">(G66-I66)*J66</f>
        <v>260</v>
      </c>
      <c r="X66" t="str">
        <f t="shared" ref="X66:X129" si="7">IF(P66="DELIVERED","Completed",IF(P66="RETURNED","Returned","Cancelled"))</f>
        <v>Cancelled</v>
      </c>
    </row>
    <row r="67" spans="1:24" ht="12.5" x14ac:dyDescent="0.25">
      <c r="A67" s="2" t="s">
        <v>340</v>
      </c>
      <c r="B67" s="2" t="s">
        <v>341</v>
      </c>
      <c r="C67" s="2" t="s">
        <v>342</v>
      </c>
      <c r="D67" s="7" t="s">
        <v>343</v>
      </c>
      <c r="E67" s="7" t="s">
        <v>147</v>
      </c>
      <c r="F67" s="7" t="s">
        <v>148</v>
      </c>
      <c r="G67" s="5">
        <v>4276</v>
      </c>
      <c r="H67" s="5">
        <v>35</v>
      </c>
      <c r="I67" s="5">
        <v>2780</v>
      </c>
      <c r="J67" s="5">
        <v>2</v>
      </c>
      <c r="K67" s="2" t="s">
        <v>261</v>
      </c>
      <c r="L67" s="7" t="s">
        <v>103</v>
      </c>
      <c r="M67" s="4">
        <v>4.5999999999999996</v>
      </c>
      <c r="N67" s="5">
        <v>122</v>
      </c>
      <c r="O67" s="3">
        <v>45858</v>
      </c>
      <c r="P67" s="7" t="s">
        <v>2392</v>
      </c>
      <c r="Q67" s="7" t="s">
        <v>29</v>
      </c>
      <c r="R67" s="7" t="s">
        <v>185</v>
      </c>
      <c r="S67" s="7" t="s">
        <v>186</v>
      </c>
      <c r="T67" s="7"/>
      <c r="U67" s="11">
        <f t="shared" si="4"/>
        <v>8552</v>
      </c>
      <c r="V67" s="11">
        <f t="shared" si="5"/>
        <v>5560</v>
      </c>
      <c r="W67" s="11">
        <f t="shared" si="6"/>
        <v>2992</v>
      </c>
      <c r="X67" t="str">
        <f t="shared" si="7"/>
        <v>Cancelled</v>
      </c>
    </row>
    <row r="68" spans="1:24" ht="12.5" x14ac:dyDescent="0.25">
      <c r="A68" s="2" t="s">
        <v>344</v>
      </c>
      <c r="B68" s="2" t="s">
        <v>345</v>
      </c>
      <c r="C68" s="2" t="s">
        <v>346</v>
      </c>
      <c r="D68" s="7" t="s">
        <v>347</v>
      </c>
      <c r="E68" s="7" t="s">
        <v>247</v>
      </c>
      <c r="F68" s="7" t="s">
        <v>248</v>
      </c>
      <c r="G68" s="5">
        <v>1949</v>
      </c>
      <c r="H68" s="5">
        <v>35</v>
      </c>
      <c r="I68" s="5">
        <v>1267</v>
      </c>
      <c r="J68" s="5">
        <v>3</v>
      </c>
      <c r="K68" s="2" t="s">
        <v>226</v>
      </c>
      <c r="L68" s="7" t="s">
        <v>49</v>
      </c>
      <c r="M68" s="4">
        <v>4.5999999999999996</v>
      </c>
      <c r="N68" s="5">
        <v>12</v>
      </c>
      <c r="O68" s="3">
        <v>45835</v>
      </c>
      <c r="P68" s="7" t="s">
        <v>2391</v>
      </c>
      <c r="Q68" s="7" t="s">
        <v>78</v>
      </c>
      <c r="R68" s="7" t="s">
        <v>83</v>
      </c>
      <c r="S68" s="7" t="s">
        <v>83</v>
      </c>
      <c r="T68" s="7" t="s">
        <v>134</v>
      </c>
      <c r="U68" s="11">
        <f t="shared" si="4"/>
        <v>5847</v>
      </c>
      <c r="V68" s="11">
        <f t="shared" si="5"/>
        <v>3801</v>
      </c>
      <c r="W68" s="11">
        <f t="shared" si="6"/>
        <v>2046</v>
      </c>
      <c r="X68" t="str">
        <f t="shared" si="7"/>
        <v>Returned</v>
      </c>
    </row>
    <row r="69" spans="1:24" ht="12.5" x14ac:dyDescent="0.25">
      <c r="A69" s="2" t="s">
        <v>348</v>
      </c>
      <c r="B69" s="2" t="s">
        <v>349</v>
      </c>
      <c r="C69" s="2" t="s">
        <v>350</v>
      </c>
      <c r="D69" s="7" t="s">
        <v>351</v>
      </c>
      <c r="E69" s="7" t="s">
        <v>55</v>
      </c>
      <c r="F69" s="7" t="s">
        <v>38</v>
      </c>
      <c r="G69" s="5">
        <v>3805</v>
      </c>
      <c r="H69" s="5">
        <v>25</v>
      </c>
      <c r="I69" s="5">
        <v>2854</v>
      </c>
      <c r="J69" s="5">
        <v>2</v>
      </c>
      <c r="K69" s="2" t="s">
        <v>26</v>
      </c>
      <c r="L69" s="7" t="s">
        <v>103</v>
      </c>
      <c r="M69" s="4">
        <v>4</v>
      </c>
      <c r="N69" s="5">
        <v>153</v>
      </c>
      <c r="O69" s="3">
        <v>45809</v>
      </c>
      <c r="P69" s="7" t="s">
        <v>2391</v>
      </c>
      <c r="Q69" s="7" t="s">
        <v>29</v>
      </c>
      <c r="R69" s="7" t="s">
        <v>149</v>
      </c>
      <c r="S69" s="7" t="s">
        <v>150</v>
      </c>
      <c r="T69" s="7" t="s">
        <v>50</v>
      </c>
      <c r="U69" s="11">
        <f t="shared" si="4"/>
        <v>7610</v>
      </c>
      <c r="V69" s="11">
        <f t="shared" si="5"/>
        <v>5708</v>
      </c>
      <c r="W69" s="11">
        <f t="shared" si="6"/>
        <v>1902</v>
      </c>
      <c r="X69" t="str">
        <f t="shared" si="7"/>
        <v>Returned</v>
      </c>
    </row>
    <row r="70" spans="1:24" ht="12.5" x14ac:dyDescent="0.25">
      <c r="A70" s="2" t="s">
        <v>352</v>
      </c>
      <c r="B70" s="2" t="s">
        <v>353</v>
      </c>
      <c r="C70" s="2" t="s">
        <v>354</v>
      </c>
      <c r="D70" s="7" t="s">
        <v>355</v>
      </c>
      <c r="E70" s="7" t="s">
        <v>48</v>
      </c>
      <c r="F70" s="7" t="s">
        <v>25</v>
      </c>
      <c r="G70" s="5">
        <v>4829</v>
      </c>
      <c r="H70" s="5">
        <v>40</v>
      </c>
      <c r="I70" s="5">
        <v>2898</v>
      </c>
      <c r="J70" s="5">
        <v>1</v>
      </c>
      <c r="K70" s="2" t="s">
        <v>26</v>
      </c>
      <c r="L70" s="7" t="s">
        <v>49</v>
      </c>
      <c r="M70" s="4">
        <v>3.8</v>
      </c>
      <c r="N70" s="5">
        <v>10</v>
      </c>
      <c r="O70" s="3">
        <v>45796</v>
      </c>
      <c r="P70" s="7" t="s">
        <v>2390</v>
      </c>
      <c r="Q70" s="7" t="s">
        <v>29</v>
      </c>
      <c r="R70" s="7" t="s">
        <v>104</v>
      </c>
      <c r="S70" s="7" t="s">
        <v>105</v>
      </c>
      <c r="T70" s="7"/>
      <c r="U70" s="11">
        <f t="shared" si="4"/>
        <v>4829</v>
      </c>
      <c r="V70" s="11">
        <f t="shared" si="5"/>
        <v>2898</v>
      </c>
      <c r="W70" s="11">
        <f t="shared" si="6"/>
        <v>1931</v>
      </c>
      <c r="X70" t="str">
        <f t="shared" si="7"/>
        <v>Completed</v>
      </c>
    </row>
    <row r="71" spans="1:24" ht="12.5" x14ac:dyDescent="0.25">
      <c r="A71" s="2" t="s">
        <v>356</v>
      </c>
      <c r="B71" s="2" t="s">
        <v>357</v>
      </c>
      <c r="C71" s="2" t="s">
        <v>358</v>
      </c>
      <c r="D71" s="7" t="s">
        <v>359</v>
      </c>
      <c r="E71" s="7" t="s">
        <v>122</v>
      </c>
      <c r="F71" s="7" t="s">
        <v>123</v>
      </c>
      <c r="G71" s="5">
        <v>1593</v>
      </c>
      <c r="H71" s="5">
        <v>15</v>
      </c>
      <c r="I71" s="5">
        <v>1355</v>
      </c>
      <c r="J71" s="5">
        <v>3</v>
      </c>
      <c r="K71" s="2">
        <v>40</v>
      </c>
      <c r="L71" s="7" t="s">
        <v>88</v>
      </c>
      <c r="M71" s="4">
        <v>4.2</v>
      </c>
      <c r="N71" s="5">
        <v>159</v>
      </c>
      <c r="O71" s="3">
        <v>45780</v>
      </c>
      <c r="P71" s="7" t="s">
        <v>2390</v>
      </c>
      <c r="Q71" s="7" t="s">
        <v>29</v>
      </c>
      <c r="R71" s="7" t="s">
        <v>110</v>
      </c>
      <c r="S71" s="7" t="s">
        <v>111</v>
      </c>
      <c r="T71" s="7"/>
      <c r="U71" s="11">
        <f t="shared" si="4"/>
        <v>4779</v>
      </c>
      <c r="V71" s="11">
        <f t="shared" si="5"/>
        <v>4065</v>
      </c>
      <c r="W71" s="11">
        <f t="shared" si="6"/>
        <v>714</v>
      </c>
      <c r="X71" t="str">
        <f t="shared" si="7"/>
        <v>Completed</v>
      </c>
    </row>
    <row r="72" spans="1:24" ht="12.5" x14ac:dyDescent="0.25">
      <c r="A72" s="2" t="s">
        <v>360</v>
      </c>
      <c r="B72" s="2" t="s">
        <v>361</v>
      </c>
      <c r="C72" s="2" t="s">
        <v>362</v>
      </c>
      <c r="D72" s="7" t="s">
        <v>363</v>
      </c>
      <c r="E72" s="7" t="s">
        <v>37</v>
      </c>
      <c r="F72" s="7" t="s">
        <v>38</v>
      </c>
      <c r="G72" s="5">
        <v>4540</v>
      </c>
      <c r="H72" s="5">
        <v>40</v>
      </c>
      <c r="I72" s="5">
        <v>2724</v>
      </c>
      <c r="J72" s="5">
        <v>2</v>
      </c>
      <c r="K72" s="2" t="s">
        <v>32</v>
      </c>
      <c r="L72" s="7" t="s">
        <v>49</v>
      </c>
      <c r="M72" s="4">
        <v>4.9000000000000004</v>
      </c>
      <c r="N72" s="5">
        <v>112</v>
      </c>
      <c r="O72" s="3">
        <v>45795</v>
      </c>
      <c r="P72" s="7" t="s">
        <v>2392</v>
      </c>
      <c r="Q72" s="7" t="s">
        <v>29</v>
      </c>
      <c r="R72" s="7" t="s">
        <v>58</v>
      </c>
      <c r="S72" s="7" t="s">
        <v>59</v>
      </c>
      <c r="T72" s="7"/>
      <c r="U72" s="11">
        <f t="shared" si="4"/>
        <v>9080</v>
      </c>
      <c r="V72" s="11">
        <f t="shared" si="5"/>
        <v>5448</v>
      </c>
      <c r="W72" s="11">
        <f t="shared" si="6"/>
        <v>3632</v>
      </c>
      <c r="X72" t="str">
        <f t="shared" si="7"/>
        <v>Cancelled</v>
      </c>
    </row>
    <row r="73" spans="1:24" ht="12.5" x14ac:dyDescent="0.25">
      <c r="A73" s="2" t="s">
        <v>364</v>
      </c>
      <c r="B73" s="2" t="s">
        <v>365</v>
      </c>
      <c r="C73" s="2" t="s">
        <v>366</v>
      </c>
      <c r="D73" s="7" t="s">
        <v>367</v>
      </c>
      <c r="E73" s="7" t="s">
        <v>37</v>
      </c>
      <c r="F73" s="7" t="s">
        <v>38</v>
      </c>
      <c r="G73" s="5">
        <v>2318</v>
      </c>
      <c r="H73" s="5">
        <v>15</v>
      </c>
      <c r="I73" s="5">
        <v>1971</v>
      </c>
      <c r="J73" s="5">
        <v>1</v>
      </c>
      <c r="K73" s="2" t="s">
        <v>163</v>
      </c>
      <c r="L73" s="7" t="s">
        <v>64</v>
      </c>
      <c r="M73" s="4">
        <v>4.8</v>
      </c>
      <c r="N73" s="5">
        <v>233</v>
      </c>
      <c r="O73" s="3">
        <v>45855</v>
      </c>
      <c r="P73" s="7" t="s">
        <v>2390</v>
      </c>
      <c r="Q73" s="7" t="s">
        <v>78</v>
      </c>
      <c r="R73" s="7" t="s">
        <v>30</v>
      </c>
      <c r="S73" s="7" t="s">
        <v>31</v>
      </c>
      <c r="T73" s="7"/>
      <c r="U73" s="11">
        <f t="shared" si="4"/>
        <v>2318</v>
      </c>
      <c r="V73" s="11">
        <f t="shared" si="5"/>
        <v>1971</v>
      </c>
      <c r="W73" s="11">
        <f t="shared" si="6"/>
        <v>347</v>
      </c>
      <c r="X73" t="str">
        <f t="shared" si="7"/>
        <v>Completed</v>
      </c>
    </row>
    <row r="74" spans="1:24" ht="12.5" x14ac:dyDescent="0.25">
      <c r="A74" s="2" t="s">
        <v>368</v>
      </c>
      <c r="B74" s="2" t="s">
        <v>369</v>
      </c>
      <c r="C74" s="2" t="s">
        <v>370</v>
      </c>
      <c r="D74" s="7" t="s">
        <v>371</v>
      </c>
      <c r="E74" s="7" t="s">
        <v>48</v>
      </c>
      <c r="F74" s="7" t="s">
        <v>25</v>
      </c>
      <c r="G74" s="5">
        <v>4109</v>
      </c>
      <c r="H74" s="5">
        <v>25</v>
      </c>
      <c r="I74" s="5">
        <v>3082</v>
      </c>
      <c r="J74" s="5">
        <v>2</v>
      </c>
      <c r="K74" s="2" t="s">
        <v>72</v>
      </c>
      <c r="L74" s="7" t="s">
        <v>88</v>
      </c>
      <c r="M74" s="4">
        <v>4.5999999999999996</v>
      </c>
      <c r="N74" s="5">
        <v>212</v>
      </c>
      <c r="O74" s="3">
        <v>45790</v>
      </c>
      <c r="P74" s="7" t="s">
        <v>2390</v>
      </c>
      <c r="Q74" s="7" t="s">
        <v>29</v>
      </c>
      <c r="R74" s="7" t="s">
        <v>104</v>
      </c>
      <c r="S74" s="7" t="s">
        <v>105</v>
      </c>
      <c r="T74" s="7"/>
      <c r="U74" s="11">
        <f t="shared" si="4"/>
        <v>8218</v>
      </c>
      <c r="V74" s="11">
        <f t="shared" si="5"/>
        <v>6164</v>
      </c>
      <c r="W74" s="11">
        <f t="shared" si="6"/>
        <v>2054</v>
      </c>
      <c r="X74" t="str">
        <f t="shared" si="7"/>
        <v>Completed</v>
      </c>
    </row>
    <row r="75" spans="1:24" ht="12.5" x14ac:dyDescent="0.25">
      <c r="A75" s="2" t="s">
        <v>372</v>
      </c>
      <c r="B75" s="2" t="s">
        <v>34</v>
      </c>
      <c r="C75" s="2" t="s">
        <v>373</v>
      </c>
      <c r="D75" s="7" t="s">
        <v>374</v>
      </c>
      <c r="E75" s="7" t="s">
        <v>24</v>
      </c>
      <c r="F75" s="7" t="s">
        <v>25</v>
      </c>
      <c r="G75" s="5">
        <v>3011</v>
      </c>
      <c r="H75" s="5">
        <v>25</v>
      </c>
      <c r="I75" s="5">
        <v>2259</v>
      </c>
      <c r="J75" s="5">
        <v>1</v>
      </c>
      <c r="K75" s="2" t="s">
        <v>32</v>
      </c>
      <c r="L75" s="7" t="s">
        <v>39</v>
      </c>
      <c r="M75" s="4">
        <v>3.8</v>
      </c>
      <c r="N75" s="5">
        <v>156</v>
      </c>
      <c r="O75" s="3">
        <v>45855</v>
      </c>
      <c r="P75" s="7" t="s">
        <v>2392</v>
      </c>
      <c r="Q75" s="7" t="s">
        <v>65</v>
      </c>
      <c r="R75" s="7" t="s">
        <v>104</v>
      </c>
      <c r="S75" s="7" t="s">
        <v>105</v>
      </c>
      <c r="T75" s="7"/>
      <c r="U75" s="11">
        <f t="shared" si="4"/>
        <v>3011</v>
      </c>
      <c r="V75" s="11">
        <f t="shared" si="5"/>
        <v>2259</v>
      </c>
      <c r="W75" s="11">
        <f t="shared" si="6"/>
        <v>752</v>
      </c>
      <c r="X75" t="str">
        <f t="shared" si="7"/>
        <v>Cancelled</v>
      </c>
    </row>
    <row r="76" spans="1:24" ht="12.5" x14ac:dyDescent="0.25">
      <c r="A76" s="2" t="s">
        <v>375</v>
      </c>
      <c r="B76" s="2" t="s">
        <v>376</v>
      </c>
      <c r="C76" s="2" t="s">
        <v>377</v>
      </c>
      <c r="D76" s="7" t="s">
        <v>378</v>
      </c>
      <c r="E76" s="7" t="s">
        <v>147</v>
      </c>
      <c r="F76" s="7" t="s">
        <v>148</v>
      </c>
      <c r="G76" s="5">
        <v>3928</v>
      </c>
      <c r="H76" s="5">
        <v>20</v>
      </c>
      <c r="I76" s="5">
        <v>3143</v>
      </c>
      <c r="J76" s="5">
        <v>3</v>
      </c>
      <c r="K76" s="2">
        <v>44</v>
      </c>
      <c r="L76" s="7" t="s">
        <v>168</v>
      </c>
      <c r="M76" s="4">
        <v>4</v>
      </c>
      <c r="N76" s="5">
        <v>277</v>
      </c>
      <c r="O76" s="3">
        <v>45801</v>
      </c>
      <c r="P76" s="7" t="s">
        <v>2391</v>
      </c>
      <c r="Q76" s="7" t="s">
        <v>78</v>
      </c>
      <c r="R76" s="7" t="s">
        <v>89</v>
      </c>
      <c r="S76" s="7" t="s">
        <v>90</v>
      </c>
      <c r="T76" s="7"/>
      <c r="U76" s="11">
        <f t="shared" si="4"/>
        <v>11784</v>
      </c>
      <c r="V76" s="11">
        <f t="shared" si="5"/>
        <v>9429</v>
      </c>
      <c r="W76" s="11">
        <f t="shared" si="6"/>
        <v>2355</v>
      </c>
      <c r="X76" t="str">
        <f t="shared" si="7"/>
        <v>Returned</v>
      </c>
    </row>
    <row r="77" spans="1:24" ht="12.5" x14ac:dyDescent="0.25">
      <c r="A77" s="2" t="s">
        <v>379</v>
      </c>
      <c r="B77" s="2" t="s">
        <v>380</v>
      </c>
      <c r="C77" s="2" t="s">
        <v>381</v>
      </c>
      <c r="D77" s="7" t="s">
        <v>382</v>
      </c>
      <c r="E77" s="7" t="s">
        <v>116</v>
      </c>
      <c r="F77" s="7" t="s">
        <v>117</v>
      </c>
      <c r="G77" s="5">
        <v>4967</v>
      </c>
      <c r="H77" s="5">
        <v>10</v>
      </c>
      <c r="I77" s="5">
        <v>4471</v>
      </c>
      <c r="J77" s="5">
        <v>3</v>
      </c>
      <c r="K77" s="2">
        <v>42</v>
      </c>
      <c r="L77" s="7" t="s">
        <v>64</v>
      </c>
      <c r="M77" s="4">
        <v>4.3</v>
      </c>
      <c r="N77" s="5">
        <v>153</v>
      </c>
      <c r="O77" s="3">
        <v>45793</v>
      </c>
      <c r="P77" s="7" t="s">
        <v>2390</v>
      </c>
      <c r="Q77" s="7" t="s">
        <v>65</v>
      </c>
      <c r="R77" s="7" t="s">
        <v>104</v>
      </c>
      <c r="S77" s="7" t="s">
        <v>105</v>
      </c>
      <c r="T77" s="7"/>
      <c r="U77" s="11">
        <f t="shared" si="4"/>
        <v>14901</v>
      </c>
      <c r="V77" s="11">
        <f t="shared" si="5"/>
        <v>13413</v>
      </c>
      <c r="W77" s="11">
        <f t="shared" si="6"/>
        <v>1488</v>
      </c>
      <c r="X77" t="str">
        <f t="shared" si="7"/>
        <v>Completed</v>
      </c>
    </row>
    <row r="78" spans="1:24" ht="12.5" x14ac:dyDescent="0.25">
      <c r="A78" s="2" t="s">
        <v>383</v>
      </c>
      <c r="B78" s="2" t="s">
        <v>384</v>
      </c>
      <c r="C78" s="2" t="s">
        <v>385</v>
      </c>
      <c r="D78" s="7" t="s">
        <v>386</v>
      </c>
      <c r="E78" s="7" t="s">
        <v>122</v>
      </c>
      <c r="F78" s="7" t="s">
        <v>123</v>
      </c>
      <c r="G78" s="5">
        <v>2405</v>
      </c>
      <c r="H78" s="5">
        <v>25</v>
      </c>
      <c r="I78" s="5">
        <v>1804</v>
      </c>
      <c r="J78" s="5">
        <v>1</v>
      </c>
      <c r="K78" s="2" t="s">
        <v>261</v>
      </c>
      <c r="L78" s="7" t="s">
        <v>39</v>
      </c>
      <c r="M78" s="4">
        <v>4</v>
      </c>
      <c r="N78" s="5">
        <v>278</v>
      </c>
      <c r="O78" s="3">
        <v>45791</v>
      </c>
      <c r="P78" s="7" t="s">
        <v>2390</v>
      </c>
      <c r="Q78" s="7" t="s">
        <v>78</v>
      </c>
      <c r="R78" s="7" t="s">
        <v>185</v>
      </c>
      <c r="S78" s="7" t="s">
        <v>186</v>
      </c>
      <c r="T78" s="7"/>
      <c r="U78" s="11">
        <f t="shared" si="4"/>
        <v>2405</v>
      </c>
      <c r="V78" s="11">
        <f t="shared" si="5"/>
        <v>1804</v>
      </c>
      <c r="W78" s="11">
        <f t="shared" si="6"/>
        <v>601</v>
      </c>
      <c r="X78" t="str">
        <f t="shared" si="7"/>
        <v>Completed</v>
      </c>
    </row>
    <row r="79" spans="1:24" ht="12.5" x14ac:dyDescent="0.25">
      <c r="A79" s="2" t="s">
        <v>387</v>
      </c>
      <c r="B79" s="2" t="s">
        <v>388</v>
      </c>
      <c r="C79" s="2" t="s">
        <v>389</v>
      </c>
      <c r="D79" s="7" t="s">
        <v>390</v>
      </c>
      <c r="E79" s="7" t="s">
        <v>247</v>
      </c>
      <c r="F79" s="7" t="s">
        <v>248</v>
      </c>
      <c r="G79" s="5">
        <v>1392</v>
      </c>
      <c r="H79" s="5">
        <v>15</v>
      </c>
      <c r="I79" s="5">
        <v>1184</v>
      </c>
      <c r="J79" s="5">
        <v>2</v>
      </c>
      <c r="K79" s="2" t="s">
        <v>26</v>
      </c>
      <c r="L79" s="7" t="s">
        <v>103</v>
      </c>
      <c r="M79" s="4">
        <v>3.9</v>
      </c>
      <c r="N79" s="5">
        <v>93</v>
      </c>
      <c r="O79" s="3">
        <v>45854</v>
      </c>
      <c r="P79" s="7" t="s">
        <v>2392</v>
      </c>
      <c r="Q79" s="7" t="s">
        <v>29</v>
      </c>
      <c r="R79" s="7" t="s">
        <v>30</v>
      </c>
      <c r="S79" s="7" t="s">
        <v>31</v>
      </c>
      <c r="T79" s="7"/>
      <c r="U79" s="11">
        <f t="shared" si="4"/>
        <v>2784</v>
      </c>
      <c r="V79" s="11">
        <f t="shared" si="5"/>
        <v>2368</v>
      </c>
      <c r="W79" s="11">
        <f t="shared" si="6"/>
        <v>416</v>
      </c>
      <c r="X79" t="str">
        <f t="shared" si="7"/>
        <v>Cancelled</v>
      </c>
    </row>
    <row r="80" spans="1:24" ht="12.5" x14ac:dyDescent="0.25">
      <c r="A80" s="2" t="s">
        <v>391</v>
      </c>
      <c r="B80" s="2" t="s">
        <v>392</v>
      </c>
      <c r="C80" s="2" t="s">
        <v>393</v>
      </c>
      <c r="D80" s="7" t="s">
        <v>394</v>
      </c>
      <c r="E80" s="7" t="s">
        <v>55</v>
      </c>
      <c r="F80" s="7" t="s">
        <v>38</v>
      </c>
      <c r="G80" s="5">
        <v>3990</v>
      </c>
      <c r="H80" s="5">
        <v>20</v>
      </c>
      <c r="I80" s="5">
        <v>3192</v>
      </c>
      <c r="J80" s="5">
        <v>3</v>
      </c>
      <c r="K80" s="2" t="s">
        <v>56</v>
      </c>
      <c r="L80" s="7" t="s">
        <v>73</v>
      </c>
      <c r="M80" s="4">
        <v>4.5</v>
      </c>
      <c r="N80" s="5">
        <v>113</v>
      </c>
      <c r="O80" s="3">
        <v>45829</v>
      </c>
      <c r="P80" s="7" t="s">
        <v>2391</v>
      </c>
      <c r="Q80" s="7" t="s">
        <v>78</v>
      </c>
      <c r="R80" s="7" t="s">
        <v>104</v>
      </c>
      <c r="S80" s="7" t="s">
        <v>105</v>
      </c>
      <c r="T80" s="7" t="s">
        <v>43</v>
      </c>
      <c r="U80" s="11">
        <f t="shared" si="4"/>
        <v>11970</v>
      </c>
      <c r="V80" s="11">
        <f t="shared" si="5"/>
        <v>9576</v>
      </c>
      <c r="W80" s="11">
        <f t="shared" si="6"/>
        <v>2394</v>
      </c>
      <c r="X80" t="str">
        <f t="shared" si="7"/>
        <v>Returned</v>
      </c>
    </row>
    <row r="81" spans="1:24" ht="12.5" x14ac:dyDescent="0.25">
      <c r="A81" s="2" t="s">
        <v>395</v>
      </c>
      <c r="B81" s="2" t="s">
        <v>396</v>
      </c>
      <c r="C81" s="2" t="s">
        <v>397</v>
      </c>
      <c r="D81" s="7" t="s">
        <v>398</v>
      </c>
      <c r="E81" s="7" t="s">
        <v>48</v>
      </c>
      <c r="F81" s="7" t="s">
        <v>25</v>
      </c>
      <c r="G81" s="5">
        <v>2783</v>
      </c>
      <c r="H81" s="5">
        <v>25</v>
      </c>
      <c r="I81" s="5">
        <v>2088</v>
      </c>
      <c r="J81" s="5">
        <v>1</v>
      </c>
      <c r="K81" s="2" t="s">
        <v>261</v>
      </c>
      <c r="L81" s="7" t="s">
        <v>168</v>
      </c>
      <c r="M81" s="4">
        <v>3.9</v>
      </c>
      <c r="N81" s="5">
        <v>226</v>
      </c>
      <c r="O81" s="3">
        <v>45816</v>
      </c>
      <c r="P81" s="7" t="s">
        <v>2392</v>
      </c>
      <c r="Q81" s="7" t="s">
        <v>65</v>
      </c>
      <c r="R81" s="7" t="s">
        <v>89</v>
      </c>
      <c r="S81" s="7" t="s">
        <v>90</v>
      </c>
      <c r="T81" s="7"/>
      <c r="U81" s="11">
        <f t="shared" si="4"/>
        <v>2783</v>
      </c>
      <c r="V81" s="11">
        <f t="shared" si="5"/>
        <v>2088</v>
      </c>
      <c r="W81" s="11">
        <f t="shared" si="6"/>
        <v>695</v>
      </c>
      <c r="X81" t="str">
        <f t="shared" si="7"/>
        <v>Cancelled</v>
      </c>
    </row>
    <row r="82" spans="1:24" ht="12.5" x14ac:dyDescent="0.25">
      <c r="A82" s="2" t="s">
        <v>399</v>
      </c>
      <c r="B82" s="2" t="s">
        <v>400</v>
      </c>
      <c r="C82" s="2" t="s">
        <v>401</v>
      </c>
      <c r="D82" s="7" t="s">
        <v>402</v>
      </c>
      <c r="E82" s="7" t="s">
        <v>48</v>
      </c>
      <c r="F82" s="7" t="s">
        <v>25</v>
      </c>
      <c r="G82" s="5">
        <v>2247</v>
      </c>
      <c r="H82" s="5">
        <v>25</v>
      </c>
      <c r="I82" s="5">
        <v>1686</v>
      </c>
      <c r="J82" s="5">
        <v>1</v>
      </c>
      <c r="K82" s="2">
        <v>42</v>
      </c>
      <c r="L82" s="7" t="s">
        <v>168</v>
      </c>
      <c r="M82" s="4">
        <v>3.7</v>
      </c>
      <c r="N82" s="5">
        <v>265</v>
      </c>
      <c r="O82" s="3">
        <v>45796</v>
      </c>
      <c r="P82" s="7" t="s">
        <v>2392</v>
      </c>
      <c r="Q82" s="7" t="s">
        <v>29</v>
      </c>
      <c r="R82" s="7" t="s">
        <v>104</v>
      </c>
      <c r="S82" s="7" t="s">
        <v>105</v>
      </c>
      <c r="T82" s="7"/>
      <c r="U82" s="11">
        <f t="shared" si="4"/>
        <v>2247</v>
      </c>
      <c r="V82" s="11">
        <f t="shared" si="5"/>
        <v>1686</v>
      </c>
      <c r="W82" s="11">
        <f t="shared" si="6"/>
        <v>561</v>
      </c>
      <c r="X82" t="str">
        <f t="shared" si="7"/>
        <v>Cancelled</v>
      </c>
    </row>
    <row r="83" spans="1:24" ht="12.5" x14ac:dyDescent="0.25">
      <c r="A83" s="2" t="s">
        <v>403</v>
      </c>
      <c r="B83" s="2" t="s">
        <v>404</v>
      </c>
      <c r="C83" s="2" t="s">
        <v>405</v>
      </c>
      <c r="D83" s="7" t="s">
        <v>406</v>
      </c>
      <c r="E83" s="7" t="s">
        <v>208</v>
      </c>
      <c r="F83" s="7" t="s">
        <v>117</v>
      </c>
      <c r="G83" s="5">
        <v>2234</v>
      </c>
      <c r="H83" s="5">
        <v>10</v>
      </c>
      <c r="I83" s="5">
        <v>2011</v>
      </c>
      <c r="J83" s="5">
        <v>2</v>
      </c>
      <c r="K83" s="2">
        <v>42</v>
      </c>
      <c r="L83" s="7" t="s">
        <v>27</v>
      </c>
      <c r="M83" s="4">
        <v>3.9</v>
      </c>
      <c r="N83" s="5">
        <v>131</v>
      </c>
      <c r="O83" s="3">
        <v>45795</v>
      </c>
      <c r="P83" s="7" t="s">
        <v>2391</v>
      </c>
      <c r="Q83" s="7" t="s">
        <v>29</v>
      </c>
      <c r="R83" s="7" t="s">
        <v>30</v>
      </c>
      <c r="S83" s="7" t="s">
        <v>31</v>
      </c>
      <c r="T83" s="7"/>
      <c r="U83" s="11">
        <f t="shared" si="4"/>
        <v>4468</v>
      </c>
      <c r="V83" s="11">
        <f t="shared" si="5"/>
        <v>4022</v>
      </c>
      <c r="W83" s="11">
        <f t="shared" si="6"/>
        <v>446</v>
      </c>
      <c r="X83" t="str">
        <f t="shared" si="7"/>
        <v>Returned</v>
      </c>
    </row>
    <row r="84" spans="1:24" ht="12.5" x14ac:dyDescent="0.25">
      <c r="A84" s="2" t="s">
        <v>407</v>
      </c>
      <c r="B84" s="2" t="s">
        <v>408</v>
      </c>
      <c r="C84" s="2" t="s">
        <v>409</v>
      </c>
      <c r="D84" s="7" t="s">
        <v>410</v>
      </c>
      <c r="E84" s="7" t="s">
        <v>147</v>
      </c>
      <c r="F84" s="7" t="s">
        <v>148</v>
      </c>
      <c r="G84" s="5">
        <v>1726</v>
      </c>
      <c r="H84" s="5">
        <v>20</v>
      </c>
      <c r="I84" s="5">
        <v>1381</v>
      </c>
      <c r="J84" s="5">
        <v>1</v>
      </c>
      <c r="K84" s="2" t="s">
        <v>261</v>
      </c>
      <c r="L84" s="7" t="s">
        <v>209</v>
      </c>
      <c r="M84" s="4">
        <v>3.9</v>
      </c>
      <c r="N84" s="5">
        <v>113</v>
      </c>
      <c r="O84" s="3">
        <v>45774</v>
      </c>
      <c r="P84" s="7" t="s">
        <v>2391</v>
      </c>
      <c r="Q84" s="7" t="s">
        <v>78</v>
      </c>
      <c r="R84" s="7" t="s">
        <v>58</v>
      </c>
      <c r="S84" s="7" t="s">
        <v>59</v>
      </c>
      <c r="T84" s="7"/>
      <c r="U84" s="11">
        <f t="shared" si="4"/>
        <v>1726</v>
      </c>
      <c r="V84" s="11">
        <f t="shared" si="5"/>
        <v>1381</v>
      </c>
      <c r="W84" s="11">
        <f t="shared" si="6"/>
        <v>345</v>
      </c>
      <c r="X84" t="str">
        <f t="shared" si="7"/>
        <v>Returned</v>
      </c>
    </row>
    <row r="85" spans="1:24" ht="12.5" x14ac:dyDescent="0.25">
      <c r="A85" s="2" t="s">
        <v>411</v>
      </c>
      <c r="B85" s="2" t="s">
        <v>412</v>
      </c>
      <c r="C85" s="2" t="s">
        <v>413</v>
      </c>
      <c r="D85" s="7" t="s">
        <v>414</v>
      </c>
      <c r="E85" s="7" t="s">
        <v>122</v>
      </c>
      <c r="F85" s="7" t="s">
        <v>123</v>
      </c>
      <c r="G85" s="5">
        <v>3200</v>
      </c>
      <c r="H85" s="5">
        <v>10</v>
      </c>
      <c r="I85" s="5">
        <v>2880</v>
      </c>
      <c r="J85" s="5">
        <v>2</v>
      </c>
      <c r="K85" s="2" t="s">
        <v>226</v>
      </c>
      <c r="L85" s="7" t="s">
        <v>103</v>
      </c>
      <c r="M85" s="4">
        <v>4.8</v>
      </c>
      <c r="N85" s="5">
        <v>299</v>
      </c>
      <c r="O85" s="3">
        <v>45832</v>
      </c>
      <c r="P85" s="7" t="s">
        <v>2390</v>
      </c>
      <c r="Q85" s="7" t="s">
        <v>29</v>
      </c>
      <c r="R85" s="7" t="s">
        <v>83</v>
      </c>
      <c r="S85" s="7" t="s">
        <v>83</v>
      </c>
      <c r="T85" s="7"/>
      <c r="U85" s="11">
        <f t="shared" si="4"/>
        <v>6400</v>
      </c>
      <c r="V85" s="11">
        <f t="shared" si="5"/>
        <v>5760</v>
      </c>
      <c r="W85" s="11">
        <f t="shared" si="6"/>
        <v>640</v>
      </c>
      <c r="X85" t="str">
        <f t="shared" si="7"/>
        <v>Completed</v>
      </c>
    </row>
    <row r="86" spans="1:24" ht="12.5" x14ac:dyDescent="0.25">
      <c r="A86" s="2" t="s">
        <v>415</v>
      </c>
      <c r="B86" s="2" t="s">
        <v>416</v>
      </c>
      <c r="C86" s="2" t="s">
        <v>417</v>
      </c>
      <c r="D86" s="7" t="s">
        <v>418</v>
      </c>
      <c r="E86" s="7" t="s">
        <v>37</v>
      </c>
      <c r="F86" s="7" t="s">
        <v>38</v>
      </c>
      <c r="G86" s="5">
        <v>3878</v>
      </c>
      <c r="H86" s="5">
        <v>15</v>
      </c>
      <c r="I86" s="5">
        <v>3297</v>
      </c>
      <c r="J86" s="5">
        <v>2</v>
      </c>
      <c r="K86" s="2" t="s">
        <v>26</v>
      </c>
      <c r="L86" s="7" t="s">
        <v>73</v>
      </c>
      <c r="M86" s="4">
        <v>3.8</v>
      </c>
      <c r="N86" s="5">
        <v>223</v>
      </c>
      <c r="O86" s="3">
        <v>45813</v>
      </c>
      <c r="P86" s="7" t="s">
        <v>2390</v>
      </c>
      <c r="Q86" s="7" t="s">
        <v>29</v>
      </c>
      <c r="R86" s="7" t="s">
        <v>66</v>
      </c>
      <c r="S86" s="7" t="s">
        <v>67</v>
      </c>
      <c r="T86" s="7"/>
      <c r="U86" s="11">
        <f t="shared" si="4"/>
        <v>7756</v>
      </c>
      <c r="V86" s="11">
        <f t="shared" si="5"/>
        <v>6594</v>
      </c>
      <c r="W86" s="11">
        <f t="shared" si="6"/>
        <v>1162</v>
      </c>
      <c r="X86" t="str">
        <f t="shared" si="7"/>
        <v>Completed</v>
      </c>
    </row>
    <row r="87" spans="1:24" ht="12.5" x14ac:dyDescent="0.25">
      <c r="A87" s="2" t="s">
        <v>419</v>
      </c>
      <c r="B87" s="2" t="s">
        <v>420</v>
      </c>
      <c r="C87" s="2" t="s">
        <v>421</v>
      </c>
      <c r="D87" s="7" t="s">
        <v>422</v>
      </c>
      <c r="E87" s="7" t="s">
        <v>147</v>
      </c>
      <c r="F87" s="7" t="s">
        <v>148</v>
      </c>
      <c r="G87" s="5">
        <v>2461</v>
      </c>
      <c r="H87" s="5">
        <v>35</v>
      </c>
      <c r="I87" s="5">
        <v>1600</v>
      </c>
      <c r="J87" s="5">
        <v>3</v>
      </c>
      <c r="K87" s="2" t="s">
        <v>226</v>
      </c>
      <c r="L87" s="7" t="s">
        <v>27</v>
      </c>
      <c r="M87" s="4">
        <v>4.2</v>
      </c>
      <c r="N87" s="5">
        <v>286</v>
      </c>
      <c r="O87" s="3">
        <v>45770</v>
      </c>
      <c r="P87" s="7" t="s">
        <v>2392</v>
      </c>
      <c r="Q87" s="7" t="s">
        <v>65</v>
      </c>
      <c r="R87" s="7" t="s">
        <v>66</v>
      </c>
      <c r="S87" s="7" t="s">
        <v>67</v>
      </c>
      <c r="T87" s="7"/>
      <c r="U87" s="11">
        <f t="shared" si="4"/>
        <v>7383</v>
      </c>
      <c r="V87" s="11">
        <f t="shared" si="5"/>
        <v>4800</v>
      </c>
      <c r="W87" s="11">
        <f t="shared" si="6"/>
        <v>2583</v>
      </c>
      <c r="X87" t="str">
        <f t="shared" si="7"/>
        <v>Cancelled</v>
      </c>
    </row>
    <row r="88" spans="1:24" ht="12.5" x14ac:dyDescent="0.25">
      <c r="A88" s="2" t="s">
        <v>423</v>
      </c>
      <c r="B88" s="2" t="s">
        <v>424</v>
      </c>
      <c r="C88" s="2" t="s">
        <v>425</v>
      </c>
      <c r="D88" s="7" t="s">
        <v>426</v>
      </c>
      <c r="E88" s="7" t="s">
        <v>55</v>
      </c>
      <c r="F88" s="7" t="s">
        <v>38</v>
      </c>
      <c r="G88" s="5">
        <v>1745</v>
      </c>
      <c r="H88" s="5">
        <v>35</v>
      </c>
      <c r="I88" s="5">
        <v>1135</v>
      </c>
      <c r="J88" s="5">
        <v>3</v>
      </c>
      <c r="K88" s="2">
        <v>42</v>
      </c>
      <c r="L88" s="7" t="s">
        <v>27</v>
      </c>
      <c r="M88" s="4">
        <v>4.8</v>
      </c>
      <c r="N88" s="5">
        <v>93</v>
      </c>
      <c r="O88" s="3">
        <v>45786</v>
      </c>
      <c r="P88" s="7" t="s">
        <v>2390</v>
      </c>
      <c r="Q88" s="7" t="s">
        <v>78</v>
      </c>
      <c r="R88" s="7" t="s">
        <v>149</v>
      </c>
      <c r="S88" s="7" t="s">
        <v>150</v>
      </c>
      <c r="T88" s="7"/>
      <c r="U88" s="11">
        <f t="shared" si="4"/>
        <v>5235</v>
      </c>
      <c r="V88" s="11">
        <f t="shared" si="5"/>
        <v>3405</v>
      </c>
      <c r="W88" s="11">
        <f t="shared" si="6"/>
        <v>1830</v>
      </c>
      <c r="X88" t="str">
        <f t="shared" si="7"/>
        <v>Completed</v>
      </c>
    </row>
    <row r="89" spans="1:24" ht="12.5" x14ac:dyDescent="0.25">
      <c r="A89" s="2" t="s">
        <v>427</v>
      </c>
      <c r="B89" s="2" t="s">
        <v>428</v>
      </c>
      <c r="C89" s="2" t="s">
        <v>429</v>
      </c>
      <c r="D89" s="7" t="s">
        <v>430</v>
      </c>
      <c r="E89" s="7" t="s">
        <v>132</v>
      </c>
      <c r="F89" s="7" t="s">
        <v>38</v>
      </c>
      <c r="G89" s="5">
        <v>2830</v>
      </c>
      <c r="H89" s="5">
        <v>20</v>
      </c>
      <c r="I89" s="5">
        <v>2264</v>
      </c>
      <c r="J89" s="5">
        <v>2</v>
      </c>
      <c r="K89" s="2" t="s">
        <v>72</v>
      </c>
      <c r="L89" s="7" t="s">
        <v>73</v>
      </c>
      <c r="M89" s="4">
        <v>5</v>
      </c>
      <c r="N89" s="5">
        <v>269</v>
      </c>
      <c r="O89" s="3">
        <v>45807</v>
      </c>
      <c r="P89" s="7" t="s">
        <v>2391</v>
      </c>
      <c r="Q89" s="7" t="s">
        <v>29</v>
      </c>
      <c r="R89" s="7" t="s">
        <v>149</v>
      </c>
      <c r="S89" s="7" t="s">
        <v>150</v>
      </c>
      <c r="T89" s="7" t="s">
        <v>134</v>
      </c>
      <c r="U89" s="11">
        <f t="shared" si="4"/>
        <v>5660</v>
      </c>
      <c r="V89" s="11">
        <f t="shared" si="5"/>
        <v>4528</v>
      </c>
      <c r="W89" s="11">
        <f t="shared" si="6"/>
        <v>1132</v>
      </c>
      <c r="X89" t="str">
        <f t="shared" si="7"/>
        <v>Returned</v>
      </c>
    </row>
    <row r="90" spans="1:24" ht="12.5" x14ac:dyDescent="0.25">
      <c r="A90" s="2" t="s">
        <v>431</v>
      </c>
      <c r="B90" s="2" t="s">
        <v>432</v>
      </c>
      <c r="C90" s="2" t="s">
        <v>433</v>
      </c>
      <c r="D90" s="7" t="s">
        <v>434</v>
      </c>
      <c r="E90" s="7" t="s">
        <v>116</v>
      </c>
      <c r="F90" s="7" t="s">
        <v>117</v>
      </c>
      <c r="G90" s="5">
        <v>1090</v>
      </c>
      <c r="H90" s="5">
        <v>40</v>
      </c>
      <c r="I90" s="5">
        <v>654</v>
      </c>
      <c r="J90" s="5">
        <v>3</v>
      </c>
      <c r="K90" s="2">
        <v>40</v>
      </c>
      <c r="L90" s="7" t="s">
        <v>88</v>
      </c>
      <c r="M90" s="4">
        <v>3.7</v>
      </c>
      <c r="N90" s="5">
        <v>19</v>
      </c>
      <c r="O90" s="3">
        <v>45830</v>
      </c>
      <c r="P90" s="7" t="s">
        <v>2391</v>
      </c>
      <c r="Q90" s="7" t="s">
        <v>29</v>
      </c>
      <c r="R90" s="7" t="s">
        <v>104</v>
      </c>
      <c r="S90" s="7" t="s">
        <v>105</v>
      </c>
      <c r="T90" s="7"/>
      <c r="U90" s="11">
        <f t="shared" si="4"/>
        <v>3270</v>
      </c>
      <c r="V90" s="11">
        <f t="shared" si="5"/>
        <v>1962</v>
      </c>
      <c r="W90" s="11">
        <f t="shared" si="6"/>
        <v>1308</v>
      </c>
      <c r="X90" t="str">
        <f t="shared" si="7"/>
        <v>Returned</v>
      </c>
    </row>
    <row r="91" spans="1:24" ht="12.5" x14ac:dyDescent="0.25">
      <c r="A91" s="2" t="s">
        <v>435</v>
      </c>
      <c r="B91" s="2" t="s">
        <v>436</v>
      </c>
      <c r="C91" s="2" t="s">
        <v>437</v>
      </c>
      <c r="D91" s="7" t="s">
        <v>438</v>
      </c>
      <c r="E91" s="7" t="s">
        <v>48</v>
      </c>
      <c r="F91" s="7" t="s">
        <v>25</v>
      </c>
      <c r="G91" s="5">
        <v>2775</v>
      </c>
      <c r="H91" s="5">
        <v>40</v>
      </c>
      <c r="I91" s="5">
        <v>1665</v>
      </c>
      <c r="J91" s="5">
        <v>1</v>
      </c>
      <c r="K91" s="2" t="s">
        <v>56</v>
      </c>
      <c r="L91" s="7" t="s">
        <v>27</v>
      </c>
      <c r="M91" s="4">
        <v>4.8</v>
      </c>
      <c r="N91" s="5">
        <v>46</v>
      </c>
      <c r="O91" s="3">
        <v>45825</v>
      </c>
      <c r="P91" s="7" t="s">
        <v>2392</v>
      </c>
      <c r="Q91" s="7" t="s">
        <v>65</v>
      </c>
      <c r="R91" s="7" t="s">
        <v>149</v>
      </c>
      <c r="S91" s="7" t="s">
        <v>150</v>
      </c>
      <c r="T91" s="7"/>
      <c r="U91" s="11">
        <f t="shared" si="4"/>
        <v>2775</v>
      </c>
      <c r="V91" s="11">
        <f t="shared" si="5"/>
        <v>1665</v>
      </c>
      <c r="W91" s="11">
        <f t="shared" si="6"/>
        <v>1110</v>
      </c>
      <c r="X91" t="str">
        <f t="shared" si="7"/>
        <v>Cancelled</v>
      </c>
    </row>
    <row r="92" spans="1:24" ht="12.5" x14ac:dyDescent="0.25">
      <c r="A92" s="2" t="s">
        <v>439</v>
      </c>
      <c r="B92" s="2" t="s">
        <v>440</v>
      </c>
      <c r="C92" s="2" t="s">
        <v>441</v>
      </c>
      <c r="D92" s="7" t="s">
        <v>442</v>
      </c>
      <c r="E92" s="7" t="s">
        <v>116</v>
      </c>
      <c r="F92" s="7" t="s">
        <v>117</v>
      </c>
      <c r="G92" s="5">
        <v>2726</v>
      </c>
      <c r="H92" s="5">
        <v>25</v>
      </c>
      <c r="I92" s="5">
        <v>2045</v>
      </c>
      <c r="J92" s="5">
        <v>3</v>
      </c>
      <c r="K92" s="2" t="s">
        <v>226</v>
      </c>
      <c r="L92" s="7" t="s">
        <v>168</v>
      </c>
      <c r="M92" s="4">
        <v>4.9000000000000004</v>
      </c>
      <c r="N92" s="5">
        <v>119</v>
      </c>
      <c r="O92" s="3">
        <v>45784</v>
      </c>
      <c r="P92" s="7" t="s">
        <v>2391</v>
      </c>
      <c r="Q92" s="7" t="s">
        <v>78</v>
      </c>
      <c r="R92" s="7" t="s">
        <v>89</v>
      </c>
      <c r="S92" s="7" t="s">
        <v>90</v>
      </c>
      <c r="T92" s="7"/>
      <c r="U92" s="11">
        <f t="shared" si="4"/>
        <v>8178</v>
      </c>
      <c r="V92" s="11">
        <f t="shared" si="5"/>
        <v>6135</v>
      </c>
      <c r="W92" s="11">
        <f t="shared" si="6"/>
        <v>2043</v>
      </c>
      <c r="X92" t="str">
        <f t="shared" si="7"/>
        <v>Returned</v>
      </c>
    </row>
    <row r="93" spans="1:24" ht="12.5" x14ac:dyDescent="0.25">
      <c r="A93" s="2" t="s">
        <v>443</v>
      </c>
      <c r="B93" s="2" t="s">
        <v>444</v>
      </c>
      <c r="C93" s="2" t="s">
        <v>445</v>
      </c>
      <c r="D93" s="7" t="s">
        <v>446</v>
      </c>
      <c r="E93" s="7" t="s">
        <v>147</v>
      </c>
      <c r="F93" s="7" t="s">
        <v>148</v>
      </c>
      <c r="G93" s="5">
        <v>4594</v>
      </c>
      <c r="H93" s="5">
        <v>20</v>
      </c>
      <c r="I93" s="5">
        <v>3676</v>
      </c>
      <c r="J93" s="5">
        <v>3</v>
      </c>
      <c r="K93" s="2">
        <v>42</v>
      </c>
      <c r="L93" s="7" t="s">
        <v>27</v>
      </c>
      <c r="M93" s="4">
        <v>4.8</v>
      </c>
      <c r="N93" s="5">
        <v>188</v>
      </c>
      <c r="O93" s="3">
        <v>45828</v>
      </c>
      <c r="P93" s="7" t="s">
        <v>2391</v>
      </c>
      <c r="Q93" s="7" t="s">
        <v>29</v>
      </c>
      <c r="R93" s="7" t="s">
        <v>30</v>
      </c>
      <c r="S93" s="7" t="s">
        <v>31</v>
      </c>
      <c r="T93" s="7" t="s">
        <v>134</v>
      </c>
      <c r="U93" s="11">
        <f t="shared" si="4"/>
        <v>13782</v>
      </c>
      <c r="V93" s="11">
        <f t="shared" si="5"/>
        <v>11028</v>
      </c>
      <c r="W93" s="11">
        <f t="shared" si="6"/>
        <v>2754</v>
      </c>
      <c r="X93" t="str">
        <f t="shared" si="7"/>
        <v>Returned</v>
      </c>
    </row>
    <row r="94" spans="1:24" ht="12.5" x14ac:dyDescent="0.25">
      <c r="A94" s="2" t="s">
        <v>447</v>
      </c>
      <c r="B94" s="2" t="s">
        <v>448</v>
      </c>
      <c r="C94" s="2" t="s">
        <v>449</v>
      </c>
      <c r="D94" s="7" t="s">
        <v>450</v>
      </c>
      <c r="E94" s="7" t="s">
        <v>147</v>
      </c>
      <c r="F94" s="7" t="s">
        <v>148</v>
      </c>
      <c r="G94" s="5">
        <v>4405</v>
      </c>
      <c r="H94" s="5">
        <v>20</v>
      </c>
      <c r="I94" s="5">
        <v>3524</v>
      </c>
      <c r="J94" s="5">
        <v>2</v>
      </c>
      <c r="K94" s="2" t="s">
        <v>226</v>
      </c>
      <c r="L94" s="7" t="s">
        <v>88</v>
      </c>
      <c r="M94" s="4">
        <v>3.7</v>
      </c>
      <c r="N94" s="5">
        <v>91</v>
      </c>
      <c r="O94" s="3">
        <v>45804</v>
      </c>
      <c r="P94" s="7" t="s">
        <v>2391</v>
      </c>
      <c r="Q94" s="7" t="s">
        <v>29</v>
      </c>
      <c r="R94" s="7" t="s">
        <v>66</v>
      </c>
      <c r="S94" s="7" t="s">
        <v>67</v>
      </c>
      <c r="T94" s="7" t="s">
        <v>43</v>
      </c>
      <c r="U94" s="11">
        <f t="shared" si="4"/>
        <v>8810</v>
      </c>
      <c r="V94" s="11">
        <f t="shared" si="5"/>
        <v>7048</v>
      </c>
      <c r="W94" s="11">
        <f t="shared" si="6"/>
        <v>1762</v>
      </c>
      <c r="X94" t="str">
        <f t="shared" si="7"/>
        <v>Returned</v>
      </c>
    </row>
    <row r="95" spans="1:24" ht="12.5" x14ac:dyDescent="0.25">
      <c r="A95" s="2" t="s">
        <v>451</v>
      </c>
      <c r="B95" s="2" t="s">
        <v>452</v>
      </c>
      <c r="C95" s="2" t="s">
        <v>453</v>
      </c>
      <c r="D95" s="7" t="s">
        <v>454</v>
      </c>
      <c r="E95" s="7" t="s">
        <v>122</v>
      </c>
      <c r="F95" s="7" t="s">
        <v>123</v>
      </c>
      <c r="G95" s="5">
        <v>3280</v>
      </c>
      <c r="H95" s="5">
        <v>35</v>
      </c>
      <c r="I95" s="5">
        <v>2132</v>
      </c>
      <c r="J95" s="5">
        <v>3</v>
      </c>
      <c r="K95" s="2" t="s">
        <v>72</v>
      </c>
      <c r="L95" s="7" t="s">
        <v>73</v>
      </c>
      <c r="M95" s="4">
        <v>4</v>
      </c>
      <c r="N95" s="5">
        <v>142</v>
      </c>
      <c r="O95" s="3">
        <v>45790</v>
      </c>
      <c r="P95" s="7" t="s">
        <v>2391</v>
      </c>
      <c r="Q95" s="7" t="s">
        <v>65</v>
      </c>
      <c r="R95" s="7" t="s">
        <v>104</v>
      </c>
      <c r="S95" s="7" t="s">
        <v>105</v>
      </c>
      <c r="T95" s="7" t="s">
        <v>50</v>
      </c>
      <c r="U95" s="11">
        <f t="shared" si="4"/>
        <v>9840</v>
      </c>
      <c r="V95" s="11">
        <f t="shared" si="5"/>
        <v>6396</v>
      </c>
      <c r="W95" s="11">
        <f t="shared" si="6"/>
        <v>3444</v>
      </c>
      <c r="X95" t="str">
        <f t="shared" si="7"/>
        <v>Returned</v>
      </c>
    </row>
    <row r="96" spans="1:24" ht="12.5" x14ac:dyDescent="0.25">
      <c r="A96" s="2" t="s">
        <v>455</v>
      </c>
      <c r="B96" s="2" t="s">
        <v>456</v>
      </c>
      <c r="C96" s="2" t="s">
        <v>457</v>
      </c>
      <c r="D96" s="7" t="s">
        <v>458</v>
      </c>
      <c r="E96" s="7" t="s">
        <v>247</v>
      </c>
      <c r="F96" s="7" t="s">
        <v>248</v>
      </c>
      <c r="G96" s="5">
        <v>1195</v>
      </c>
      <c r="H96" s="5">
        <v>30</v>
      </c>
      <c r="I96" s="5">
        <v>837</v>
      </c>
      <c r="J96" s="5">
        <v>3</v>
      </c>
      <c r="K96" s="2" t="s">
        <v>72</v>
      </c>
      <c r="L96" s="7" t="s">
        <v>39</v>
      </c>
      <c r="M96" s="4">
        <v>4.3</v>
      </c>
      <c r="N96" s="5">
        <v>238</v>
      </c>
      <c r="O96" s="3">
        <v>45853</v>
      </c>
      <c r="P96" s="7" t="s">
        <v>2390</v>
      </c>
      <c r="Q96" s="7" t="s">
        <v>65</v>
      </c>
      <c r="R96" s="7" t="s">
        <v>30</v>
      </c>
      <c r="S96" s="7" t="s">
        <v>31</v>
      </c>
      <c r="T96" s="7"/>
      <c r="U96" s="11">
        <f t="shared" si="4"/>
        <v>3585</v>
      </c>
      <c r="V96" s="11">
        <f t="shared" si="5"/>
        <v>2511</v>
      </c>
      <c r="W96" s="11">
        <f t="shared" si="6"/>
        <v>1074</v>
      </c>
      <c r="X96" t="str">
        <f t="shared" si="7"/>
        <v>Completed</v>
      </c>
    </row>
    <row r="97" spans="1:24" ht="12.5" x14ac:dyDescent="0.25">
      <c r="A97" s="2" t="s">
        <v>459</v>
      </c>
      <c r="B97" s="2" t="s">
        <v>460</v>
      </c>
      <c r="C97" s="2" t="s">
        <v>461</v>
      </c>
      <c r="D97" s="7" t="s">
        <v>462</v>
      </c>
      <c r="E97" s="7" t="s">
        <v>55</v>
      </c>
      <c r="F97" s="7" t="s">
        <v>38</v>
      </c>
      <c r="G97" s="5">
        <v>4462</v>
      </c>
      <c r="H97" s="5">
        <v>10</v>
      </c>
      <c r="I97" s="5">
        <v>4016</v>
      </c>
      <c r="J97" s="5">
        <v>1</v>
      </c>
      <c r="K97" s="2" t="s">
        <v>72</v>
      </c>
      <c r="L97" s="7" t="s">
        <v>73</v>
      </c>
      <c r="M97" s="4">
        <v>4</v>
      </c>
      <c r="N97" s="5">
        <v>50</v>
      </c>
      <c r="O97" s="3">
        <v>45774</v>
      </c>
      <c r="P97" s="7" t="s">
        <v>2390</v>
      </c>
      <c r="Q97" s="7" t="s">
        <v>78</v>
      </c>
      <c r="R97" s="7" t="s">
        <v>83</v>
      </c>
      <c r="S97" s="7" t="s">
        <v>83</v>
      </c>
      <c r="T97" s="7"/>
      <c r="U97" s="11">
        <f t="shared" si="4"/>
        <v>4462</v>
      </c>
      <c r="V97" s="11">
        <f t="shared" si="5"/>
        <v>4016</v>
      </c>
      <c r="W97" s="11">
        <f t="shared" si="6"/>
        <v>446</v>
      </c>
      <c r="X97" t="str">
        <f t="shared" si="7"/>
        <v>Completed</v>
      </c>
    </row>
    <row r="98" spans="1:24" ht="12.5" x14ac:dyDescent="0.25">
      <c r="A98" s="2" t="s">
        <v>463</v>
      </c>
      <c r="B98" s="2" t="s">
        <v>464</v>
      </c>
      <c r="C98" s="2" t="s">
        <v>465</v>
      </c>
      <c r="D98" s="7" t="s">
        <v>466</v>
      </c>
      <c r="E98" s="7" t="s">
        <v>48</v>
      </c>
      <c r="F98" s="7" t="s">
        <v>25</v>
      </c>
      <c r="G98" s="5">
        <v>1988</v>
      </c>
      <c r="H98" s="5">
        <v>10</v>
      </c>
      <c r="I98" s="5">
        <v>1790</v>
      </c>
      <c r="J98" s="5">
        <v>2</v>
      </c>
      <c r="K98" s="2">
        <v>40</v>
      </c>
      <c r="L98" s="7" t="s">
        <v>168</v>
      </c>
      <c r="M98" s="4">
        <v>3.6</v>
      </c>
      <c r="N98" s="5">
        <v>172</v>
      </c>
      <c r="O98" s="3">
        <v>45806</v>
      </c>
      <c r="P98" s="7" t="s">
        <v>2392</v>
      </c>
      <c r="Q98" s="7" t="s">
        <v>78</v>
      </c>
      <c r="R98" s="7" t="s">
        <v>110</v>
      </c>
      <c r="S98" s="7" t="s">
        <v>111</v>
      </c>
      <c r="T98" s="7"/>
      <c r="U98" s="11">
        <f t="shared" si="4"/>
        <v>3976</v>
      </c>
      <c r="V98" s="11">
        <f t="shared" si="5"/>
        <v>3580</v>
      </c>
      <c r="W98" s="11">
        <f t="shared" si="6"/>
        <v>396</v>
      </c>
      <c r="X98" t="str">
        <f t="shared" si="7"/>
        <v>Cancelled</v>
      </c>
    </row>
    <row r="99" spans="1:24" ht="12.5" x14ac:dyDescent="0.25">
      <c r="A99" s="2" t="s">
        <v>467</v>
      </c>
      <c r="B99" s="2" t="s">
        <v>468</v>
      </c>
      <c r="C99" s="2" t="s">
        <v>469</v>
      </c>
      <c r="D99" s="7" t="s">
        <v>470</v>
      </c>
      <c r="E99" s="7" t="s">
        <v>116</v>
      </c>
      <c r="F99" s="7" t="s">
        <v>117</v>
      </c>
      <c r="G99" s="5">
        <v>3716</v>
      </c>
      <c r="H99" s="5">
        <v>40</v>
      </c>
      <c r="I99" s="5">
        <v>2230</v>
      </c>
      <c r="J99" s="5">
        <v>2</v>
      </c>
      <c r="K99" s="2">
        <v>40</v>
      </c>
      <c r="L99" s="7" t="s">
        <v>49</v>
      </c>
      <c r="M99" s="4">
        <v>4.9000000000000004</v>
      </c>
      <c r="N99" s="5">
        <v>174</v>
      </c>
      <c r="O99" s="3">
        <v>45784</v>
      </c>
      <c r="P99" s="7" t="s">
        <v>2392</v>
      </c>
      <c r="Q99" s="7" t="s">
        <v>29</v>
      </c>
      <c r="R99" s="7" t="s">
        <v>149</v>
      </c>
      <c r="S99" s="7" t="s">
        <v>150</v>
      </c>
      <c r="T99" s="7"/>
      <c r="U99" s="11">
        <f t="shared" si="4"/>
        <v>7432</v>
      </c>
      <c r="V99" s="11">
        <f t="shared" si="5"/>
        <v>4460</v>
      </c>
      <c r="W99" s="11">
        <f t="shared" si="6"/>
        <v>2972</v>
      </c>
      <c r="X99" t="str">
        <f t="shared" si="7"/>
        <v>Cancelled</v>
      </c>
    </row>
    <row r="100" spans="1:24" ht="12.5" x14ac:dyDescent="0.25">
      <c r="A100" s="2" t="s">
        <v>471</v>
      </c>
      <c r="B100" s="2" t="s">
        <v>472</v>
      </c>
      <c r="C100" s="2" t="s">
        <v>473</v>
      </c>
      <c r="D100" s="7" t="s">
        <v>474</v>
      </c>
      <c r="E100" s="7" t="s">
        <v>247</v>
      </c>
      <c r="F100" s="7" t="s">
        <v>248</v>
      </c>
      <c r="G100" s="5">
        <v>2796</v>
      </c>
      <c r="H100" s="5">
        <v>20</v>
      </c>
      <c r="I100" s="5">
        <v>2237</v>
      </c>
      <c r="J100" s="5">
        <v>3</v>
      </c>
      <c r="K100" s="2" t="s">
        <v>226</v>
      </c>
      <c r="L100" s="7" t="s">
        <v>39</v>
      </c>
      <c r="M100" s="4">
        <v>4.2</v>
      </c>
      <c r="N100" s="5">
        <v>128</v>
      </c>
      <c r="O100" s="3">
        <v>45843</v>
      </c>
      <c r="P100" s="7" t="s">
        <v>2391</v>
      </c>
      <c r="Q100" s="7" t="s">
        <v>65</v>
      </c>
      <c r="R100" s="7" t="s">
        <v>30</v>
      </c>
      <c r="S100" s="7" t="s">
        <v>31</v>
      </c>
      <c r="T100" s="7" t="s">
        <v>203</v>
      </c>
      <c r="U100" s="11">
        <f t="shared" si="4"/>
        <v>8388</v>
      </c>
      <c r="V100" s="11">
        <f t="shared" si="5"/>
        <v>6711</v>
      </c>
      <c r="W100" s="11">
        <f t="shared" si="6"/>
        <v>1677</v>
      </c>
      <c r="X100" t="str">
        <f t="shared" si="7"/>
        <v>Returned</v>
      </c>
    </row>
    <row r="101" spans="1:24" ht="12.5" x14ac:dyDescent="0.25">
      <c r="A101" s="2" t="s">
        <v>475</v>
      </c>
      <c r="B101" s="2" t="s">
        <v>34</v>
      </c>
      <c r="C101" s="2" t="s">
        <v>476</v>
      </c>
      <c r="D101" s="7" t="s">
        <v>477</v>
      </c>
      <c r="E101" s="7" t="s">
        <v>48</v>
      </c>
      <c r="F101" s="7" t="s">
        <v>25</v>
      </c>
      <c r="G101" s="5">
        <v>2687</v>
      </c>
      <c r="H101" s="5">
        <v>25</v>
      </c>
      <c r="I101" s="5">
        <v>2016</v>
      </c>
      <c r="J101" s="5">
        <v>2</v>
      </c>
      <c r="K101" s="2" t="s">
        <v>26</v>
      </c>
      <c r="L101" s="7" t="s">
        <v>168</v>
      </c>
      <c r="M101" s="4">
        <v>4.7</v>
      </c>
      <c r="N101" s="5">
        <v>219</v>
      </c>
      <c r="O101" s="3">
        <v>45781</v>
      </c>
      <c r="P101" s="7" t="s">
        <v>2390</v>
      </c>
      <c r="Q101" s="7" t="s">
        <v>78</v>
      </c>
      <c r="R101" s="7" t="s">
        <v>58</v>
      </c>
      <c r="S101" s="7" t="s">
        <v>59</v>
      </c>
      <c r="T101" s="7"/>
      <c r="U101" s="11">
        <f t="shared" si="4"/>
        <v>5374</v>
      </c>
      <c r="V101" s="11">
        <f t="shared" si="5"/>
        <v>4032</v>
      </c>
      <c r="W101" s="11">
        <f t="shared" si="6"/>
        <v>1342</v>
      </c>
      <c r="X101" t="str">
        <f t="shared" si="7"/>
        <v>Completed</v>
      </c>
    </row>
    <row r="102" spans="1:24" ht="12.5" x14ac:dyDescent="0.25">
      <c r="A102" s="2" t="s">
        <v>478</v>
      </c>
      <c r="B102" s="2" t="s">
        <v>479</v>
      </c>
      <c r="C102" s="2" t="s">
        <v>480</v>
      </c>
      <c r="D102" s="7" t="s">
        <v>481</v>
      </c>
      <c r="E102" s="7" t="s">
        <v>37</v>
      </c>
      <c r="F102" s="7" t="s">
        <v>38</v>
      </c>
      <c r="G102" s="5">
        <v>1776</v>
      </c>
      <c r="H102" s="5">
        <v>40</v>
      </c>
      <c r="I102" s="5">
        <v>1066</v>
      </c>
      <c r="J102" s="5">
        <v>1</v>
      </c>
      <c r="K102" s="2">
        <v>40</v>
      </c>
      <c r="L102" s="7" t="s">
        <v>73</v>
      </c>
      <c r="M102" s="4">
        <v>3.9</v>
      </c>
      <c r="N102" s="5">
        <v>71</v>
      </c>
      <c r="O102" s="3">
        <v>45847</v>
      </c>
      <c r="P102" s="7" t="s">
        <v>2391</v>
      </c>
      <c r="Q102" s="7" t="s">
        <v>29</v>
      </c>
      <c r="R102" s="7" t="s">
        <v>30</v>
      </c>
      <c r="S102" s="7" t="s">
        <v>31</v>
      </c>
      <c r="T102" s="7" t="s">
        <v>203</v>
      </c>
      <c r="U102" s="11">
        <f t="shared" si="4"/>
        <v>1776</v>
      </c>
      <c r="V102" s="11">
        <f t="shared" si="5"/>
        <v>1066</v>
      </c>
      <c r="W102" s="11">
        <f t="shared" si="6"/>
        <v>710</v>
      </c>
      <c r="X102" t="str">
        <f t="shared" si="7"/>
        <v>Returned</v>
      </c>
    </row>
    <row r="103" spans="1:24" ht="12.5" x14ac:dyDescent="0.25">
      <c r="A103" s="2" t="s">
        <v>482</v>
      </c>
      <c r="B103" s="2" t="s">
        <v>483</v>
      </c>
      <c r="C103" s="2" t="s">
        <v>484</v>
      </c>
      <c r="D103" s="7" t="s">
        <v>485</v>
      </c>
      <c r="E103" s="7" t="s">
        <v>37</v>
      </c>
      <c r="F103" s="7" t="s">
        <v>38</v>
      </c>
      <c r="G103" s="5">
        <v>2910</v>
      </c>
      <c r="H103" s="5">
        <v>20</v>
      </c>
      <c r="I103" s="5">
        <v>2328</v>
      </c>
      <c r="J103" s="5">
        <v>3</v>
      </c>
      <c r="K103" s="2" t="s">
        <v>32</v>
      </c>
      <c r="L103" s="7" t="s">
        <v>39</v>
      </c>
      <c r="M103" s="4">
        <v>4.5999999999999996</v>
      </c>
      <c r="N103" s="5">
        <v>52</v>
      </c>
      <c r="O103" s="3">
        <v>45795</v>
      </c>
      <c r="P103" s="7" t="s">
        <v>2391</v>
      </c>
      <c r="Q103" s="7" t="s">
        <v>29</v>
      </c>
      <c r="R103" s="7" t="s">
        <v>58</v>
      </c>
      <c r="S103" s="7" t="s">
        <v>59</v>
      </c>
      <c r="T103" s="7"/>
      <c r="U103" s="11">
        <f t="shared" si="4"/>
        <v>8730</v>
      </c>
      <c r="V103" s="11">
        <f t="shared" si="5"/>
        <v>6984</v>
      </c>
      <c r="W103" s="11">
        <f t="shared" si="6"/>
        <v>1746</v>
      </c>
      <c r="X103" t="str">
        <f t="shared" si="7"/>
        <v>Returned</v>
      </c>
    </row>
    <row r="104" spans="1:24" ht="12.5" x14ac:dyDescent="0.25">
      <c r="A104" s="2" t="s">
        <v>486</v>
      </c>
      <c r="B104" s="2" t="s">
        <v>487</v>
      </c>
      <c r="C104" s="2" t="s">
        <v>488</v>
      </c>
      <c r="D104" s="7" t="s">
        <v>489</v>
      </c>
      <c r="E104" s="7" t="s">
        <v>247</v>
      </c>
      <c r="F104" s="7" t="s">
        <v>248</v>
      </c>
      <c r="G104" s="5">
        <v>3446</v>
      </c>
      <c r="H104" s="5">
        <v>10</v>
      </c>
      <c r="I104" s="5">
        <v>3102</v>
      </c>
      <c r="J104" s="5">
        <v>3</v>
      </c>
      <c r="K104" s="2">
        <v>40</v>
      </c>
      <c r="L104" s="7" t="s">
        <v>49</v>
      </c>
      <c r="M104" s="4">
        <v>4.2</v>
      </c>
      <c r="N104" s="5">
        <v>211</v>
      </c>
      <c r="O104" s="3">
        <v>45782</v>
      </c>
      <c r="P104" s="7" t="s">
        <v>2390</v>
      </c>
      <c r="Q104" s="7" t="s">
        <v>65</v>
      </c>
      <c r="R104" s="7" t="s">
        <v>41</v>
      </c>
      <c r="S104" s="7" t="s">
        <v>42</v>
      </c>
      <c r="T104" s="7"/>
      <c r="U104" s="11">
        <f t="shared" si="4"/>
        <v>10338</v>
      </c>
      <c r="V104" s="11">
        <f t="shared" si="5"/>
        <v>9306</v>
      </c>
      <c r="W104" s="11">
        <f t="shared" si="6"/>
        <v>1032</v>
      </c>
      <c r="X104" t="str">
        <f t="shared" si="7"/>
        <v>Completed</v>
      </c>
    </row>
    <row r="105" spans="1:24" ht="12.5" x14ac:dyDescent="0.25">
      <c r="A105" s="2" t="s">
        <v>490</v>
      </c>
      <c r="B105" s="2" t="s">
        <v>491</v>
      </c>
      <c r="C105" s="2" t="s">
        <v>492</v>
      </c>
      <c r="D105" s="7" t="s">
        <v>493</v>
      </c>
      <c r="E105" s="7" t="s">
        <v>55</v>
      </c>
      <c r="F105" s="7" t="s">
        <v>38</v>
      </c>
      <c r="G105" s="5">
        <v>633</v>
      </c>
      <c r="H105" s="5">
        <v>40</v>
      </c>
      <c r="I105" s="5">
        <v>380</v>
      </c>
      <c r="J105" s="5">
        <v>3</v>
      </c>
      <c r="K105" s="2" t="s">
        <v>32</v>
      </c>
      <c r="L105" s="7" t="s">
        <v>64</v>
      </c>
      <c r="M105" s="4">
        <v>4.8</v>
      </c>
      <c r="N105" s="5">
        <v>135</v>
      </c>
      <c r="O105" s="3">
        <v>45777</v>
      </c>
      <c r="P105" s="7" t="s">
        <v>2391</v>
      </c>
      <c r="Q105" s="7" t="s">
        <v>65</v>
      </c>
      <c r="R105" s="7" t="s">
        <v>66</v>
      </c>
      <c r="S105" s="7" t="s">
        <v>67</v>
      </c>
      <c r="T105" s="7" t="s">
        <v>134</v>
      </c>
      <c r="U105" s="11">
        <f t="shared" si="4"/>
        <v>1899</v>
      </c>
      <c r="V105" s="11">
        <f t="shared" si="5"/>
        <v>1140</v>
      </c>
      <c r="W105" s="11">
        <f t="shared" si="6"/>
        <v>759</v>
      </c>
      <c r="X105" t="str">
        <f t="shared" si="7"/>
        <v>Returned</v>
      </c>
    </row>
    <row r="106" spans="1:24" ht="12.5" x14ac:dyDescent="0.25">
      <c r="A106" s="2" t="s">
        <v>494</v>
      </c>
      <c r="B106" s="2" t="s">
        <v>495</v>
      </c>
      <c r="C106" s="2" t="s">
        <v>496</v>
      </c>
      <c r="D106" s="7" t="s">
        <v>497</v>
      </c>
      <c r="E106" s="7" t="s">
        <v>147</v>
      </c>
      <c r="F106" s="7" t="s">
        <v>148</v>
      </c>
      <c r="G106" s="5">
        <v>1424</v>
      </c>
      <c r="H106" s="5">
        <v>20</v>
      </c>
      <c r="I106" s="5">
        <v>1140</v>
      </c>
      <c r="J106" s="5">
        <v>3</v>
      </c>
      <c r="K106" s="2" t="s">
        <v>163</v>
      </c>
      <c r="L106" s="7" t="s">
        <v>209</v>
      </c>
      <c r="M106" s="4">
        <v>3.6</v>
      </c>
      <c r="N106" s="5">
        <v>297</v>
      </c>
      <c r="O106" s="3">
        <v>45838</v>
      </c>
      <c r="P106" s="7" t="s">
        <v>2392</v>
      </c>
      <c r="Q106" s="7" t="s">
        <v>65</v>
      </c>
      <c r="R106" s="7" t="s">
        <v>104</v>
      </c>
      <c r="S106" s="7" t="s">
        <v>105</v>
      </c>
      <c r="T106" s="7"/>
      <c r="U106" s="11">
        <f t="shared" si="4"/>
        <v>4272</v>
      </c>
      <c r="V106" s="11">
        <f t="shared" si="5"/>
        <v>3420</v>
      </c>
      <c r="W106" s="11">
        <f t="shared" si="6"/>
        <v>852</v>
      </c>
      <c r="X106" t="str">
        <f t="shared" si="7"/>
        <v>Cancelled</v>
      </c>
    </row>
    <row r="107" spans="1:24" ht="12.5" x14ac:dyDescent="0.25">
      <c r="A107" s="2" t="s">
        <v>498</v>
      </c>
      <c r="B107" s="2" t="s">
        <v>499</v>
      </c>
      <c r="C107" s="2" t="s">
        <v>500</v>
      </c>
      <c r="D107" s="7" t="s">
        <v>501</v>
      </c>
      <c r="E107" s="7" t="s">
        <v>132</v>
      </c>
      <c r="F107" s="7" t="s">
        <v>38</v>
      </c>
      <c r="G107" s="5">
        <v>1997</v>
      </c>
      <c r="H107" s="5">
        <v>10</v>
      </c>
      <c r="I107" s="5">
        <v>1798</v>
      </c>
      <c r="J107" s="5">
        <v>3</v>
      </c>
      <c r="K107" s="2" t="s">
        <v>32</v>
      </c>
      <c r="L107" s="7" t="s">
        <v>133</v>
      </c>
      <c r="M107" s="4">
        <v>3.9</v>
      </c>
      <c r="N107" s="5">
        <v>207</v>
      </c>
      <c r="O107" s="3">
        <v>45842</v>
      </c>
      <c r="P107" s="7" t="s">
        <v>2390</v>
      </c>
      <c r="Q107" s="7" t="s">
        <v>65</v>
      </c>
      <c r="R107" s="7" t="s">
        <v>41</v>
      </c>
      <c r="S107" s="7" t="s">
        <v>42</v>
      </c>
      <c r="T107" s="7"/>
      <c r="U107" s="11">
        <f t="shared" si="4"/>
        <v>5991</v>
      </c>
      <c r="V107" s="11">
        <f t="shared" si="5"/>
        <v>5394</v>
      </c>
      <c r="W107" s="11">
        <f t="shared" si="6"/>
        <v>597</v>
      </c>
      <c r="X107" t="str">
        <f t="shared" si="7"/>
        <v>Completed</v>
      </c>
    </row>
    <row r="108" spans="1:24" ht="12.5" x14ac:dyDescent="0.25">
      <c r="A108" s="2" t="s">
        <v>502</v>
      </c>
      <c r="B108" s="2" t="s">
        <v>503</v>
      </c>
      <c r="C108" s="2" t="s">
        <v>504</v>
      </c>
      <c r="D108" s="7" t="s">
        <v>505</v>
      </c>
      <c r="E108" s="7" t="s">
        <v>24</v>
      </c>
      <c r="F108" s="7" t="s">
        <v>25</v>
      </c>
      <c r="G108" s="5">
        <v>2585</v>
      </c>
      <c r="H108" s="5">
        <v>35</v>
      </c>
      <c r="I108" s="5">
        <v>1681</v>
      </c>
      <c r="J108" s="5">
        <v>3</v>
      </c>
      <c r="K108" s="2">
        <v>44</v>
      </c>
      <c r="L108" s="7" t="s">
        <v>103</v>
      </c>
      <c r="M108" s="4">
        <v>4.8</v>
      </c>
      <c r="N108" s="5">
        <v>153</v>
      </c>
      <c r="O108" s="3">
        <v>45769</v>
      </c>
      <c r="P108" s="7" t="s">
        <v>2390</v>
      </c>
      <c r="Q108" s="7" t="s">
        <v>65</v>
      </c>
      <c r="R108" s="7" t="s">
        <v>58</v>
      </c>
      <c r="S108" s="7" t="s">
        <v>59</v>
      </c>
      <c r="T108" s="7"/>
      <c r="U108" s="11">
        <f t="shared" si="4"/>
        <v>7755</v>
      </c>
      <c r="V108" s="11">
        <f t="shared" si="5"/>
        <v>5043</v>
      </c>
      <c r="W108" s="11">
        <f t="shared" si="6"/>
        <v>2712</v>
      </c>
      <c r="X108" t="str">
        <f t="shared" si="7"/>
        <v>Completed</v>
      </c>
    </row>
    <row r="109" spans="1:24" ht="12.5" x14ac:dyDescent="0.25">
      <c r="A109" s="2" t="s">
        <v>506</v>
      </c>
      <c r="B109" s="2" t="s">
        <v>507</v>
      </c>
      <c r="C109" s="2" t="s">
        <v>508</v>
      </c>
      <c r="D109" s="7" t="s">
        <v>509</v>
      </c>
      <c r="E109" s="7" t="s">
        <v>37</v>
      </c>
      <c r="F109" s="7" t="s">
        <v>38</v>
      </c>
      <c r="G109" s="5">
        <v>2116</v>
      </c>
      <c r="H109" s="5">
        <v>10</v>
      </c>
      <c r="I109" s="5">
        <v>1905</v>
      </c>
      <c r="J109" s="5">
        <v>2</v>
      </c>
      <c r="K109" s="2" t="s">
        <v>56</v>
      </c>
      <c r="L109" s="7" t="s">
        <v>88</v>
      </c>
      <c r="M109" s="4">
        <v>4.5</v>
      </c>
      <c r="N109" s="5">
        <v>215</v>
      </c>
      <c r="O109" s="3">
        <v>45802</v>
      </c>
      <c r="P109" s="7" t="s">
        <v>2391</v>
      </c>
      <c r="Q109" s="7" t="s">
        <v>29</v>
      </c>
      <c r="R109" s="7" t="s">
        <v>30</v>
      </c>
      <c r="S109" s="7" t="s">
        <v>31</v>
      </c>
      <c r="T109" s="7" t="s">
        <v>43</v>
      </c>
      <c r="U109" s="11">
        <f t="shared" si="4"/>
        <v>4232</v>
      </c>
      <c r="V109" s="11">
        <f t="shared" si="5"/>
        <v>3810</v>
      </c>
      <c r="W109" s="11">
        <f t="shared" si="6"/>
        <v>422</v>
      </c>
      <c r="X109" t="str">
        <f t="shared" si="7"/>
        <v>Returned</v>
      </c>
    </row>
    <row r="110" spans="1:24" ht="12.5" x14ac:dyDescent="0.25">
      <c r="A110" s="2" t="s">
        <v>510</v>
      </c>
      <c r="B110" s="2" t="s">
        <v>178</v>
      </c>
      <c r="C110" s="2" t="s">
        <v>511</v>
      </c>
      <c r="D110" s="7" t="s">
        <v>512</v>
      </c>
      <c r="E110" s="7" t="s">
        <v>48</v>
      </c>
      <c r="F110" s="7" t="s">
        <v>25</v>
      </c>
      <c r="G110" s="5">
        <v>2890</v>
      </c>
      <c r="H110" s="5">
        <v>35</v>
      </c>
      <c r="I110" s="5">
        <v>1879</v>
      </c>
      <c r="J110" s="5">
        <v>2</v>
      </c>
      <c r="K110" s="2" t="s">
        <v>56</v>
      </c>
      <c r="L110" s="7" t="s">
        <v>88</v>
      </c>
      <c r="M110" s="4">
        <v>4.7</v>
      </c>
      <c r="N110" s="5">
        <v>65</v>
      </c>
      <c r="O110" s="3">
        <v>45772</v>
      </c>
      <c r="P110" s="7" t="s">
        <v>2391</v>
      </c>
      <c r="Q110" s="7" t="s">
        <v>78</v>
      </c>
      <c r="R110" s="7" t="s">
        <v>83</v>
      </c>
      <c r="S110" s="7" t="s">
        <v>83</v>
      </c>
      <c r="T110" s="7" t="s">
        <v>43</v>
      </c>
      <c r="U110" s="11">
        <f t="shared" si="4"/>
        <v>5780</v>
      </c>
      <c r="V110" s="11">
        <f t="shared" si="5"/>
        <v>3758</v>
      </c>
      <c r="W110" s="11">
        <f t="shared" si="6"/>
        <v>2022</v>
      </c>
      <c r="X110" t="str">
        <f t="shared" si="7"/>
        <v>Returned</v>
      </c>
    </row>
    <row r="111" spans="1:24" ht="12.5" x14ac:dyDescent="0.25">
      <c r="A111" s="2" t="s">
        <v>513</v>
      </c>
      <c r="B111" s="2" t="s">
        <v>514</v>
      </c>
      <c r="C111" s="2" t="s">
        <v>515</v>
      </c>
      <c r="D111" s="7" t="s">
        <v>516</v>
      </c>
      <c r="E111" s="7" t="s">
        <v>247</v>
      </c>
      <c r="F111" s="7" t="s">
        <v>248</v>
      </c>
      <c r="G111" s="5">
        <v>4592</v>
      </c>
      <c r="H111" s="5">
        <v>35</v>
      </c>
      <c r="I111" s="5">
        <v>2985</v>
      </c>
      <c r="J111" s="5">
        <v>2</v>
      </c>
      <c r="K111" s="2" t="s">
        <v>261</v>
      </c>
      <c r="L111" s="7" t="s">
        <v>103</v>
      </c>
      <c r="M111" s="4">
        <v>4.2</v>
      </c>
      <c r="N111" s="5">
        <v>264</v>
      </c>
      <c r="O111" s="3">
        <v>45845</v>
      </c>
      <c r="P111" s="7" t="s">
        <v>2392</v>
      </c>
      <c r="Q111" s="7" t="s">
        <v>65</v>
      </c>
      <c r="R111" s="7" t="s">
        <v>41</v>
      </c>
      <c r="S111" s="7" t="s">
        <v>42</v>
      </c>
      <c r="T111" s="7"/>
      <c r="U111" s="11">
        <f t="shared" si="4"/>
        <v>9184</v>
      </c>
      <c r="V111" s="11">
        <f t="shared" si="5"/>
        <v>5970</v>
      </c>
      <c r="W111" s="11">
        <f t="shared" si="6"/>
        <v>3214</v>
      </c>
      <c r="X111" t="str">
        <f t="shared" si="7"/>
        <v>Cancelled</v>
      </c>
    </row>
    <row r="112" spans="1:24" ht="12.5" x14ac:dyDescent="0.25">
      <c r="A112" s="2" t="s">
        <v>517</v>
      </c>
      <c r="B112" s="2" t="s">
        <v>518</v>
      </c>
      <c r="C112" s="2" t="s">
        <v>519</v>
      </c>
      <c r="D112" s="7" t="s">
        <v>520</v>
      </c>
      <c r="E112" s="7" t="s">
        <v>55</v>
      </c>
      <c r="F112" s="7" t="s">
        <v>38</v>
      </c>
      <c r="G112" s="5">
        <v>4234</v>
      </c>
      <c r="H112" s="5">
        <v>40</v>
      </c>
      <c r="I112" s="5">
        <v>2541</v>
      </c>
      <c r="J112" s="5">
        <v>3</v>
      </c>
      <c r="K112" s="2" t="s">
        <v>226</v>
      </c>
      <c r="L112" s="7" t="s">
        <v>64</v>
      </c>
      <c r="M112" s="4">
        <v>4.0999999999999996</v>
      </c>
      <c r="N112" s="5">
        <v>269</v>
      </c>
      <c r="O112" s="3">
        <v>45851</v>
      </c>
      <c r="P112" s="7" t="s">
        <v>2391</v>
      </c>
      <c r="Q112" s="7" t="s">
        <v>29</v>
      </c>
      <c r="R112" s="7" t="s">
        <v>66</v>
      </c>
      <c r="S112" s="7" t="s">
        <v>67</v>
      </c>
      <c r="T112" s="7" t="s">
        <v>43</v>
      </c>
      <c r="U112" s="11">
        <f t="shared" si="4"/>
        <v>12702</v>
      </c>
      <c r="V112" s="11">
        <f t="shared" si="5"/>
        <v>7623</v>
      </c>
      <c r="W112" s="11">
        <f t="shared" si="6"/>
        <v>5079</v>
      </c>
      <c r="X112" t="str">
        <f t="shared" si="7"/>
        <v>Returned</v>
      </c>
    </row>
    <row r="113" spans="1:24" ht="12.5" x14ac:dyDescent="0.25">
      <c r="A113" s="2" t="s">
        <v>521</v>
      </c>
      <c r="B113" s="2" t="s">
        <v>522</v>
      </c>
      <c r="C113" s="2" t="s">
        <v>523</v>
      </c>
      <c r="D113" s="7" t="s">
        <v>524</v>
      </c>
      <c r="E113" s="7" t="s">
        <v>132</v>
      </c>
      <c r="F113" s="7" t="s">
        <v>38</v>
      </c>
      <c r="G113" s="5">
        <v>4417</v>
      </c>
      <c r="H113" s="5">
        <v>25</v>
      </c>
      <c r="I113" s="5">
        <v>3313</v>
      </c>
      <c r="J113" s="5">
        <v>2</v>
      </c>
      <c r="K113" s="2" t="s">
        <v>56</v>
      </c>
      <c r="L113" s="7" t="s">
        <v>49</v>
      </c>
      <c r="M113" s="4">
        <v>3.6</v>
      </c>
      <c r="N113" s="5">
        <v>286</v>
      </c>
      <c r="O113" s="3">
        <v>45838</v>
      </c>
      <c r="P113" s="7" t="s">
        <v>2390</v>
      </c>
      <c r="Q113" s="7" t="s">
        <v>65</v>
      </c>
      <c r="R113" s="7" t="s">
        <v>110</v>
      </c>
      <c r="S113" s="7" t="s">
        <v>111</v>
      </c>
      <c r="T113" s="7"/>
      <c r="U113" s="11">
        <f t="shared" si="4"/>
        <v>8834</v>
      </c>
      <c r="V113" s="11">
        <f t="shared" si="5"/>
        <v>6626</v>
      </c>
      <c r="W113" s="11">
        <f t="shared" si="6"/>
        <v>2208</v>
      </c>
      <c r="X113" t="str">
        <f t="shared" si="7"/>
        <v>Completed</v>
      </c>
    </row>
    <row r="114" spans="1:24" ht="12.5" x14ac:dyDescent="0.25">
      <c r="A114" s="2" t="s">
        <v>525</v>
      </c>
      <c r="B114" s="2" t="s">
        <v>96</v>
      </c>
      <c r="C114" s="2" t="s">
        <v>526</v>
      </c>
      <c r="D114" s="7" t="s">
        <v>527</v>
      </c>
      <c r="E114" s="7" t="s">
        <v>116</v>
      </c>
      <c r="F114" s="7" t="s">
        <v>117</v>
      </c>
      <c r="G114" s="5">
        <v>4806</v>
      </c>
      <c r="H114" s="5">
        <v>30</v>
      </c>
      <c r="I114" s="5">
        <v>3365</v>
      </c>
      <c r="J114" s="5">
        <v>3</v>
      </c>
      <c r="K114" s="2" t="s">
        <v>56</v>
      </c>
      <c r="L114" s="7" t="s">
        <v>133</v>
      </c>
      <c r="M114" s="4">
        <v>4.4000000000000004</v>
      </c>
      <c r="N114" s="5">
        <v>42</v>
      </c>
      <c r="O114" s="3">
        <v>45833</v>
      </c>
      <c r="P114" s="7" t="s">
        <v>2390</v>
      </c>
      <c r="Q114" s="7" t="s">
        <v>65</v>
      </c>
      <c r="R114" s="7" t="s">
        <v>104</v>
      </c>
      <c r="S114" s="7" t="s">
        <v>105</v>
      </c>
      <c r="T114" s="7"/>
      <c r="U114" s="11">
        <f t="shared" si="4"/>
        <v>14418</v>
      </c>
      <c r="V114" s="11">
        <f t="shared" si="5"/>
        <v>10095</v>
      </c>
      <c r="W114" s="11">
        <f t="shared" si="6"/>
        <v>4323</v>
      </c>
      <c r="X114" t="str">
        <f t="shared" si="7"/>
        <v>Completed</v>
      </c>
    </row>
    <row r="115" spans="1:24" ht="12.5" x14ac:dyDescent="0.25">
      <c r="A115" s="2" t="s">
        <v>528</v>
      </c>
      <c r="B115" s="2" t="s">
        <v>529</v>
      </c>
      <c r="C115" s="2" t="s">
        <v>530</v>
      </c>
      <c r="D115" s="7" t="s">
        <v>531</v>
      </c>
      <c r="E115" s="7" t="s">
        <v>48</v>
      </c>
      <c r="F115" s="7" t="s">
        <v>25</v>
      </c>
      <c r="G115" s="5">
        <v>2121</v>
      </c>
      <c r="H115" s="5">
        <v>30</v>
      </c>
      <c r="I115" s="5">
        <v>1485</v>
      </c>
      <c r="J115" s="5">
        <v>3</v>
      </c>
      <c r="K115" s="2" t="s">
        <v>163</v>
      </c>
      <c r="L115" s="7" t="s">
        <v>209</v>
      </c>
      <c r="M115" s="4">
        <v>4.4000000000000004</v>
      </c>
      <c r="N115" s="5">
        <v>242</v>
      </c>
      <c r="O115" s="3">
        <v>45799</v>
      </c>
      <c r="P115" s="7" t="s">
        <v>2392</v>
      </c>
      <c r="Q115" s="7" t="s">
        <v>78</v>
      </c>
      <c r="R115" s="7" t="s">
        <v>30</v>
      </c>
      <c r="S115" s="7" t="s">
        <v>31</v>
      </c>
      <c r="T115" s="7"/>
      <c r="U115" s="11">
        <f t="shared" si="4"/>
        <v>6363</v>
      </c>
      <c r="V115" s="11">
        <f t="shared" si="5"/>
        <v>4455</v>
      </c>
      <c r="W115" s="11">
        <f t="shared" si="6"/>
        <v>1908</v>
      </c>
      <c r="X115" t="str">
        <f t="shared" si="7"/>
        <v>Cancelled</v>
      </c>
    </row>
    <row r="116" spans="1:24" ht="12.5" x14ac:dyDescent="0.25">
      <c r="A116" s="2" t="s">
        <v>532</v>
      </c>
      <c r="B116" s="2" t="s">
        <v>456</v>
      </c>
      <c r="C116" s="2" t="s">
        <v>533</v>
      </c>
      <c r="D116" s="7" t="s">
        <v>534</v>
      </c>
      <c r="E116" s="7" t="s">
        <v>247</v>
      </c>
      <c r="F116" s="7" t="s">
        <v>248</v>
      </c>
      <c r="G116" s="5">
        <v>2657</v>
      </c>
      <c r="H116" s="5">
        <v>10</v>
      </c>
      <c r="I116" s="5">
        <v>2392</v>
      </c>
      <c r="J116" s="5">
        <v>2</v>
      </c>
      <c r="K116" s="2" t="s">
        <v>163</v>
      </c>
      <c r="L116" s="7" t="s">
        <v>88</v>
      </c>
      <c r="M116" s="4">
        <v>4</v>
      </c>
      <c r="N116" s="5">
        <v>246</v>
      </c>
      <c r="O116" s="3">
        <v>45774</v>
      </c>
      <c r="P116" s="7" t="s">
        <v>2391</v>
      </c>
      <c r="Q116" s="7" t="s">
        <v>65</v>
      </c>
      <c r="R116" s="7" t="s">
        <v>66</v>
      </c>
      <c r="S116" s="7" t="s">
        <v>67</v>
      </c>
      <c r="T116" s="7" t="s">
        <v>134</v>
      </c>
      <c r="U116" s="11">
        <f t="shared" si="4"/>
        <v>5314</v>
      </c>
      <c r="V116" s="11">
        <f t="shared" si="5"/>
        <v>4784</v>
      </c>
      <c r="W116" s="11">
        <f t="shared" si="6"/>
        <v>530</v>
      </c>
      <c r="X116" t="str">
        <f t="shared" si="7"/>
        <v>Returned</v>
      </c>
    </row>
    <row r="117" spans="1:24" ht="12.5" x14ac:dyDescent="0.25">
      <c r="A117" s="2" t="s">
        <v>535</v>
      </c>
      <c r="B117" s="2" t="s">
        <v>536</v>
      </c>
      <c r="C117" s="2" t="s">
        <v>537</v>
      </c>
      <c r="D117" s="7" t="s">
        <v>538</v>
      </c>
      <c r="E117" s="7" t="s">
        <v>55</v>
      </c>
      <c r="F117" s="7" t="s">
        <v>38</v>
      </c>
      <c r="G117" s="5">
        <v>1835</v>
      </c>
      <c r="H117" s="5">
        <v>10</v>
      </c>
      <c r="I117" s="5">
        <v>1652</v>
      </c>
      <c r="J117" s="5">
        <v>1</v>
      </c>
      <c r="K117" s="2" t="s">
        <v>32</v>
      </c>
      <c r="L117" s="7" t="s">
        <v>73</v>
      </c>
      <c r="M117" s="4">
        <v>3.9</v>
      </c>
      <c r="N117" s="5">
        <v>242</v>
      </c>
      <c r="O117" s="3">
        <v>45793</v>
      </c>
      <c r="P117" s="7" t="s">
        <v>2391</v>
      </c>
      <c r="Q117" s="7" t="s">
        <v>65</v>
      </c>
      <c r="R117" s="7" t="s">
        <v>110</v>
      </c>
      <c r="S117" s="7" t="s">
        <v>111</v>
      </c>
      <c r="T117" s="7" t="s">
        <v>203</v>
      </c>
      <c r="U117" s="11">
        <f t="shared" si="4"/>
        <v>1835</v>
      </c>
      <c r="V117" s="11">
        <f t="shared" si="5"/>
        <v>1652</v>
      </c>
      <c r="W117" s="11">
        <f t="shared" si="6"/>
        <v>183</v>
      </c>
      <c r="X117" t="str">
        <f t="shared" si="7"/>
        <v>Returned</v>
      </c>
    </row>
    <row r="118" spans="1:24" ht="12.5" x14ac:dyDescent="0.25">
      <c r="A118" s="2" t="s">
        <v>539</v>
      </c>
      <c r="B118" s="2" t="s">
        <v>540</v>
      </c>
      <c r="C118" s="2" t="s">
        <v>541</v>
      </c>
      <c r="D118" s="7" t="s">
        <v>542</v>
      </c>
      <c r="E118" s="7" t="s">
        <v>24</v>
      </c>
      <c r="F118" s="7" t="s">
        <v>25</v>
      </c>
      <c r="G118" s="5">
        <v>4681</v>
      </c>
      <c r="H118" s="5">
        <v>30</v>
      </c>
      <c r="I118" s="5">
        <v>3277</v>
      </c>
      <c r="J118" s="5">
        <v>2</v>
      </c>
      <c r="K118" s="2" t="s">
        <v>56</v>
      </c>
      <c r="L118" s="7" t="s">
        <v>49</v>
      </c>
      <c r="M118" s="4">
        <v>4.9000000000000004</v>
      </c>
      <c r="N118" s="5">
        <v>276</v>
      </c>
      <c r="O118" s="3">
        <v>45775</v>
      </c>
      <c r="P118" s="7" t="s">
        <v>2392</v>
      </c>
      <c r="Q118" s="7" t="s">
        <v>29</v>
      </c>
      <c r="R118" s="7" t="s">
        <v>83</v>
      </c>
      <c r="S118" s="7" t="s">
        <v>83</v>
      </c>
      <c r="T118" s="7"/>
      <c r="U118" s="11">
        <f t="shared" si="4"/>
        <v>9362</v>
      </c>
      <c r="V118" s="11">
        <f t="shared" si="5"/>
        <v>6554</v>
      </c>
      <c r="W118" s="11">
        <f t="shared" si="6"/>
        <v>2808</v>
      </c>
      <c r="X118" t="str">
        <f t="shared" si="7"/>
        <v>Cancelled</v>
      </c>
    </row>
    <row r="119" spans="1:24" ht="12.5" x14ac:dyDescent="0.25">
      <c r="A119" s="2" t="s">
        <v>543</v>
      </c>
      <c r="B119" s="2" t="s">
        <v>211</v>
      </c>
      <c r="C119" s="2" t="s">
        <v>544</v>
      </c>
      <c r="D119" s="7" t="s">
        <v>545</v>
      </c>
      <c r="E119" s="7" t="s">
        <v>132</v>
      </c>
      <c r="F119" s="7" t="s">
        <v>38</v>
      </c>
      <c r="G119" s="5">
        <v>3893</v>
      </c>
      <c r="H119" s="5">
        <v>40</v>
      </c>
      <c r="I119" s="5">
        <v>2336</v>
      </c>
      <c r="J119" s="5">
        <v>2</v>
      </c>
      <c r="K119" s="2" t="s">
        <v>226</v>
      </c>
      <c r="L119" s="7" t="s">
        <v>103</v>
      </c>
      <c r="M119" s="4">
        <v>4.4000000000000004</v>
      </c>
      <c r="N119" s="5">
        <v>246</v>
      </c>
      <c r="O119" s="3">
        <v>45788</v>
      </c>
      <c r="P119" s="7" t="s">
        <v>2390</v>
      </c>
      <c r="Q119" s="7" t="s">
        <v>29</v>
      </c>
      <c r="R119" s="7" t="s">
        <v>110</v>
      </c>
      <c r="S119" s="7" t="s">
        <v>111</v>
      </c>
      <c r="T119" s="7"/>
      <c r="U119" s="11">
        <f t="shared" si="4"/>
        <v>7786</v>
      </c>
      <c r="V119" s="11">
        <f t="shared" si="5"/>
        <v>4672</v>
      </c>
      <c r="W119" s="11">
        <f t="shared" si="6"/>
        <v>3114</v>
      </c>
      <c r="X119" t="str">
        <f t="shared" si="7"/>
        <v>Completed</v>
      </c>
    </row>
    <row r="120" spans="1:24" ht="12.5" x14ac:dyDescent="0.25">
      <c r="A120" s="2" t="s">
        <v>546</v>
      </c>
      <c r="B120" s="2" t="s">
        <v>75</v>
      </c>
      <c r="C120" s="2" t="s">
        <v>547</v>
      </c>
      <c r="D120" s="7" t="s">
        <v>548</v>
      </c>
      <c r="E120" s="7" t="s">
        <v>132</v>
      </c>
      <c r="F120" s="7" t="s">
        <v>38</v>
      </c>
      <c r="G120" s="5">
        <v>850</v>
      </c>
      <c r="H120" s="5">
        <v>40</v>
      </c>
      <c r="I120" s="5">
        <v>510</v>
      </c>
      <c r="J120" s="5">
        <v>2</v>
      </c>
      <c r="K120" s="2">
        <v>42</v>
      </c>
      <c r="L120" s="7" t="s">
        <v>133</v>
      </c>
      <c r="M120" s="4">
        <v>4</v>
      </c>
      <c r="N120" s="5">
        <v>180</v>
      </c>
      <c r="O120" s="3">
        <v>45807</v>
      </c>
      <c r="P120" s="7" t="s">
        <v>2391</v>
      </c>
      <c r="Q120" s="7" t="s">
        <v>78</v>
      </c>
      <c r="R120" s="7" t="s">
        <v>58</v>
      </c>
      <c r="S120" s="7" t="s">
        <v>59</v>
      </c>
      <c r="T120" s="7"/>
      <c r="U120" s="11">
        <f t="shared" si="4"/>
        <v>1700</v>
      </c>
      <c r="V120" s="11">
        <f t="shared" si="5"/>
        <v>1020</v>
      </c>
      <c r="W120" s="11">
        <f t="shared" si="6"/>
        <v>680</v>
      </c>
      <c r="X120" t="str">
        <f t="shared" si="7"/>
        <v>Returned</v>
      </c>
    </row>
    <row r="121" spans="1:24" ht="12.5" x14ac:dyDescent="0.25">
      <c r="A121" s="2" t="s">
        <v>549</v>
      </c>
      <c r="B121" s="2" t="s">
        <v>550</v>
      </c>
      <c r="C121" s="2" t="s">
        <v>551</v>
      </c>
      <c r="D121" s="7" t="s">
        <v>552</v>
      </c>
      <c r="E121" s="7" t="s">
        <v>24</v>
      </c>
      <c r="F121" s="7" t="s">
        <v>25</v>
      </c>
      <c r="G121" s="5">
        <v>873</v>
      </c>
      <c r="H121" s="5">
        <v>25</v>
      </c>
      <c r="I121" s="5">
        <v>655</v>
      </c>
      <c r="J121" s="5">
        <v>1</v>
      </c>
      <c r="K121" s="2" t="s">
        <v>32</v>
      </c>
      <c r="L121" s="7" t="s">
        <v>64</v>
      </c>
      <c r="M121" s="4">
        <v>4.3</v>
      </c>
      <c r="N121" s="5">
        <v>149</v>
      </c>
      <c r="O121" s="3">
        <v>45780</v>
      </c>
      <c r="P121" s="7" t="s">
        <v>2392</v>
      </c>
      <c r="Q121" s="7" t="s">
        <v>65</v>
      </c>
      <c r="R121" s="7" t="s">
        <v>58</v>
      </c>
      <c r="S121" s="7" t="s">
        <v>59</v>
      </c>
      <c r="T121" s="7"/>
      <c r="U121" s="11">
        <f t="shared" si="4"/>
        <v>873</v>
      </c>
      <c r="V121" s="11">
        <f t="shared" si="5"/>
        <v>655</v>
      </c>
      <c r="W121" s="11">
        <f t="shared" si="6"/>
        <v>218</v>
      </c>
      <c r="X121" t="str">
        <f t="shared" si="7"/>
        <v>Cancelled</v>
      </c>
    </row>
    <row r="122" spans="1:24" ht="12.5" x14ac:dyDescent="0.25">
      <c r="A122" s="2" t="s">
        <v>553</v>
      </c>
      <c r="B122" s="2" t="s">
        <v>554</v>
      </c>
      <c r="C122" s="2" t="s">
        <v>555</v>
      </c>
      <c r="D122" s="7" t="s">
        <v>556</v>
      </c>
      <c r="E122" s="7" t="s">
        <v>48</v>
      </c>
      <c r="F122" s="7" t="s">
        <v>25</v>
      </c>
      <c r="G122" s="5">
        <v>2106</v>
      </c>
      <c r="H122" s="5">
        <v>25</v>
      </c>
      <c r="I122" s="5">
        <v>1580</v>
      </c>
      <c r="J122" s="5">
        <v>1</v>
      </c>
      <c r="K122" s="2" t="s">
        <v>26</v>
      </c>
      <c r="L122" s="7" t="s">
        <v>168</v>
      </c>
      <c r="M122" s="4">
        <v>5</v>
      </c>
      <c r="N122" s="5">
        <v>80</v>
      </c>
      <c r="O122" s="3">
        <v>45809</v>
      </c>
      <c r="P122" s="7" t="s">
        <v>2390</v>
      </c>
      <c r="Q122" s="7" t="s">
        <v>78</v>
      </c>
      <c r="R122" s="7" t="s">
        <v>104</v>
      </c>
      <c r="S122" s="7" t="s">
        <v>105</v>
      </c>
      <c r="T122" s="7"/>
      <c r="U122" s="11">
        <f t="shared" si="4"/>
        <v>2106</v>
      </c>
      <c r="V122" s="11">
        <f t="shared" si="5"/>
        <v>1580</v>
      </c>
      <c r="W122" s="11">
        <f t="shared" si="6"/>
        <v>526</v>
      </c>
      <c r="X122" t="str">
        <f t="shared" si="7"/>
        <v>Completed</v>
      </c>
    </row>
    <row r="123" spans="1:24" ht="12.5" x14ac:dyDescent="0.25">
      <c r="A123" s="2" t="s">
        <v>557</v>
      </c>
      <c r="B123" s="2" t="s">
        <v>558</v>
      </c>
      <c r="C123" s="2" t="s">
        <v>559</v>
      </c>
      <c r="D123" s="7" t="s">
        <v>560</v>
      </c>
      <c r="E123" s="7" t="s">
        <v>247</v>
      </c>
      <c r="F123" s="7" t="s">
        <v>248</v>
      </c>
      <c r="G123" s="5">
        <v>4527</v>
      </c>
      <c r="H123" s="5">
        <v>35</v>
      </c>
      <c r="I123" s="5">
        <v>2943</v>
      </c>
      <c r="J123" s="5">
        <v>1</v>
      </c>
      <c r="K123" s="2" t="s">
        <v>56</v>
      </c>
      <c r="L123" s="7" t="s">
        <v>64</v>
      </c>
      <c r="M123" s="4">
        <v>4.9000000000000004</v>
      </c>
      <c r="N123" s="5">
        <v>152</v>
      </c>
      <c r="O123" s="3">
        <v>45822</v>
      </c>
      <c r="P123" s="7" t="s">
        <v>2392</v>
      </c>
      <c r="Q123" s="7" t="s">
        <v>65</v>
      </c>
      <c r="R123" s="7" t="s">
        <v>149</v>
      </c>
      <c r="S123" s="7" t="s">
        <v>150</v>
      </c>
      <c r="T123" s="7"/>
      <c r="U123" s="11">
        <f t="shared" si="4"/>
        <v>4527</v>
      </c>
      <c r="V123" s="11">
        <f t="shared" si="5"/>
        <v>2943</v>
      </c>
      <c r="W123" s="11">
        <f t="shared" si="6"/>
        <v>1584</v>
      </c>
      <c r="X123" t="str">
        <f t="shared" si="7"/>
        <v>Cancelled</v>
      </c>
    </row>
    <row r="124" spans="1:24" ht="12.5" x14ac:dyDescent="0.25">
      <c r="A124" s="2" t="s">
        <v>561</v>
      </c>
      <c r="B124" s="2" t="s">
        <v>562</v>
      </c>
      <c r="C124" s="2" t="s">
        <v>563</v>
      </c>
      <c r="D124" s="7" t="s">
        <v>564</v>
      </c>
      <c r="E124" s="7" t="s">
        <v>132</v>
      </c>
      <c r="F124" s="7" t="s">
        <v>38</v>
      </c>
      <c r="G124" s="5">
        <v>1611</v>
      </c>
      <c r="H124" s="5">
        <v>10</v>
      </c>
      <c r="I124" s="5">
        <v>1450</v>
      </c>
      <c r="J124" s="5">
        <v>3</v>
      </c>
      <c r="K124" s="2">
        <v>42</v>
      </c>
      <c r="L124" s="7" t="s">
        <v>27</v>
      </c>
      <c r="M124" s="4">
        <v>4.3</v>
      </c>
      <c r="N124" s="5">
        <v>68</v>
      </c>
      <c r="O124" s="3">
        <v>45774</v>
      </c>
      <c r="P124" s="7" t="s">
        <v>2391</v>
      </c>
      <c r="Q124" s="7" t="s">
        <v>29</v>
      </c>
      <c r="R124" s="7" t="s">
        <v>30</v>
      </c>
      <c r="S124" s="7" t="s">
        <v>31</v>
      </c>
      <c r="T124" s="7" t="s">
        <v>134</v>
      </c>
      <c r="U124" s="11">
        <f t="shared" si="4"/>
        <v>4833</v>
      </c>
      <c r="V124" s="11">
        <f t="shared" si="5"/>
        <v>4350</v>
      </c>
      <c r="W124" s="11">
        <f t="shared" si="6"/>
        <v>483</v>
      </c>
      <c r="X124" t="str">
        <f t="shared" si="7"/>
        <v>Returned</v>
      </c>
    </row>
    <row r="125" spans="1:24" ht="12.5" x14ac:dyDescent="0.25">
      <c r="A125" s="2" t="s">
        <v>565</v>
      </c>
      <c r="B125" s="2" t="s">
        <v>566</v>
      </c>
      <c r="C125" s="2" t="s">
        <v>567</v>
      </c>
      <c r="D125" s="7" t="s">
        <v>568</v>
      </c>
      <c r="E125" s="7" t="s">
        <v>24</v>
      </c>
      <c r="F125" s="7" t="s">
        <v>25</v>
      </c>
      <c r="G125" s="5">
        <v>2874</v>
      </c>
      <c r="H125" s="5">
        <v>40</v>
      </c>
      <c r="I125" s="5">
        <v>1725</v>
      </c>
      <c r="J125" s="5">
        <v>1</v>
      </c>
      <c r="K125" s="2" t="s">
        <v>163</v>
      </c>
      <c r="L125" s="7" t="s">
        <v>49</v>
      </c>
      <c r="M125" s="4">
        <v>4.3</v>
      </c>
      <c r="N125" s="5">
        <v>98</v>
      </c>
      <c r="O125" s="3">
        <v>45799</v>
      </c>
      <c r="P125" s="7" t="s">
        <v>2392</v>
      </c>
      <c r="Q125" s="7" t="s">
        <v>78</v>
      </c>
      <c r="R125" s="7" t="s">
        <v>83</v>
      </c>
      <c r="S125" s="7" t="s">
        <v>83</v>
      </c>
      <c r="T125" s="7"/>
      <c r="U125" s="11">
        <f t="shared" si="4"/>
        <v>2874</v>
      </c>
      <c r="V125" s="11">
        <f t="shared" si="5"/>
        <v>1725</v>
      </c>
      <c r="W125" s="11">
        <f t="shared" si="6"/>
        <v>1149</v>
      </c>
      <c r="X125" t="str">
        <f t="shared" si="7"/>
        <v>Cancelled</v>
      </c>
    </row>
    <row r="126" spans="1:24" ht="12.5" x14ac:dyDescent="0.25">
      <c r="A126" s="2" t="s">
        <v>569</v>
      </c>
      <c r="B126" s="2" t="s">
        <v>570</v>
      </c>
      <c r="C126" s="2" t="s">
        <v>571</v>
      </c>
      <c r="D126" s="7" t="s">
        <v>572</v>
      </c>
      <c r="E126" s="7" t="s">
        <v>116</v>
      </c>
      <c r="F126" s="7" t="s">
        <v>117</v>
      </c>
      <c r="G126" s="5">
        <v>2412</v>
      </c>
      <c r="H126" s="5">
        <v>25</v>
      </c>
      <c r="I126" s="5">
        <v>1809</v>
      </c>
      <c r="J126" s="5">
        <v>1</v>
      </c>
      <c r="K126" s="2" t="s">
        <v>72</v>
      </c>
      <c r="L126" s="7" t="s">
        <v>73</v>
      </c>
      <c r="M126" s="4">
        <v>4.2</v>
      </c>
      <c r="N126" s="5">
        <v>270</v>
      </c>
      <c r="O126" s="3">
        <v>45857</v>
      </c>
      <c r="P126" s="7" t="s">
        <v>2392</v>
      </c>
      <c r="Q126" s="7" t="s">
        <v>78</v>
      </c>
      <c r="R126" s="7" t="s">
        <v>149</v>
      </c>
      <c r="S126" s="7" t="s">
        <v>150</v>
      </c>
      <c r="T126" s="7"/>
      <c r="U126" s="11">
        <f t="shared" si="4"/>
        <v>2412</v>
      </c>
      <c r="V126" s="11">
        <f t="shared" si="5"/>
        <v>1809</v>
      </c>
      <c r="W126" s="11">
        <f t="shared" si="6"/>
        <v>603</v>
      </c>
      <c r="X126" t="str">
        <f t="shared" si="7"/>
        <v>Cancelled</v>
      </c>
    </row>
    <row r="127" spans="1:24" ht="12.5" x14ac:dyDescent="0.25">
      <c r="A127" s="2" t="s">
        <v>573</v>
      </c>
      <c r="B127" s="2" t="s">
        <v>472</v>
      </c>
      <c r="C127" s="2" t="s">
        <v>574</v>
      </c>
      <c r="D127" s="7" t="s">
        <v>575</v>
      </c>
      <c r="E127" s="7" t="s">
        <v>147</v>
      </c>
      <c r="F127" s="7" t="s">
        <v>148</v>
      </c>
      <c r="G127" s="5">
        <v>3890</v>
      </c>
      <c r="H127" s="5">
        <v>40</v>
      </c>
      <c r="I127" s="5">
        <v>2334</v>
      </c>
      <c r="J127" s="5">
        <v>1</v>
      </c>
      <c r="K127" s="2" t="s">
        <v>163</v>
      </c>
      <c r="L127" s="7" t="s">
        <v>88</v>
      </c>
      <c r="M127" s="4">
        <v>4.0999999999999996</v>
      </c>
      <c r="N127" s="5">
        <v>234</v>
      </c>
      <c r="O127" s="3">
        <v>45819</v>
      </c>
      <c r="P127" s="7" t="s">
        <v>2392</v>
      </c>
      <c r="Q127" s="7" t="s">
        <v>29</v>
      </c>
      <c r="R127" s="7" t="s">
        <v>89</v>
      </c>
      <c r="S127" s="7" t="s">
        <v>90</v>
      </c>
      <c r="T127" s="7"/>
      <c r="U127" s="11">
        <f t="shared" si="4"/>
        <v>3890</v>
      </c>
      <c r="V127" s="11">
        <f t="shared" si="5"/>
        <v>2334</v>
      </c>
      <c r="W127" s="11">
        <f t="shared" si="6"/>
        <v>1556</v>
      </c>
      <c r="X127" t="str">
        <f t="shared" si="7"/>
        <v>Cancelled</v>
      </c>
    </row>
    <row r="128" spans="1:24" ht="12.5" x14ac:dyDescent="0.25">
      <c r="A128" s="2" t="s">
        <v>576</v>
      </c>
      <c r="B128" s="2" t="s">
        <v>577</v>
      </c>
      <c r="C128" s="2" t="s">
        <v>578</v>
      </c>
      <c r="D128" s="7" t="s">
        <v>579</v>
      </c>
      <c r="E128" s="7" t="s">
        <v>132</v>
      </c>
      <c r="F128" s="7" t="s">
        <v>38</v>
      </c>
      <c r="G128" s="5">
        <v>4254</v>
      </c>
      <c r="H128" s="5">
        <v>15</v>
      </c>
      <c r="I128" s="5">
        <v>3616</v>
      </c>
      <c r="J128" s="5">
        <v>1</v>
      </c>
      <c r="K128" s="2" t="s">
        <v>163</v>
      </c>
      <c r="L128" s="7" t="s">
        <v>73</v>
      </c>
      <c r="M128" s="4">
        <v>4.8</v>
      </c>
      <c r="N128" s="5">
        <v>278</v>
      </c>
      <c r="O128" s="3">
        <v>45778</v>
      </c>
      <c r="P128" s="7" t="s">
        <v>2392</v>
      </c>
      <c r="Q128" s="7" t="s">
        <v>29</v>
      </c>
      <c r="R128" s="7" t="s">
        <v>83</v>
      </c>
      <c r="S128" s="7" t="s">
        <v>83</v>
      </c>
      <c r="T128" s="7"/>
      <c r="U128" s="11">
        <f t="shared" si="4"/>
        <v>4254</v>
      </c>
      <c r="V128" s="11">
        <f t="shared" si="5"/>
        <v>3616</v>
      </c>
      <c r="W128" s="11">
        <f t="shared" si="6"/>
        <v>638</v>
      </c>
      <c r="X128" t="str">
        <f t="shared" si="7"/>
        <v>Cancelled</v>
      </c>
    </row>
    <row r="129" spans="1:24" ht="12.5" x14ac:dyDescent="0.25">
      <c r="A129" s="2" t="s">
        <v>580</v>
      </c>
      <c r="B129" s="2" t="s">
        <v>581</v>
      </c>
      <c r="C129" s="2" t="s">
        <v>582</v>
      </c>
      <c r="D129" s="7" t="s">
        <v>583</v>
      </c>
      <c r="E129" s="7" t="s">
        <v>122</v>
      </c>
      <c r="F129" s="7" t="s">
        <v>123</v>
      </c>
      <c r="G129" s="5">
        <v>3160</v>
      </c>
      <c r="H129" s="5">
        <v>15</v>
      </c>
      <c r="I129" s="5">
        <v>2686</v>
      </c>
      <c r="J129" s="5">
        <v>2</v>
      </c>
      <c r="K129" s="2">
        <v>40</v>
      </c>
      <c r="L129" s="7" t="s">
        <v>133</v>
      </c>
      <c r="M129" s="4">
        <v>4</v>
      </c>
      <c r="N129" s="5">
        <v>174</v>
      </c>
      <c r="O129" s="3">
        <v>45824</v>
      </c>
      <c r="P129" s="7" t="s">
        <v>2392</v>
      </c>
      <c r="Q129" s="7" t="s">
        <v>78</v>
      </c>
      <c r="R129" s="7" t="s">
        <v>185</v>
      </c>
      <c r="S129" s="7" t="s">
        <v>186</v>
      </c>
      <c r="T129" s="7"/>
      <c r="U129" s="11">
        <f t="shared" si="4"/>
        <v>6320</v>
      </c>
      <c r="V129" s="11">
        <f t="shared" si="5"/>
        <v>5372</v>
      </c>
      <c r="W129" s="11">
        <f t="shared" si="6"/>
        <v>948</v>
      </c>
      <c r="X129" t="str">
        <f t="shared" si="7"/>
        <v>Cancelled</v>
      </c>
    </row>
    <row r="130" spans="1:24" ht="12.5" x14ac:dyDescent="0.25">
      <c r="A130" s="2" t="s">
        <v>584</v>
      </c>
      <c r="B130" s="2" t="s">
        <v>585</v>
      </c>
      <c r="C130" s="2" t="s">
        <v>586</v>
      </c>
      <c r="D130" s="7" t="s">
        <v>587</v>
      </c>
      <c r="E130" s="7" t="s">
        <v>247</v>
      </c>
      <c r="F130" s="7" t="s">
        <v>248</v>
      </c>
      <c r="G130" s="5">
        <v>4941</v>
      </c>
      <c r="H130" s="5">
        <v>40</v>
      </c>
      <c r="I130" s="5">
        <v>2965</v>
      </c>
      <c r="J130" s="5">
        <v>3</v>
      </c>
      <c r="K130" s="2">
        <v>42</v>
      </c>
      <c r="L130" s="7" t="s">
        <v>209</v>
      </c>
      <c r="M130" s="4">
        <v>4.5</v>
      </c>
      <c r="N130" s="5">
        <v>238</v>
      </c>
      <c r="O130" s="3">
        <v>45848</v>
      </c>
      <c r="P130" s="7" t="s">
        <v>2392</v>
      </c>
      <c r="Q130" s="7" t="s">
        <v>78</v>
      </c>
      <c r="R130" s="7" t="s">
        <v>104</v>
      </c>
      <c r="S130" s="7" t="s">
        <v>105</v>
      </c>
      <c r="T130" s="7"/>
      <c r="U130" s="11">
        <f t="shared" ref="U130:U193" si="8">G130*J130</f>
        <v>14823</v>
      </c>
      <c r="V130" s="11">
        <f t="shared" ref="V130:V193" si="9">I130*J130</f>
        <v>8895</v>
      </c>
      <c r="W130" s="11">
        <f t="shared" ref="W130:W193" si="10">(G130-I130)*J130</f>
        <v>5928</v>
      </c>
      <c r="X130" t="str">
        <f t="shared" ref="X130:X193" si="11">IF(P130="DELIVERED","Completed",IF(P130="RETURNED","Returned","Cancelled"))</f>
        <v>Cancelled</v>
      </c>
    </row>
    <row r="131" spans="1:24" ht="12.5" x14ac:dyDescent="0.25">
      <c r="A131" s="2" t="s">
        <v>588</v>
      </c>
      <c r="B131" s="2" t="s">
        <v>589</v>
      </c>
      <c r="C131" s="2" t="s">
        <v>590</v>
      </c>
      <c r="D131" s="7" t="s">
        <v>591</v>
      </c>
      <c r="E131" s="7" t="s">
        <v>37</v>
      </c>
      <c r="F131" s="7" t="s">
        <v>38</v>
      </c>
      <c r="G131" s="5">
        <v>1255</v>
      </c>
      <c r="H131" s="5">
        <v>15</v>
      </c>
      <c r="I131" s="5">
        <v>1067</v>
      </c>
      <c r="J131" s="5">
        <v>1</v>
      </c>
      <c r="K131" s="2" t="s">
        <v>226</v>
      </c>
      <c r="L131" s="7" t="s">
        <v>64</v>
      </c>
      <c r="M131" s="4">
        <v>4.5999999999999996</v>
      </c>
      <c r="N131" s="5">
        <v>129</v>
      </c>
      <c r="O131" s="3">
        <v>45821</v>
      </c>
      <c r="P131" s="7" t="s">
        <v>2391</v>
      </c>
      <c r="Q131" s="7" t="s">
        <v>29</v>
      </c>
      <c r="R131" s="7" t="s">
        <v>58</v>
      </c>
      <c r="S131" s="7" t="s">
        <v>59</v>
      </c>
      <c r="T131" s="7" t="s">
        <v>50</v>
      </c>
      <c r="U131" s="11">
        <f t="shared" si="8"/>
        <v>1255</v>
      </c>
      <c r="V131" s="11">
        <f t="shared" si="9"/>
        <v>1067</v>
      </c>
      <c r="W131" s="11">
        <f t="shared" si="10"/>
        <v>188</v>
      </c>
      <c r="X131" t="str">
        <f t="shared" si="11"/>
        <v>Returned</v>
      </c>
    </row>
    <row r="132" spans="1:24" ht="12.5" x14ac:dyDescent="0.25">
      <c r="A132" s="2" t="s">
        <v>592</v>
      </c>
      <c r="B132" s="2" t="s">
        <v>593</v>
      </c>
      <c r="C132" s="2" t="s">
        <v>130</v>
      </c>
      <c r="D132" s="7" t="s">
        <v>594</v>
      </c>
      <c r="E132" s="7" t="s">
        <v>122</v>
      </c>
      <c r="F132" s="7" t="s">
        <v>123</v>
      </c>
      <c r="G132" s="5">
        <v>3753</v>
      </c>
      <c r="H132" s="5">
        <v>15</v>
      </c>
      <c r="I132" s="5">
        <v>3191</v>
      </c>
      <c r="J132" s="5">
        <v>3</v>
      </c>
      <c r="K132" s="2" t="s">
        <v>56</v>
      </c>
      <c r="L132" s="7" t="s">
        <v>168</v>
      </c>
      <c r="M132" s="4">
        <v>3.6</v>
      </c>
      <c r="N132" s="5">
        <v>241</v>
      </c>
      <c r="O132" s="3">
        <v>45846</v>
      </c>
      <c r="P132" s="7" t="s">
        <v>2391</v>
      </c>
      <c r="Q132" s="7" t="s">
        <v>65</v>
      </c>
      <c r="R132" s="7" t="s">
        <v>110</v>
      </c>
      <c r="S132" s="7" t="s">
        <v>111</v>
      </c>
      <c r="T132" s="7" t="s">
        <v>203</v>
      </c>
      <c r="U132" s="11">
        <f t="shared" si="8"/>
        <v>11259</v>
      </c>
      <c r="V132" s="11">
        <f t="shared" si="9"/>
        <v>9573</v>
      </c>
      <c r="W132" s="11">
        <f t="shared" si="10"/>
        <v>1686</v>
      </c>
      <c r="X132" t="str">
        <f t="shared" si="11"/>
        <v>Returned</v>
      </c>
    </row>
    <row r="133" spans="1:24" ht="12.5" x14ac:dyDescent="0.25">
      <c r="A133" s="2" t="s">
        <v>595</v>
      </c>
      <c r="B133" s="2" t="s">
        <v>357</v>
      </c>
      <c r="C133" s="2" t="s">
        <v>596</v>
      </c>
      <c r="D133" s="7" t="s">
        <v>597</v>
      </c>
      <c r="E133" s="7" t="s">
        <v>122</v>
      </c>
      <c r="F133" s="7" t="s">
        <v>123</v>
      </c>
      <c r="G133" s="5">
        <v>2048</v>
      </c>
      <c r="H133" s="5">
        <v>15</v>
      </c>
      <c r="I133" s="5">
        <v>1741</v>
      </c>
      <c r="J133" s="5">
        <v>1</v>
      </c>
      <c r="K133" s="2">
        <v>42</v>
      </c>
      <c r="L133" s="7" t="s">
        <v>64</v>
      </c>
      <c r="M133" s="4">
        <v>4.3</v>
      </c>
      <c r="N133" s="5">
        <v>123</v>
      </c>
      <c r="O133" s="3">
        <v>45827</v>
      </c>
      <c r="P133" s="7" t="s">
        <v>2390</v>
      </c>
      <c r="Q133" s="7" t="s">
        <v>65</v>
      </c>
      <c r="R133" s="7" t="s">
        <v>83</v>
      </c>
      <c r="S133" s="7" t="s">
        <v>83</v>
      </c>
      <c r="T133" s="7"/>
      <c r="U133" s="11">
        <f t="shared" si="8"/>
        <v>2048</v>
      </c>
      <c r="V133" s="11">
        <f t="shared" si="9"/>
        <v>1741</v>
      </c>
      <c r="W133" s="11">
        <f t="shared" si="10"/>
        <v>307</v>
      </c>
      <c r="X133" t="str">
        <f t="shared" si="11"/>
        <v>Completed</v>
      </c>
    </row>
    <row r="134" spans="1:24" ht="12.5" x14ac:dyDescent="0.25">
      <c r="A134" s="2" t="s">
        <v>598</v>
      </c>
      <c r="B134" s="2" t="s">
        <v>599</v>
      </c>
      <c r="C134" s="2" t="s">
        <v>600</v>
      </c>
      <c r="D134" s="7" t="s">
        <v>601</v>
      </c>
      <c r="E134" s="7" t="s">
        <v>116</v>
      </c>
      <c r="F134" s="7" t="s">
        <v>117</v>
      </c>
      <c r="G134" s="5">
        <v>3547</v>
      </c>
      <c r="H134" s="5">
        <v>35</v>
      </c>
      <c r="I134" s="5">
        <v>2306</v>
      </c>
      <c r="J134" s="5">
        <v>3</v>
      </c>
      <c r="K134" s="2" t="s">
        <v>32</v>
      </c>
      <c r="L134" s="7" t="s">
        <v>209</v>
      </c>
      <c r="M134" s="4">
        <v>4.7</v>
      </c>
      <c r="N134" s="5">
        <v>295</v>
      </c>
      <c r="O134" s="3">
        <v>45789</v>
      </c>
      <c r="P134" s="7" t="s">
        <v>2391</v>
      </c>
      <c r="Q134" s="7" t="s">
        <v>29</v>
      </c>
      <c r="R134" s="7" t="s">
        <v>83</v>
      </c>
      <c r="S134" s="7" t="s">
        <v>83</v>
      </c>
      <c r="T134" s="7" t="s">
        <v>134</v>
      </c>
      <c r="U134" s="11">
        <f t="shared" si="8"/>
        <v>10641</v>
      </c>
      <c r="V134" s="11">
        <f t="shared" si="9"/>
        <v>6918</v>
      </c>
      <c r="W134" s="11">
        <f t="shared" si="10"/>
        <v>3723</v>
      </c>
      <c r="X134" t="str">
        <f t="shared" si="11"/>
        <v>Returned</v>
      </c>
    </row>
    <row r="135" spans="1:24" ht="12.5" x14ac:dyDescent="0.25">
      <c r="A135" s="2" t="s">
        <v>602</v>
      </c>
      <c r="B135" s="2" t="s">
        <v>603</v>
      </c>
      <c r="C135" s="2" t="s">
        <v>604</v>
      </c>
      <c r="D135" s="7" t="s">
        <v>605</v>
      </c>
      <c r="E135" s="7" t="s">
        <v>147</v>
      </c>
      <c r="F135" s="7" t="s">
        <v>148</v>
      </c>
      <c r="G135" s="5">
        <v>2466</v>
      </c>
      <c r="H135" s="5">
        <v>20</v>
      </c>
      <c r="I135" s="5">
        <v>1973</v>
      </c>
      <c r="J135" s="5">
        <v>1</v>
      </c>
      <c r="K135" s="2" t="s">
        <v>26</v>
      </c>
      <c r="L135" s="7" t="s">
        <v>103</v>
      </c>
      <c r="M135" s="4">
        <v>4.7</v>
      </c>
      <c r="N135" s="5">
        <v>25</v>
      </c>
      <c r="O135" s="3">
        <v>45820</v>
      </c>
      <c r="P135" s="7" t="s">
        <v>2390</v>
      </c>
      <c r="Q135" s="7" t="s">
        <v>29</v>
      </c>
      <c r="R135" s="7" t="s">
        <v>30</v>
      </c>
      <c r="S135" s="7" t="s">
        <v>31</v>
      </c>
      <c r="T135" s="7"/>
      <c r="U135" s="11">
        <f t="shared" si="8"/>
        <v>2466</v>
      </c>
      <c r="V135" s="11">
        <f t="shared" si="9"/>
        <v>1973</v>
      </c>
      <c r="W135" s="11">
        <f t="shared" si="10"/>
        <v>493</v>
      </c>
      <c r="X135" t="str">
        <f t="shared" si="11"/>
        <v>Completed</v>
      </c>
    </row>
    <row r="136" spans="1:24" ht="12.5" x14ac:dyDescent="0.25">
      <c r="A136" s="2" t="s">
        <v>606</v>
      </c>
      <c r="B136" s="2" t="s">
        <v>607</v>
      </c>
      <c r="C136" s="2" t="s">
        <v>608</v>
      </c>
      <c r="D136" s="7" t="s">
        <v>609</v>
      </c>
      <c r="E136" s="7" t="s">
        <v>122</v>
      </c>
      <c r="F136" s="7" t="s">
        <v>123</v>
      </c>
      <c r="G136" s="5">
        <v>4294</v>
      </c>
      <c r="H136" s="5">
        <v>25</v>
      </c>
      <c r="I136" s="5">
        <v>3221</v>
      </c>
      <c r="J136" s="5">
        <v>2</v>
      </c>
      <c r="K136" s="2" t="s">
        <v>26</v>
      </c>
      <c r="L136" s="7" t="s">
        <v>103</v>
      </c>
      <c r="M136" s="4">
        <v>4.5</v>
      </c>
      <c r="N136" s="5">
        <v>232</v>
      </c>
      <c r="O136" s="3">
        <v>45792</v>
      </c>
      <c r="P136" s="7" t="s">
        <v>2390</v>
      </c>
      <c r="Q136" s="7" t="s">
        <v>78</v>
      </c>
      <c r="R136" s="7" t="s">
        <v>41</v>
      </c>
      <c r="S136" s="7" t="s">
        <v>42</v>
      </c>
      <c r="T136" s="7"/>
      <c r="U136" s="11">
        <f t="shared" si="8"/>
        <v>8588</v>
      </c>
      <c r="V136" s="11">
        <f t="shared" si="9"/>
        <v>6442</v>
      </c>
      <c r="W136" s="11">
        <f t="shared" si="10"/>
        <v>2146</v>
      </c>
      <c r="X136" t="str">
        <f t="shared" si="11"/>
        <v>Completed</v>
      </c>
    </row>
    <row r="137" spans="1:24" ht="12.5" x14ac:dyDescent="0.25">
      <c r="A137" s="2" t="s">
        <v>610</v>
      </c>
      <c r="B137" s="2" t="s">
        <v>611</v>
      </c>
      <c r="C137" s="2" t="s">
        <v>612</v>
      </c>
      <c r="D137" s="7" t="s">
        <v>613</v>
      </c>
      <c r="E137" s="7" t="s">
        <v>147</v>
      </c>
      <c r="F137" s="7" t="s">
        <v>148</v>
      </c>
      <c r="G137" s="5">
        <v>4286</v>
      </c>
      <c r="H137" s="5">
        <v>10</v>
      </c>
      <c r="I137" s="5">
        <v>3858</v>
      </c>
      <c r="J137" s="5">
        <v>3</v>
      </c>
      <c r="K137" s="2">
        <v>40</v>
      </c>
      <c r="L137" s="7" t="s">
        <v>133</v>
      </c>
      <c r="M137" s="4">
        <v>4.7</v>
      </c>
      <c r="N137" s="5">
        <v>107</v>
      </c>
      <c r="O137" s="3">
        <v>45827</v>
      </c>
      <c r="P137" s="7" t="s">
        <v>2392</v>
      </c>
      <c r="Q137" s="7" t="s">
        <v>78</v>
      </c>
      <c r="R137" s="7" t="s">
        <v>89</v>
      </c>
      <c r="S137" s="7" t="s">
        <v>90</v>
      </c>
      <c r="T137" s="7"/>
      <c r="U137" s="11">
        <f t="shared" si="8"/>
        <v>12858</v>
      </c>
      <c r="V137" s="11">
        <f t="shared" si="9"/>
        <v>11574</v>
      </c>
      <c r="W137" s="11">
        <f t="shared" si="10"/>
        <v>1284</v>
      </c>
      <c r="X137" t="str">
        <f t="shared" si="11"/>
        <v>Cancelled</v>
      </c>
    </row>
    <row r="138" spans="1:24" ht="12.5" x14ac:dyDescent="0.25">
      <c r="A138" s="2" t="s">
        <v>614</v>
      </c>
      <c r="B138" s="2" t="s">
        <v>589</v>
      </c>
      <c r="C138" s="2" t="s">
        <v>615</v>
      </c>
      <c r="D138" s="7" t="s">
        <v>616</v>
      </c>
      <c r="E138" s="7" t="s">
        <v>247</v>
      </c>
      <c r="F138" s="7" t="s">
        <v>248</v>
      </c>
      <c r="G138" s="5">
        <v>1592</v>
      </c>
      <c r="H138" s="5">
        <v>10</v>
      </c>
      <c r="I138" s="5">
        <v>1433</v>
      </c>
      <c r="J138" s="5">
        <v>1</v>
      </c>
      <c r="K138" s="2" t="s">
        <v>72</v>
      </c>
      <c r="L138" s="7" t="s">
        <v>133</v>
      </c>
      <c r="M138" s="4">
        <v>4.8</v>
      </c>
      <c r="N138" s="5">
        <v>17</v>
      </c>
      <c r="O138" s="3">
        <v>45774</v>
      </c>
      <c r="P138" s="7" t="s">
        <v>2391</v>
      </c>
      <c r="Q138" s="7" t="s">
        <v>65</v>
      </c>
      <c r="R138" s="7" t="s">
        <v>149</v>
      </c>
      <c r="S138" s="7" t="s">
        <v>150</v>
      </c>
      <c r="T138" s="7" t="s">
        <v>134</v>
      </c>
      <c r="U138" s="11">
        <f t="shared" si="8"/>
        <v>1592</v>
      </c>
      <c r="V138" s="11">
        <f t="shared" si="9"/>
        <v>1433</v>
      </c>
      <c r="W138" s="11">
        <f t="shared" si="10"/>
        <v>159</v>
      </c>
      <c r="X138" t="str">
        <f t="shared" si="11"/>
        <v>Returned</v>
      </c>
    </row>
    <row r="139" spans="1:24" ht="12.5" x14ac:dyDescent="0.25">
      <c r="A139" s="2" t="s">
        <v>617</v>
      </c>
      <c r="B139" s="2" t="s">
        <v>618</v>
      </c>
      <c r="C139" s="2" t="s">
        <v>619</v>
      </c>
      <c r="D139" s="7" t="s">
        <v>620</v>
      </c>
      <c r="E139" s="7" t="s">
        <v>208</v>
      </c>
      <c r="F139" s="7" t="s">
        <v>117</v>
      </c>
      <c r="G139" s="5">
        <v>3202</v>
      </c>
      <c r="H139" s="5">
        <v>35</v>
      </c>
      <c r="I139" s="5">
        <v>2082</v>
      </c>
      <c r="J139" s="5">
        <v>1</v>
      </c>
      <c r="K139" s="2" t="s">
        <v>226</v>
      </c>
      <c r="L139" s="7" t="s">
        <v>88</v>
      </c>
      <c r="M139" s="4">
        <v>3.8</v>
      </c>
      <c r="N139" s="5">
        <v>191</v>
      </c>
      <c r="O139" s="3">
        <v>45828</v>
      </c>
      <c r="P139" s="7" t="s">
        <v>2392</v>
      </c>
      <c r="Q139" s="7" t="s">
        <v>65</v>
      </c>
      <c r="R139" s="7" t="s">
        <v>83</v>
      </c>
      <c r="S139" s="7" t="s">
        <v>83</v>
      </c>
      <c r="T139" s="7"/>
      <c r="U139" s="11">
        <f t="shared" si="8"/>
        <v>3202</v>
      </c>
      <c r="V139" s="11">
        <f t="shared" si="9"/>
        <v>2082</v>
      </c>
      <c r="W139" s="11">
        <f t="shared" si="10"/>
        <v>1120</v>
      </c>
      <c r="X139" t="str">
        <f t="shared" si="11"/>
        <v>Cancelled</v>
      </c>
    </row>
    <row r="140" spans="1:24" ht="12.5" x14ac:dyDescent="0.25">
      <c r="A140" s="2" t="s">
        <v>621</v>
      </c>
      <c r="B140" s="2" t="s">
        <v>622</v>
      </c>
      <c r="C140" s="2" t="s">
        <v>623</v>
      </c>
      <c r="D140" s="7" t="s">
        <v>624</v>
      </c>
      <c r="E140" s="7" t="s">
        <v>24</v>
      </c>
      <c r="F140" s="7" t="s">
        <v>25</v>
      </c>
      <c r="G140" s="5">
        <v>1909</v>
      </c>
      <c r="H140" s="5">
        <v>10</v>
      </c>
      <c r="I140" s="5">
        <v>1719</v>
      </c>
      <c r="J140" s="5">
        <v>2</v>
      </c>
      <c r="K140" s="2">
        <v>44</v>
      </c>
      <c r="L140" s="7" t="s">
        <v>39</v>
      </c>
      <c r="M140" s="4">
        <v>4.7</v>
      </c>
      <c r="N140" s="5">
        <v>238</v>
      </c>
      <c r="O140" s="3">
        <v>45816</v>
      </c>
      <c r="P140" s="7" t="s">
        <v>2391</v>
      </c>
      <c r="Q140" s="7" t="s">
        <v>65</v>
      </c>
      <c r="R140" s="7" t="s">
        <v>104</v>
      </c>
      <c r="S140" s="7" t="s">
        <v>105</v>
      </c>
      <c r="T140" s="7" t="s">
        <v>50</v>
      </c>
      <c r="U140" s="11">
        <f t="shared" si="8"/>
        <v>3818</v>
      </c>
      <c r="V140" s="11">
        <f t="shared" si="9"/>
        <v>3438</v>
      </c>
      <c r="W140" s="11">
        <f t="shared" si="10"/>
        <v>380</v>
      </c>
      <c r="X140" t="str">
        <f t="shared" si="11"/>
        <v>Returned</v>
      </c>
    </row>
    <row r="141" spans="1:24" ht="12.5" x14ac:dyDescent="0.25">
      <c r="A141" s="2" t="s">
        <v>625</v>
      </c>
      <c r="B141" s="2" t="s">
        <v>626</v>
      </c>
      <c r="C141" s="2" t="s">
        <v>627</v>
      </c>
      <c r="D141" s="7" t="s">
        <v>628</v>
      </c>
      <c r="E141" s="7" t="s">
        <v>247</v>
      </c>
      <c r="F141" s="7" t="s">
        <v>248</v>
      </c>
      <c r="G141" s="5">
        <v>948</v>
      </c>
      <c r="H141" s="5">
        <v>40</v>
      </c>
      <c r="I141" s="5">
        <v>569</v>
      </c>
      <c r="J141" s="5">
        <v>1</v>
      </c>
      <c r="K141" s="2" t="s">
        <v>56</v>
      </c>
      <c r="L141" s="7" t="s">
        <v>209</v>
      </c>
      <c r="M141" s="4">
        <v>4.2</v>
      </c>
      <c r="N141" s="5">
        <v>45</v>
      </c>
      <c r="O141" s="3">
        <v>45788</v>
      </c>
      <c r="P141" s="7" t="s">
        <v>2391</v>
      </c>
      <c r="Q141" s="7" t="s">
        <v>29</v>
      </c>
      <c r="R141" s="7" t="s">
        <v>89</v>
      </c>
      <c r="S141" s="7" t="s">
        <v>90</v>
      </c>
      <c r="T141" s="7" t="s">
        <v>50</v>
      </c>
      <c r="U141" s="11">
        <f t="shared" si="8"/>
        <v>948</v>
      </c>
      <c r="V141" s="11">
        <f t="shared" si="9"/>
        <v>569</v>
      </c>
      <c r="W141" s="11">
        <f t="shared" si="10"/>
        <v>379</v>
      </c>
      <c r="X141" t="str">
        <f t="shared" si="11"/>
        <v>Returned</v>
      </c>
    </row>
    <row r="142" spans="1:24" ht="12.5" x14ac:dyDescent="0.25">
      <c r="A142" s="2" t="s">
        <v>629</v>
      </c>
      <c r="B142" s="2" t="s">
        <v>630</v>
      </c>
      <c r="C142" s="2" t="s">
        <v>631</v>
      </c>
      <c r="D142" s="7" t="s">
        <v>632</v>
      </c>
      <c r="E142" s="7" t="s">
        <v>147</v>
      </c>
      <c r="F142" s="7" t="s">
        <v>148</v>
      </c>
      <c r="G142" s="5">
        <v>936</v>
      </c>
      <c r="H142" s="5">
        <v>35</v>
      </c>
      <c r="I142" s="5">
        <v>609</v>
      </c>
      <c r="J142" s="5">
        <v>3</v>
      </c>
      <c r="K142" s="2" t="s">
        <v>261</v>
      </c>
      <c r="L142" s="7" t="s">
        <v>64</v>
      </c>
      <c r="M142" s="4">
        <v>5</v>
      </c>
      <c r="N142" s="5">
        <v>114</v>
      </c>
      <c r="O142" s="3">
        <v>45810</v>
      </c>
      <c r="P142" s="7" t="s">
        <v>2391</v>
      </c>
      <c r="Q142" s="7" t="s">
        <v>78</v>
      </c>
      <c r="R142" s="7" t="s">
        <v>89</v>
      </c>
      <c r="S142" s="7" t="s">
        <v>90</v>
      </c>
      <c r="T142" s="7" t="s">
        <v>43</v>
      </c>
      <c r="U142" s="11">
        <f t="shared" si="8"/>
        <v>2808</v>
      </c>
      <c r="V142" s="11">
        <f t="shared" si="9"/>
        <v>1827</v>
      </c>
      <c r="W142" s="11">
        <f t="shared" si="10"/>
        <v>981</v>
      </c>
      <c r="X142" t="str">
        <f t="shared" si="11"/>
        <v>Returned</v>
      </c>
    </row>
    <row r="143" spans="1:24" ht="12.5" x14ac:dyDescent="0.25">
      <c r="A143" s="2" t="s">
        <v>633</v>
      </c>
      <c r="B143" s="2" t="s">
        <v>634</v>
      </c>
      <c r="C143" s="2" t="s">
        <v>405</v>
      </c>
      <c r="D143" s="7" t="s">
        <v>635</v>
      </c>
      <c r="E143" s="7" t="s">
        <v>48</v>
      </c>
      <c r="F143" s="7" t="s">
        <v>25</v>
      </c>
      <c r="G143" s="5">
        <v>3969</v>
      </c>
      <c r="H143" s="5">
        <v>35</v>
      </c>
      <c r="I143" s="5">
        <v>2580</v>
      </c>
      <c r="J143" s="5">
        <v>3</v>
      </c>
      <c r="K143" s="2" t="s">
        <v>26</v>
      </c>
      <c r="L143" s="7" t="s">
        <v>133</v>
      </c>
      <c r="M143" s="4">
        <v>4.0999999999999996</v>
      </c>
      <c r="N143" s="5">
        <v>151</v>
      </c>
      <c r="O143" s="3">
        <v>45858</v>
      </c>
      <c r="P143" s="7" t="s">
        <v>2391</v>
      </c>
      <c r="Q143" s="7" t="s">
        <v>65</v>
      </c>
      <c r="R143" s="7" t="s">
        <v>89</v>
      </c>
      <c r="S143" s="7" t="s">
        <v>90</v>
      </c>
      <c r="T143" s="7" t="s">
        <v>43</v>
      </c>
      <c r="U143" s="11">
        <f t="shared" si="8"/>
        <v>11907</v>
      </c>
      <c r="V143" s="11">
        <f t="shared" si="9"/>
        <v>7740</v>
      </c>
      <c r="W143" s="11">
        <f t="shared" si="10"/>
        <v>4167</v>
      </c>
      <c r="X143" t="str">
        <f t="shared" si="11"/>
        <v>Returned</v>
      </c>
    </row>
    <row r="144" spans="1:24" ht="12.5" x14ac:dyDescent="0.25">
      <c r="A144" s="2" t="s">
        <v>636</v>
      </c>
      <c r="B144" s="2" t="s">
        <v>637</v>
      </c>
      <c r="C144" s="2" t="s">
        <v>638</v>
      </c>
      <c r="D144" s="7" t="s">
        <v>639</v>
      </c>
      <c r="E144" s="7" t="s">
        <v>55</v>
      </c>
      <c r="F144" s="7" t="s">
        <v>38</v>
      </c>
      <c r="G144" s="5">
        <v>3372</v>
      </c>
      <c r="H144" s="5">
        <v>35</v>
      </c>
      <c r="I144" s="5">
        <v>2192</v>
      </c>
      <c r="J144" s="5">
        <v>3</v>
      </c>
      <c r="K144" s="2" t="s">
        <v>32</v>
      </c>
      <c r="L144" s="7" t="s">
        <v>39</v>
      </c>
      <c r="M144" s="4">
        <v>4.7</v>
      </c>
      <c r="N144" s="5">
        <v>25</v>
      </c>
      <c r="O144" s="3">
        <v>45846</v>
      </c>
      <c r="P144" s="7" t="s">
        <v>2392</v>
      </c>
      <c r="Q144" s="7" t="s">
        <v>78</v>
      </c>
      <c r="R144" s="7" t="s">
        <v>185</v>
      </c>
      <c r="S144" s="7" t="s">
        <v>186</v>
      </c>
      <c r="T144" s="7"/>
      <c r="U144" s="11">
        <f t="shared" si="8"/>
        <v>10116</v>
      </c>
      <c r="V144" s="11">
        <f t="shared" si="9"/>
        <v>6576</v>
      </c>
      <c r="W144" s="11">
        <f t="shared" si="10"/>
        <v>3540</v>
      </c>
      <c r="X144" t="str">
        <f t="shared" si="11"/>
        <v>Cancelled</v>
      </c>
    </row>
    <row r="145" spans="1:24" ht="12.5" x14ac:dyDescent="0.25">
      <c r="A145" s="2" t="s">
        <v>640</v>
      </c>
      <c r="B145" s="2" t="s">
        <v>329</v>
      </c>
      <c r="C145" s="2" t="s">
        <v>641</v>
      </c>
      <c r="D145" s="7" t="s">
        <v>642</v>
      </c>
      <c r="E145" s="7" t="s">
        <v>116</v>
      </c>
      <c r="F145" s="7" t="s">
        <v>117</v>
      </c>
      <c r="G145" s="5">
        <v>1755</v>
      </c>
      <c r="H145" s="5">
        <v>40</v>
      </c>
      <c r="I145" s="5">
        <v>1053</v>
      </c>
      <c r="J145" s="5">
        <v>3</v>
      </c>
      <c r="K145" s="2">
        <v>42</v>
      </c>
      <c r="L145" s="7" t="s">
        <v>27</v>
      </c>
      <c r="M145" s="4">
        <v>4.3</v>
      </c>
      <c r="N145" s="5">
        <v>111</v>
      </c>
      <c r="O145" s="3">
        <v>45827</v>
      </c>
      <c r="P145" s="7" t="s">
        <v>2392</v>
      </c>
      <c r="Q145" s="7" t="s">
        <v>78</v>
      </c>
      <c r="R145" s="7" t="s">
        <v>185</v>
      </c>
      <c r="S145" s="7" t="s">
        <v>186</v>
      </c>
      <c r="T145" s="7"/>
      <c r="U145" s="11">
        <f t="shared" si="8"/>
        <v>5265</v>
      </c>
      <c r="V145" s="11">
        <f t="shared" si="9"/>
        <v>3159</v>
      </c>
      <c r="W145" s="11">
        <f t="shared" si="10"/>
        <v>2106</v>
      </c>
      <c r="X145" t="str">
        <f t="shared" si="11"/>
        <v>Cancelled</v>
      </c>
    </row>
    <row r="146" spans="1:24" ht="12.5" x14ac:dyDescent="0.25">
      <c r="A146" s="2" t="s">
        <v>643</v>
      </c>
      <c r="B146" s="2" t="s">
        <v>644</v>
      </c>
      <c r="C146" s="2" t="s">
        <v>645</v>
      </c>
      <c r="D146" s="7" t="s">
        <v>646</v>
      </c>
      <c r="E146" s="7" t="s">
        <v>24</v>
      </c>
      <c r="F146" s="7" t="s">
        <v>25</v>
      </c>
      <c r="G146" s="5">
        <v>3448</v>
      </c>
      <c r="H146" s="5">
        <v>30</v>
      </c>
      <c r="I146" s="5">
        <v>2414</v>
      </c>
      <c r="J146" s="5">
        <v>3</v>
      </c>
      <c r="K146" s="2">
        <v>42</v>
      </c>
      <c r="L146" s="7" t="s">
        <v>73</v>
      </c>
      <c r="M146" s="4">
        <v>4.0999999999999996</v>
      </c>
      <c r="N146" s="5">
        <v>181</v>
      </c>
      <c r="O146" s="3">
        <v>45819</v>
      </c>
      <c r="P146" s="7" t="s">
        <v>2390</v>
      </c>
      <c r="Q146" s="7" t="s">
        <v>65</v>
      </c>
      <c r="R146" s="7" t="s">
        <v>104</v>
      </c>
      <c r="S146" s="7" t="s">
        <v>105</v>
      </c>
      <c r="T146" s="7"/>
      <c r="U146" s="11">
        <f t="shared" si="8"/>
        <v>10344</v>
      </c>
      <c r="V146" s="11">
        <f t="shared" si="9"/>
        <v>7242</v>
      </c>
      <c r="W146" s="11">
        <f t="shared" si="10"/>
        <v>3102</v>
      </c>
      <c r="X146" t="str">
        <f t="shared" si="11"/>
        <v>Completed</v>
      </c>
    </row>
    <row r="147" spans="1:24" ht="12.5" x14ac:dyDescent="0.25">
      <c r="A147" s="2" t="s">
        <v>647</v>
      </c>
      <c r="B147" s="2" t="s">
        <v>648</v>
      </c>
      <c r="C147" s="2" t="s">
        <v>649</v>
      </c>
      <c r="D147" s="7" t="s">
        <v>650</v>
      </c>
      <c r="E147" s="7" t="s">
        <v>132</v>
      </c>
      <c r="F147" s="7" t="s">
        <v>38</v>
      </c>
      <c r="G147" s="5">
        <v>1018</v>
      </c>
      <c r="H147" s="5">
        <v>25</v>
      </c>
      <c r="I147" s="5">
        <v>764</v>
      </c>
      <c r="J147" s="5">
        <v>3</v>
      </c>
      <c r="K147" s="2">
        <v>40</v>
      </c>
      <c r="L147" s="7" t="s">
        <v>88</v>
      </c>
      <c r="M147" s="4">
        <v>4.3</v>
      </c>
      <c r="N147" s="5">
        <v>53</v>
      </c>
      <c r="O147" s="3">
        <v>45848</v>
      </c>
      <c r="P147" s="7" t="s">
        <v>2390</v>
      </c>
      <c r="Q147" s="7" t="s">
        <v>78</v>
      </c>
      <c r="R147" s="7" t="s">
        <v>104</v>
      </c>
      <c r="S147" s="7" t="s">
        <v>105</v>
      </c>
      <c r="T147" s="7"/>
      <c r="U147" s="11">
        <f t="shared" si="8"/>
        <v>3054</v>
      </c>
      <c r="V147" s="11">
        <f t="shared" si="9"/>
        <v>2292</v>
      </c>
      <c r="W147" s="11">
        <f t="shared" si="10"/>
        <v>762</v>
      </c>
      <c r="X147" t="str">
        <f t="shared" si="11"/>
        <v>Completed</v>
      </c>
    </row>
    <row r="148" spans="1:24" ht="12.5" x14ac:dyDescent="0.25">
      <c r="A148" s="2" t="s">
        <v>651</v>
      </c>
      <c r="B148" s="2" t="s">
        <v>178</v>
      </c>
      <c r="C148" s="2" t="s">
        <v>652</v>
      </c>
      <c r="D148" s="7" t="s">
        <v>653</v>
      </c>
      <c r="E148" s="7" t="s">
        <v>48</v>
      </c>
      <c r="F148" s="7" t="s">
        <v>25</v>
      </c>
      <c r="G148" s="5">
        <v>4946</v>
      </c>
      <c r="H148" s="5">
        <v>35</v>
      </c>
      <c r="I148" s="5">
        <v>3215</v>
      </c>
      <c r="J148" s="5">
        <v>1</v>
      </c>
      <c r="K148" s="2" t="s">
        <v>26</v>
      </c>
      <c r="L148" s="7" t="s">
        <v>209</v>
      </c>
      <c r="M148" s="4">
        <v>4.4000000000000004</v>
      </c>
      <c r="N148" s="5">
        <v>155</v>
      </c>
      <c r="O148" s="3">
        <v>45816</v>
      </c>
      <c r="P148" s="7" t="s">
        <v>2392</v>
      </c>
      <c r="Q148" s="7" t="s">
        <v>65</v>
      </c>
      <c r="R148" s="7" t="s">
        <v>30</v>
      </c>
      <c r="S148" s="7" t="s">
        <v>31</v>
      </c>
      <c r="T148" s="7"/>
      <c r="U148" s="11">
        <f t="shared" si="8"/>
        <v>4946</v>
      </c>
      <c r="V148" s="11">
        <f t="shared" si="9"/>
        <v>3215</v>
      </c>
      <c r="W148" s="11">
        <f t="shared" si="10"/>
        <v>1731</v>
      </c>
      <c r="X148" t="str">
        <f t="shared" si="11"/>
        <v>Cancelled</v>
      </c>
    </row>
    <row r="149" spans="1:24" ht="12.5" x14ac:dyDescent="0.25">
      <c r="A149" s="2" t="s">
        <v>654</v>
      </c>
      <c r="B149" s="2" t="s">
        <v>655</v>
      </c>
      <c r="C149" s="2" t="s">
        <v>656</v>
      </c>
      <c r="D149" s="7" t="s">
        <v>657</v>
      </c>
      <c r="E149" s="7" t="s">
        <v>24</v>
      </c>
      <c r="F149" s="7" t="s">
        <v>25</v>
      </c>
      <c r="G149" s="5">
        <v>1763</v>
      </c>
      <c r="H149" s="5">
        <v>25</v>
      </c>
      <c r="I149" s="5">
        <v>1323</v>
      </c>
      <c r="J149" s="5">
        <v>1</v>
      </c>
      <c r="K149" s="2" t="s">
        <v>32</v>
      </c>
      <c r="L149" s="7" t="s">
        <v>73</v>
      </c>
      <c r="M149" s="4">
        <v>4.0999999999999996</v>
      </c>
      <c r="N149" s="5">
        <v>157</v>
      </c>
      <c r="O149" s="3">
        <v>45828</v>
      </c>
      <c r="P149" s="7" t="s">
        <v>2390</v>
      </c>
      <c r="Q149" s="7" t="s">
        <v>78</v>
      </c>
      <c r="R149" s="7" t="s">
        <v>58</v>
      </c>
      <c r="S149" s="7" t="s">
        <v>59</v>
      </c>
      <c r="T149" s="7"/>
      <c r="U149" s="11">
        <f t="shared" si="8"/>
        <v>1763</v>
      </c>
      <c r="V149" s="11">
        <f t="shared" si="9"/>
        <v>1323</v>
      </c>
      <c r="W149" s="11">
        <f t="shared" si="10"/>
        <v>440</v>
      </c>
      <c r="X149" t="str">
        <f t="shared" si="11"/>
        <v>Completed</v>
      </c>
    </row>
    <row r="150" spans="1:24" ht="12.5" x14ac:dyDescent="0.25">
      <c r="A150" s="2" t="s">
        <v>658</v>
      </c>
      <c r="B150" s="2" t="s">
        <v>659</v>
      </c>
      <c r="C150" s="2" t="s">
        <v>660</v>
      </c>
      <c r="D150" s="7" t="s">
        <v>661</v>
      </c>
      <c r="E150" s="7" t="s">
        <v>208</v>
      </c>
      <c r="F150" s="7" t="s">
        <v>117</v>
      </c>
      <c r="G150" s="5">
        <v>2968</v>
      </c>
      <c r="H150" s="5">
        <v>30</v>
      </c>
      <c r="I150" s="5">
        <v>2078</v>
      </c>
      <c r="J150" s="5">
        <v>2</v>
      </c>
      <c r="K150" s="2" t="s">
        <v>56</v>
      </c>
      <c r="L150" s="7" t="s">
        <v>103</v>
      </c>
      <c r="M150" s="4">
        <v>3.9</v>
      </c>
      <c r="N150" s="5">
        <v>37</v>
      </c>
      <c r="O150" s="3">
        <v>45820</v>
      </c>
      <c r="P150" s="7" t="s">
        <v>2391</v>
      </c>
      <c r="Q150" s="7" t="s">
        <v>29</v>
      </c>
      <c r="R150" s="7" t="s">
        <v>58</v>
      </c>
      <c r="S150" s="7" t="s">
        <v>59</v>
      </c>
      <c r="T150" s="7" t="s">
        <v>203</v>
      </c>
      <c r="U150" s="11">
        <f t="shared" si="8"/>
        <v>5936</v>
      </c>
      <c r="V150" s="11">
        <f t="shared" si="9"/>
        <v>4156</v>
      </c>
      <c r="W150" s="11">
        <f t="shared" si="10"/>
        <v>1780</v>
      </c>
      <c r="X150" t="str">
        <f t="shared" si="11"/>
        <v>Returned</v>
      </c>
    </row>
    <row r="151" spans="1:24" ht="12.5" x14ac:dyDescent="0.25">
      <c r="A151" s="2" t="s">
        <v>662</v>
      </c>
      <c r="B151" s="2" t="s">
        <v>663</v>
      </c>
      <c r="C151" s="2" t="s">
        <v>664</v>
      </c>
      <c r="D151" s="7" t="s">
        <v>665</v>
      </c>
      <c r="E151" s="7" t="s">
        <v>48</v>
      </c>
      <c r="F151" s="7" t="s">
        <v>25</v>
      </c>
      <c r="G151" s="5">
        <v>1554</v>
      </c>
      <c r="H151" s="5">
        <v>15</v>
      </c>
      <c r="I151" s="5">
        <v>1321</v>
      </c>
      <c r="J151" s="5">
        <v>2</v>
      </c>
      <c r="K151" s="2" t="s">
        <v>226</v>
      </c>
      <c r="L151" s="7" t="s">
        <v>64</v>
      </c>
      <c r="M151" s="4">
        <v>3.7</v>
      </c>
      <c r="N151" s="5">
        <v>56</v>
      </c>
      <c r="O151" s="3">
        <v>45850</v>
      </c>
      <c r="P151" s="7" t="s">
        <v>2392</v>
      </c>
      <c r="Q151" s="7" t="s">
        <v>29</v>
      </c>
      <c r="R151" s="7" t="s">
        <v>41</v>
      </c>
      <c r="S151" s="7" t="s">
        <v>42</v>
      </c>
      <c r="T151" s="7"/>
      <c r="U151" s="11">
        <f t="shared" si="8"/>
        <v>3108</v>
      </c>
      <c r="V151" s="11">
        <f t="shared" si="9"/>
        <v>2642</v>
      </c>
      <c r="W151" s="11">
        <f t="shared" si="10"/>
        <v>466</v>
      </c>
      <c r="X151" t="str">
        <f t="shared" si="11"/>
        <v>Cancelled</v>
      </c>
    </row>
    <row r="152" spans="1:24" ht="12.5" x14ac:dyDescent="0.25">
      <c r="A152" s="2" t="s">
        <v>666</v>
      </c>
      <c r="B152" s="2" t="s">
        <v>607</v>
      </c>
      <c r="C152" s="2" t="s">
        <v>667</v>
      </c>
      <c r="D152" s="7" t="s">
        <v>668</v>
      </c>
      <c r="E152" s="7" t="s">
        <v>24</v>
      </c>
      <c r="F152" s="7" t="s">
        <v>25</v>
      </c>
      <c r="G152" s="5">
        <v>2899</v>
      </c>
      <c r="H152" s="5">
        <v>25</v>
      </c>
      <c r="I152" s="5">
        <v>2175</v>
      </c>
      <c r="J152" s="5">
        <v>2</v>
      </c>
      <c r="K152" s="2" t="s">
        <v>163</v>
      </c>
      <c r="L152" s="7" t="s">
        <v>168</v>
      </c>
      <c r="M152" s="4">
        <v>4.5</v>
      </c>
      <c r="N152" s="5">
        <v>273</v>
      </c>
      <c r="O152" s="3">
        <v>45795</v>
      </c>
      <c r="P152" s="7" t="s">
        <v>2391</v>
      </c>
      <c r="Q152" s="7" t="s">
        <v>78</v>
      </c>
      <c r="R152" s="7" t="s">
        <v>89</v>
      </c>
      <c r="S152" s="7" t="s">
        <v>90</v>
      </c>
      <c r="T152" s="7" t="s">
        <v>203</v>
      </c>
      <c r="U152" s="11">
        <f t="shared" si="8"/>
        <v>5798</v>
      </c>
      <c r="V152" s="11">
        <f t="shared" si="9"/>
        <v>4350</v>
      </c>
      <c r="W152" s="11">
        <f t="shared" si="10"/>
        <v>1448</v>
      </c>
      <c r="X152" t="str">
        <f t="shared" si="11"/>
        <v>Returned</v>
      </c>
    </row>
    <row r="153" spans="1:24" ht="12.5" x14ac:dyDescent="0.25">
      <c r="A153" s="2" t="s">
        <v>669</v>
      </c>
      <c r="B153" s="2" t="s">
        <v>670</v>
      </c>
      <c r="C153" s="2" t="s">
        <v>671</v>
      </c>
      <c r="D153" s="7" t="s">
        <v>672</v>
      </c>
      <c r="E153" s="7" t="s">
        <v>37</v>
      </c>
      <c r="F153" s="7" t="s">
        <v>38</v>
      </c>
      <c r="G153" s="5">
        <v>1987</v>
      </c>
      <c r="H153" s="5">
        <v>30</v>
      </c>
      <c r="I153" s="5">
        <v>1391</v>
      </c>
      <c r="J153" s="5">
        <v>2</v>
      </c>
      <c r="K153" s="2">
        <v>42</v>
      </c>
      <c r="L153" s="7" t="s">
        <v>168</v>
      </c>
      <c r="M153" s="4">
        <v>4.0999999999999996</v>
      </c>
      <c r="N153" s="5">
        <v>271</v>
      </c>
      <c r="O153" s="3">
        <v>45822</v>
      </c>
      <c r="P153" s="7" t="s">
        <v>2390</v>
      </c>
      <c r="Q153" s="7" t="s">
        <v>78</v>
      </c>
      <c r="R153" s="7" t="s">
        <v>185</v>
      </c>
      <c r="S153" s="7" t="s">
        <v>186</v>
      </c>
      <c r="T153" s="7"/>
      <c r="U153" s="11">
        <f t="shared" si="8"/>
        <v>3974</v>
      </c>
      <c r="V153" s="11">
        <f t="shared" si="9"/>
        <v>2782</v>
      </c>
      <c r="W153" s="11">
        <f t="shared" si="10"/>
        <v>1192</v>
      </c>
      <c r="X153" t="str">
        <f t="shared" si="11"/>
        <v>Completed</v>
      </c>
    </row>
    <row r="154" spans="1:24" ht="12.5" x14ac:dyDescent="0.25">
      <c r="A154" s="2" t="s">
        <v>673</v>
      </c>
      <c r="B154" s="2" t="s">
        <v>637</v>
      </c>
      <c r="C154" s="2" t="s">
        <v>674</v>
      </c>
      <c r="D154" s="7" t="s">
        <v>675</v>
      </c>
      <c r="E154" s="7" t="s">
        <v>116</v>
      </c>
      <c r="F154" s="7" t="s">
        <v>117</v>
      </c>
      <c r="G154" s="5">
        <v>954</v>
      </c>
      <c r="H154" s="5">
        <v>30</v>
      </c>
      <c r="I154" s="5">
        <v>668</v>
      </c>
      <c r="J154" s="5">
        <v>1</v>
      </c>
      <c r="K154" s="2" t="s">
        <v>32</v>
      </c>
      <c r="L154" s="7" t="s">
        <v>103</v>
      </c>
      <c r="M154" s="4">
        <v>4.3</v>
      </c>
      <c r="N154" s="5">
        <v>72</v>
      </c>
      <c r="O154" s="3">
        <v>45839</v>
      </c>
      <c r="P154" s="7" t="s">
        <v>2391</v>
      </c>
      <c r="Q154" s="7" t="s">
        <v>78</v>
      </c>
      <c r="R154" s="7" t="s">
        <v>41</v>
      </c>
      <c r="S154" s="7" t="s">
        <v>42</v>
      </c>
      <c r="T154" s="7" t="s">
        <v>43</v>
      </c>
      <c r="U154" s="11">
        <f t="shared" si="8"/>
        <v>954</v>
      </c>
      <c r="V154" s="11">
        <f t="shared" si="9"/>
        <v>668</v>
      </c>
      <c r="W154" s="11">
        <f t="shared" si="10"/>
        <v>286</v>
      </c>
      <c r="X154" t="str">
        <f t="shared" si="11"/>
        <v>Returned</v>
      </c>
    </row>
    <row r="155" spans="1:24" ht="12.5" x14ac:dyDescent="0.25">
      <c r="A155" s="2" t="s">
        <v>676</v>
      </c>
      <c r="B155" s="2" t="s">
        <v>677</v>
      </c>
      <c r="C155" s="2" t="s">
        <v>678</v>
      </c>
      <c r="D155" s="7" t="s">
        <v>679</v>
      </c>
      <c r="E155" s="7" t="s">
        <v>147</v>
      </c>
      <c r="F155" s="7" t="s">
        <v>148</v>
      </c>
      <c r="G155" s="5">
        <v>1695</v>
      </c>
      <c r="H155" s="5">
        <v>10</v>
      </c>
      <c r="I155" s="5">
        <v>1526</v>
      </c>
      <c r="J155" s="5">
        <v>3</v>
      </c>
      <c r="K155" s="2" t="s">
        <v>32</v>
      </c>
      <c r="L155" s="7" t="s">
        <v>49</v>
      </c>
      <c r="M155" s="4">
        <v>5</v>
      </c>
      <c r="N155" s="5">
        <v>252</v>
      </c>
      <c r="O155" s="3">
        <v>45812</v>
      </c>
      <c r="P155" s="7" t="s">
        <v>2391</v>
      </c>
      <c r="Q155" s="7" t="s">
        <v>65</v>
      </c>
      <c r="R155" s="7" t="s">
        <v>58</v>
      </c>
      <c r="S155" s="7" t="s">
        <v>59</v>
      </c>
      <c r="T155" s="7" t="s">
        <v>134</v>
      </c>
      <c r="U155" s="11">
        <f t="shared" si="8"/>
        <v>5085</v>
      </c>
      <c r="V155" s="11">
        <f t="shared" si="9"/>
        <v>4578</v>
      </c>
      <c r="W155" s="11">
        <f t="shared" si="10"/>
        <v>507</v>
      </c>
      <c r="X155" t="str">
        <f t="shared" si="11"/>
        <v>Returned</v>
      </c>
    </row>
    <row r="156" spans="1:24" ht="12.5" x14ac:dyDescent="0.25">
      <c r="A156" s="2" t="s">
        <v>680</v>
      </c>
      <c r="B156" s="2" t="s">
        <v>681</v>
      </c>
      <c r="C156" s="2" t="s">
        <v>682</v>
      </c>
      <c r="D156" s="7" t="s">
        <v>683</v>
      </c>
      <c r="E156" s="7" t="s">
        <v>116</v>
      </c>
      <c r="F156" s="7" t="s">
        <v>117</v>
      </c>
      <c r="G156" s="5">
        <v>2838</v>
      </c>
      <c r="H156" s="5">
        <v>30</v>
      </c>
      <c r="I156" s="5">
        <v>1987</v>
      </c>
      <c r="J156" s="5">
        <v>2</v>
      </c>
      <c r="K156" s="2" t="s">
        <v>261</v>
      </c>
      <c r="L156" s="7" t="s">
        <v>88</v>
      </c>
      <c r="M156" s="4">
        <v>3.6</v>
      </c>
      <c r="N156" s="5">
        <v>159</v>
      </c>
      <c r="O156" s="3">
        <v>45799</v>
      </c>
      <c r="P156" s="7" t="s">
        <v>2392</v>
      </c>
      <c r="Q156" s="7" t="s">
        <v>29</v>
      </c>
      <c r="R156" s="7" t="s">
        <v>149</v>
      </c>
      <c r="S156" s="7" t="s">
        <v>150</v>
      </c>
      <c r="T156" s="7"/>
      <c r="U156" s="11">
        <f t="shared" si="8"/>
        <v>5676</v>
      </c>
      <c r="V156" s="11">
        <f t="shared" si="9"/>
        <v>3974</v>
      </c>
      <c r="W156" s="11">
        <f t="shared" si="10"/>
        <v>1702</v>
      </c>
      <c r="X156" t="str">
        <f t="shared" si="11"/>
        <v>Cancelled</v>
      </c>
    </row>
    <row r="157" spans="1:24" ht="12.5" x14ac:dyDescent="0.25">
      <c r="A157" s="2" t="s">
        <v>684</v>
      </c>
      <c r="B157" s="2" t="s">
        <v>685</v>
      </c>
      <c r="C157" s="2" t="s">
        <v>686</v>
      </c>
      <c r="D157" s="7" t="s">
        <v>687</v>
      </c>
      <c r="E157" s="7" t="s">
        <v>24</v>
      </c>
      <c r="F157" s="7" t="s">
        <v>25</v>
      </c>
      <c r="G157" s="5">
        <v>3559</v>
      </c>
      <c r="H157" s="5">
        <v>35</v>
      </c>
      <c r="I157" s="5">
        <v>2314</v>
      </c>
      <c r="J157" s="5">
        <v>3</v>
      </c>
      <c r="K157" s="2">
        <v>42</v>
      </c>
      <c r="L157" s="7" t="s">
        <v>133</v>
      </c>
      <c r="M157" s="4">
        <v>4.9000000000000004</v>
      </c>
      <c r="N157" s="5">
        <v>212</v>
      </c>
      <c r="O157" s="3">
        <v>45777</v>
      </c>
      <c r="P157" s="7" t="s">
        <v>2390</v>
      </c>
      <c r="Q157" s="7" t="s">
        <v>78</v>
      </c>
      <c r="R157" s="7" t="s">
        <v>58</v>
      </c>
      <c r="S157" s="7" t="s">
        <v>59</v>
      </c>
      <c r="T157" s="7"/>
      <c r="U157" s="11">
        <f t="shared" si="8"/>
        <v>10677</v>
      </c>
      <c r="V157" s="11">
        <f t="shared" si="9"/>
        <v>6942</v>
      </c>
      <c r="W157" s="11">
        <f t="shared" si="10"/>
        <v>3735</v>
      </c>
      <c r="X157" t="str">
        <f t="shared" si="11"/>
        <v>Completed</v>
      </c>
    </row>
    <row r="158" spans="1:24" ht="12.5" x14ac:dyDescent="0.25">
      <c r="A158" s="2" t="s">
        <v>688</v>
      </c>
      <c r="B158" s="2" t="s">
        <v>689</v>
      </c>
      <c r="C158" s="2" t="s">
        <v>690</v>
      </c>
      <c r="D158" s="7" t="s">
        <v>691</v>
      </c>
      <c r="E158" s="7" t="s">
        <v>24</v>
      </c>
      <c r="F158" s="7" t="s">
        <v>25</v>
      </c>
      <c r="G158" s="5">
        <v>1178</v>
      </c>
      <c r="H158" s="5">
        <v>10</v>
      </c>
      <c r="I158" s="5">
        <v>1061</v>
      </c>
      <c r="J158" s="5">
        <v>2</v>
      </c>
      <c r="K158" s="2">
        <v>40</v>
      </c>
      <c r="L158" s="7" t="s">
        <v>73</v>
      </c>
      <c r="M158" s="4">
        <v>4.3</v>
      </c>
      <c r="N158" s="5">
        <v>120</v>
      </c>
      <c r="O158" s="3">
        <v>45803</v>
      </c>
      <c r="P158" s="7" t="s">
        <v>2390</v>
      </c>
      <c r="Q158" s="7" t="s">
        <v>29</v>
      </c>
      <c r="R158" s="7" t="s">
        <v>83</v>
      </c>
      <c r="S158" s="7" t="s">
        <v>83</v>
      </c>
      <c r="T158" s="7"/>
      <c r="U158" s="11">
        <f t="shared" si="8"/>
        <v>2356</v>
      </c>
      <c r="V158" s="11">
        <f t="shared" si="9"/>
        <v>2122</v>
      </c>
      <c r="W158" s="11">
        <f t="shared" si="10"/>
        <v>234</v>
      </c>
      <c r="X158" t="str">
        <f t="shared" si="11"/>
        <v>Completed</v>
      </c>
    </row>
    <row r="159" spans="1:24" ht="12.5" x14ac:dyDescent="0.25">
      <c r="A159" s="2" t="s">
        <v>692</v>
      </c>
      <c r="B159" s="2" t="s">
        <v>693</v>
      </c>
      <c r="C159" s="2" t="s">
        <v>694</v>
      </c>
      <c r="D159" s="7" t="s">
        <v>695</v>
      </c>
      <c r="E159" s="7" t="s">
        <v>122</v>
      </c>
      <c r="F159" s="7" t="s">
        <v>123</v>
      </c>
      <c r="G159" s="5">
        <v>4085</v>
      </c>
      <c r="H159" s="5">
        <v>30</v>
      </c>
      <c r="I159" s="5">
        <v>2860</v>
      </c>
      <c r="J159" s="5">
        <v>1</v>
      </c>
      <c r="K159" s="2" t="s">
        <v>261</v>
      </c>
      <c r="L159" s="7" t="s">
        <v>27</v>
      </c>
      <c r="M159" s="4">
        <v>4.7</v>
      </c>
      <c r="N159" s="5">
        <v>271</v>
      </c>
      <c r="O159" s="3">
        <v>45849</v>
      </c>
      <c r="P159" s="7" t="s">
        <v>2390</v>
      </c>
      <c r="Q159" s="7" t="s">
        <v>65</v>
      </c>
      <c r="R159" s="7" t="s">
        <v>104</v>
      </c>
      <c r="S159" s="7" t="s">
        <v>105</v>
      </c>
      <c r="T159" s="7"/>
      <c r="U159" s="11">
        <f t="shared" si="8"/>
        <v>4085</v>
      </c>
      <c r="V159" s="11">
        <f t="shared" si="9"/>
        <v>2860</v>
      </c>
      <c r="W159" s="11">
        <f t="shared" si="10"/>
        <v>1225</v>
      </c>
      <c r="X159" t="str">
        <f t="shared" si="11"/>
        <v>Completed</v>
      </c>
    </row>
    <row r="160" spans="1:24" ht="12.5" x14ac:dyDescent="0.25">
      <c r="A160" s="2" t="s">
        <v>696</v>
      </c>
      <c r="B160" s="2" t="s">
        <v>697</v>
      </c>
      <c r="C160" s="2" t="s">
        <v>698</v>
      </c>
      <c r="D160" s="7" t="s">
        <v>699</v>
      </c>
      <c r="E160" s="7" t="s">
        <v>122</v>
      </c>
      <c r="F160" s="7" t="s">
        <v>123</v>
      </c>
      <c r="G160" s="5">
        <v>4007</v>
      </c>
      <c r="H160" s="5">
        <v>25</v>
      </c>
      <c r="I160" s="5">
        <v>3006</v>
      </c>
      <c r="J160" s="5">
        <v>2</v>
      </c>
      <c r="K160" s="2" t="s">
        <v>26</v>
      </c>
      <c r="L160" s="7" t="s">
        <v>27</v>
      </c>
      <c r="M160" s="4">
        <v>3.7</v>
      </c>
      <c r="N160" s="5">
        <v>187</v>
      </c>
      <c r="O160" s="3">
        <v>45786</v>
      </c>
      <c r="P160" s="7" t="s">
        <v>2390</v>
      </c>
      <c r="Q160" s="7" t="s">
        <v>29</v>
      </c>
      <c r="R160" s="7" t="s">
        <v>110</v>
      </c>
      <c r="S160" s="7" t="s">
        <v>111</v>
      </c>
      <c r="T160" s="7"/>
      <c r="U160" s="11">
        <f t="shared" si="8"/>
        <v>8014</v>
      </c>
      <c r="V160" s="11">
        <f t="shared" si="9"/>
        <v>6012</v>
      </c>
      <c r="W160" s="11">
        <f t="shared" si="10"/>
        <v>2002</v>
      </c>
      <c r="X160" t="str">
        <f t="shared" si="11"/>
        <v>Completed</v>
      </c>
    </row>
    <row r="161" spans="1:24" ht="12.5" x14ac:dyDescent="0.25">
      <c r="A161" s="2" t="s">
        <v>700</v>
      </c>
      <c r="B161" s="2" t="s">
        <v>701</v>
      </c>
      <c r="C161" s="2" t="s">
        <v>702</v>
      </c>
      <c r="D161" s="7" t="s">
        <v>703</v>
      </c>
      <c r="E161" s="7" t="s">
        <v>132</v>
      </c>
      <c r="F161" s="7" t="s">
        <v>38</v>
      </c>
      <c r="G161" s="5">
        <v>3883</v>
      </c>
      <c r="H161" s="5">
        <v>35</v>
      </c>
      <c r="I161" s="5">
        <v>2524</v>
      </c>
      <c r="J161" s="5">
        <v>1</v>
      </c>
      <c r="K161" s="2" t="s">
        <v>72</v>
      </c>
      <c r="L161" s="7" t="s">
        <v>39</v>
      </c>
      <c r="M161" s="4">
        <v>4</v>
      </c>
      <c r="N161" s="5">
        <v>188</v>
      </c>
      <c r="O161" s="3">
        <v>45828</v>
      </c>
      <c r="P161" s="7" t="s">
        <v>2392</v>
      </c>
      <c r="Q161" s="7" t="s">
        <v>78</v>
      </c>
      <c r="R161" s="7" t="s">
        <v>41</v>
      </c>
      <c r="S161" s="7" t="s">
        <v>42</v>
      </c>
      <c r="T161" s="7"/>
      <c r="U161" s="11">
        <f t="shared" si="8"/>
        <v>3883</v>
      </c>
      <c r="V161" s="11">
        <f t="shared" si="9"/>
        <v>2524</v>
      </c>
      <c r="W161" s="11">
        <f t="shared" si="10"/>
        <v>1359</v>
      </c>
      <c r="X161" t="str">
        <f t="shared" si="11"/>
        <v>Cancelled</v>
      </c>
    </row>
    <row r="162" spans="1:24" ht="12.5" x14ac:dyDescent="0.25">
      <c r="A162" s="2" t="s">
        <v>704</v>
      </c>
      <c r="B162" s="2" t="s">
        <v>705</v>
      </c>
      <c r="C162" s="2" t="s">
        <v>706</v>
      </c>
      <c r="D162" s="7" t="s">
        <v>707</v>
      </c>
      <c r="E162" s="7" t="s">
        <v>37</v>
      </c>
      <c r="F162" s="7" t="s">
        <v>38</v>
      </c>
      <c r="G162" s="5">
        <v>2948</v>
      </c>
      <c r="H162" s="5">
        <v>10</v>
      </c>
      <c r="I162" s="5">
        <v>2654</v>
      </c>
      <c r="J162" s="5">
        <v>1</v>
      </c>
      <c r="K162" s="2">
        <v>40</v>
      </c>
      <c r="L162" s="7" t="s">
        <v>88</v>
      </c>
      <c r="M162" s="4">
        <v>5</v>
      </c>
      <c r="N162" s="5">
        <v>299</v>
      </c>
      <c r="O162" s="3">
        <v>45851</v>
      </c>
      <c r="P162" s="7" t="s">
        <v>2392</v>
      </c>
      <c r="Q162" s="7" t="s">
        <v>65</v>
      </c>
      <c r="R162" s="7" t="s">
        <v>104</v>
      </c>
      <c r="S162" s="7" t="s">
        <v>105</v>
      </c>
      <c r="T162" s="7"/>
      <c r="U162" s="11">
        <f t="shared" si="8"/>
        <v>2948</v>
      </c>
      <c r="V162" s="11">
        <f t="shared" si="9"/>
        <v>2654</v>
      </c>
      <c r="W162" s="11">
        <f t="shared" si="10"/>
        <v>294</v>
      </c>
      <c r="X162" t="str">
        <f t="shared" si="11"/>
        <v>Cancelled</v>
      </c>
    </row>
    <row r="163" spans="1:24" ht="12.5" x14ac:dyDescent="0.25">
      <c r="A163" s="2" t="s">
        <v>708</v>
      </c>
      <c r="B163" s="2" t="s">
        <v>709</v>
      </c>
      <c r="C163" s="2" t="s">
        <v>710</v>
      </c>
      <c r="D163" s="7" t="s">
        <v>711</v>
      </c>
      <c r="E163" s="7" t="s">
        <v>116</v>
      </c>
      <c r="F163" s="7" t="s">
        <v>117</v>
      </c>
      <c r="G163" s="5">
        <v>1868</v>
      </c>
      <c r="H163" s="5">
        <v>10</v>
      </c>
      <c r="I163" s="5">
        <v>1682</v>
      </c>
      <c r="J163" s="5">
        <v>1</v>
      </c>
      <c r="K163" s="2" t="s">
        <v>56</v>
      </c>
      <c r="L163" s="7" t="s">
        <v>27</v>
      </c>
      <c r="M163" s="4">
        <v>4.5</v>
      </c>
      <c r="N163" s="5">
        <v>241</v>
      </c>
      <c r="O163" s="3">
        <v>45790</v>
      </c>
      <c r="P163" s="7" t="s">
        <v>2390</v>
      </c>
      <c r="Q163" s="7" t="s">
        <v>29</v>
      </c>
      <c r="R163" s="7" t="s">
        <v>110</v>
      </c>
      <c r="S163" s="7" t="s">
        <v>111</v>
      </c>
      <c r="T163" s="7"/>
      <c r="U163" s="11">
        <f t="shared" si="8"/>
        <v>1868</v>
      </c>
      <c r="V163" s="11">
        <f t="shared" si="9"/>
        <v>1682</v>
      </c>
      <c r="W163" s="11">
        <f t="shared" si="10"/>
        <v>186</v>
      </c>
      <c r="X163" t="str">
        <f t="shared" si="11"/>
        <v>Completed</v>
      </c>
    </row>
    <row r="164" spans="1:24" ht="12.5" x14ac:dyDescent="0.25">
      <c r="A164" s="2" t="s">
        <v>712</v>
      </c>
      <c r="B164" s="2" t="s">
        <v>713</v>
      </c>
      <c r="C164" s="2" t="s">
        <v>714</v>
      </c>
      <c r="D164" s="7" t="s">
        <v>715</v>
      </c>
      <c r="E164" s="7" t="s">
        <v>48</v>
      </c>
      <c r="F164" s="7" t="s">
        <v>25</v>
      </c>
      <c r="G164" s="5">
        <v>1213</v>
      </c>
      <c r="H164" s="5">
        <v>20</v>
      </c>
      <c r="I164" s="5">
        <v>971</v>
      </c>
      <c r="J164" s="5">
        <v>1</v>
      </c>
      <c r="K164" s="2" t="s">
        <v>32</v>
      </c>
      <c r="L164" s="7" t="s">
        <v>73</v>
      </c>
      <c r="M164" s="4">
        <v>5</v>
      </c>
      <c r="N164" s="5">
        <v>147</v>
      </c>
      <c r="O164" s="3">
        <v>45789</v>
      </c>
      <c r="P164" s="7" t="s">
        <v>2392</v>
      </c>
      <c r="Q164" s="7" t="s">
        <v>29</v>
      </c>
      <c r="R164" s="7" t="s">
        <v>110</v>
      </c>
      <c r="S164" s="7" t="s">
        <v>111</v>
      </c>
      <c r="T164" s="7"/>
      <c r="U164" s="11">
        <f t="shared" si="8"/>
        <v>1213</v>
      </c>
      <c r="V164" s="11">
        <f t="shared" si="9"/>
        <v>971</v>
      </c>
      <c r="W164" s="11">
        <f t="shared" si="10"/>
        <v>242</v>
      </c>
      <c r="X164" t="str">
        <f t="shared" si="11"/>
        <v>Cancelled</v>
      </c>
    </row>
    <row r="165" spans="1:24" ht="12.5" x14ac:dyDescent="0.25">
      <c r="A165" s="2" t="s">
        <v>716</v>
      </c>
      <c r="B165" s="2" t="s">
        <v>717</v>
      </c>
      <c r="C165" s="2" t="s">
        <v>718</v>
      </c>
      <c r="D165" s="7" t="s">
        <v>719</v>
      </c>
      <c r="E165" s="7" t="s">
        <v>247</v>
      </c>
      <c r="F165" s="7" t="s">
        <v>248</v>
      </c>
      <c r="G165" s="5">
        <v>2587</v>
      </c>
      <c r="H165" s="5">
        <v>40</v>
      </c>
      <c r="I165" s="5">
        <v>1553</v>
      </c>
      <c r="J165" s="5">
        <v>2</v>
      </c>
      <c r="K165" s="2">
        <v>44</v>
      </c>
      <c r="L165" s="7" t="s">
        <v>64</v>
      </c>
      <c r="M165" s="4">
        <v>3.8</v>
      </c>
      <c r="N165" s="5">
        <v>294</v>
      </c>
      <c r="O165" s="3">
        <v>45849</v>
      </c>
      <c r="P165" s="7" t="s">
        <v>2392</v>
      </c>
      <c r="Q165" s="7" t="s">
        <v>78</v>
      </c>
      <c r="R165" s="7" t="s">
        <v>30</v>
      </c>
      <c r="S165" s="7" t="s">
        <v>31</v>
      </c>
      <c r="T165" s="7"/>
      <c r="U165" s="11">
        <f t="shared" si="8"/>
        <v>5174</v>
      </c>
      <c r="V165" s="11">
        <f t="shared" si="9"/>
        <v>3106</v>
      </c>
      <c r="W165" s="11">
        <f t="shared" si="10"/>
        <v>2068</v>
      </c>
      <c r="X165" t="str">
        <f t="shared" si="11"/>
        <v>Cancelled</v>
      </c>
    </row>
    <row r="166" spans="1:24" ht="12.5" x14ac:dyDescent="0.25">
      <c r="A166" s="2" t="s">
        <v>720</v>
      </c>
      <c r="B166" s="2" t="s">
        <v>721</v>
      </c>
      <c r="C166" s="2" t="s">
        <v>722</v>
      </c>
      <c r="D166" s="7" t="s">
        <v>723</v>
      </c>
      <c r="E166" s="7" t="s">
        <v>48</v>
      </c>
      <c r="F166" s="7" t="s">
        <v>25</v>
      </c>
      <c r="G166" s="5">
        <v>4193</v>
      </c>
      <c r="H166" s="5">
        <v>15</v>
      </c>
      <c r="I166" s="5">
        <v>3565</v>
      </c>
      <c r="J166" s="5">
        <v>3</v>
      </c>
      <c r="K166" s="2" t="s">
        <v>163</v>
      </c>
      <c r="L166" s="7" t="s">
        <v>39</v>
      </c>
      <c r="M166" s="4">
        <v>4.9000000000000004</v>
      </c>
      <c r="N166" s="5">
        <v>173</v>
      </c>
      <c r="O166" s="3">
        <v>45774</v>
      </c>
      <c r="P166" s="7" t="s">
        <v>2391</v>
      </c>
      <c r="Q166" s="7" t="s">
        <v>29</v>
      </c>
      <c r="R166" s="7" t="s">
        <v>110</v>
      </c>
      <c r="S166" s="7" t="s">
        <v>111</v>
      </c>
      <c r="T166" s="7" t="s">
        <v>203</v>
      </c>
      <c r="U166" s="11">
        <f t="shared" si="8"/>
        <v>12579</v>
      </c>
      <c r="V166" s="11">
        <f t="shared" si="9"/>
        <v>10695</v>
      </c>
      <c r="W166" s="11">
        <f t="shared" si="10"/>
        <v>1884</v>
      </c>
      <c r="X166" t="str">
        <f t="shared" si="11"/>
        <v>Returned</v>
      </c>
    </row>
    <row r="167" spans="1:24" ht="12.5" x14ac:dyDescent="0.25">
      <c r="A167" s="2" t="s">
        <v>724</v>
      </c>
      <c r="B167" s="2" t="s">
        <v>725</v>
      </c>
      <c r="C167" s="2" t="s">
        <v>726</v>
      </c>
      <c r="D167" s="7" t="s">
        <v>727</v>
      </c>
      <c r="E167" s="7" t="s">
        <v>55</v>
      </c>
      <c r="F167" s="7" t="s">
        <v>38</v>
      </c>
      <c r="G167" s="5">
        <v>4530</v>
      </c>
      <c r="H167" s="5">
        <v>15</v>
      </c>
      <c r="I167" s="5">
        <v>3851</v>
      </c>
      <c r="J167" s="5">
        <v>1</v>
      </c>
      <c r="K167" s="2">
        <v>40</v>
      </c>
      <c r="L167" s="7" t="s">
        <v>133</v>
      </c>
      <c r="M167" s="4">
        <v>4.0999999999999996</v>
      </c>
      <c r="N167" s="5">
        <v>63</v>
      </c>
      <c r="O167" s="3">
        <v>45850</v>
      </c>
      <c r="P167" s="7" t="s">
        <v>2390</v>
      </c>
      <c r="Q167" s="7" t="s">
        <v>29</v>
      </c>
      <c r="R167" s="7" t="s">
        <v>110</v>
      </c>
      <c r="S167" s="7" t="s">
        <v>111</v>
      </c>
      <c r="T167" s="7"/>
      <c r="U167" s="11">
        <f t="shared" si="8"/>
        <v>4530</v>
      </c>
      <c r="V167" s="11">
        <f t="shared" si="9"/>
        <v>3851</v>
      </c>
      <c r="W167" s="11">
        <f t="shared" si="10"/>
        <v>679</v>
      </c>
      <c r="X167" t="str">
        <f t="shared" si="11"/>
        <v>Completed</v>
      </c>
    </row>
    <row r="168" spans="1:24" ht="12.5" x14ac:dyDescent="0.25">
      <c r="A168" s="2" t="s">
        <v>728</v>
      </c>
      <c r="B168" s="2" t="s">
        <v>729</v>
      </c>
      <c r="C168" s="2" t="s">
        <v>730</v>
      </c>
      <c r="D168" s="7" t="s">
        <v>731</v>
      </c>
      <c r="E168" s="7" t="s">
        <v>122</v>
      </c>
      <c r="F168" s="7" t="s">
        <v>123</v>
      </c>
      <c r="G168" s="5">
        <v>2949</v>
      </c>
      <c r="H168" s="5">
        <v>20</v>
      </c>
      <c r="I168" s="5">
        <v>2360</v>
      </c>
      <c r="J168" s="5">
        <v>3</v>
      </c>
      <c r="K168" s="2" t="s">
        <v>72</v>
      </c>
      <c r="L168" s="7" t="s">
        <v>73</v>
      </c>
      <c r="M168" s="4">
        <v>4.9000000000000004</v>
      </c>
      <c r="N168" s="5">
        <v>59</v>
      </c>
      <c r="O168" s="3">
        <v>45858</v>
      </c>
      <c r="P168" s="7" t="s">
        <v>2391</v>
      </c>
      <c r="Q168" s="7" t="s">
        <v>65</v>
      </c>
      <c r="R168" s="7" t="s">
        <v>66</v>
      </c>
      <c r="S168" s="7" t="s">
        <v>67</v>
      </c>
      <c r="T168" s="7"/>
      <c r="U168" s="11">
        <f t="shared" si="8"/>
        <v>8847</v>
      </c>
      <c r="V168" s="11">
        <f t="shared" si="9"/>
        <v>7080</v>
      </c>
      <c r="W168" s="11">
        <f t="shared" si="10"/>
        <v>1767</v>
      </c>
      <c r="X168" t="str">
        <f t="shared" si="11"/>
        <v>Returned</v>
      </c>
    </row>
    <row r="169" spans="1:24" ht="12.5" x14ac:dyDescent="0.25">
      <c r="A169" s="2" t="s">
        <v>732</v>
      </c>
      <c r="B169" s="2" t="s">
        <v>644</v>
      </c>
      <c r="C169" s="2" t="s">
        <v>733</v>
      </c>
      <c r="D169" s="7" t="s">
        <v>734</v>
      </c>
      <c r="E169" s="7" t="s">
        <v>208</v>
      </c>
      <c r="F169" s="7" t="s">
        <v>117</v>
      </c>
      <c r="G169" s="5">
        <v>1056</v>
      </c>
      <c r="H169" s="5">
        <v>10</v>
      </c>
      <c r="I169" s="5">
        <v>951</v>
      </c>
      <c r="J169" s="5">
        <v>2</v>
      </c>
      <c r="K169" s="2">
        <v>44</v>
      </c>
      <c r="L169" s="7" t="s">
        <v>73</v>
      </c>
      <c r="M169" s="4">
        <v>4.4000000000000004</v>
      </c>
      <c r="N169" s="5">
        <v>64</v>
      </c>
      <c r="O169" s="3">
        <v>45787</v>
      </c>
      <c r="P169" s="7" t="s">
        <v>2392</v>
      </c>
      <c r="Q169" s="7" t="s">
        <v>78</v>
      </c>
      <c r="R169" s="7" t="s">
        <v>83</v>
      </c>
      <c r="S169" s="7" t="s">
        <v>83</v>
      </c>
      <c r="T169" s="7"/>
      <c r="U169" s="11">
        <f t="shared" si="8"/>
        <v>2112</v>
      </c>
      <c r="V169" s="11">
        <f t="shared" si="9"/>
        <v>1902</v>
      </c>
      <c r="W169" s="11">
        <f t="shared" si="10"/>
        <v>210</v>
      </c>
      <c r="X169" t="str">
        <f t="shared" si="11"/>
        <v>Cancelled</v>
      </c>
    </row>
    <row r="170" spans="1:24" ht="12.5" x14ac:dyDescent="0.25">
      <c r="A170" s="2" t="s">
        <v>735</v>
      </c>
      <c r="B170" s="2" t="s">
        <v>736</v>
      </c>
      <c r="C170" s="2" t="s">
        <v>737</v>
      </c>
      <c r="D170" s="7" t="s">
        <v>738</v>
      </c>
      <c r="E170" s="7" t="s">
        <v>116</v>
      </c>
      <c r="F170" s="7" t="s">
        <v>117</v>
      </c>
      <c r="G170" s="5">
        <v>2307</v>
      </c>
      <c r="H170" s="5">
        <v>25</v>
      </c>
      <c r="I170" s="5">
        <v>1731</v>
      </c>
      <c r="J170" s="5">
        <v>3</v>
      </c>
      <c r="K170" s="2">
        <v>42</v>
      </c>
      <c r="L170" s="7" t="s">
        <v>168</v>
      </c>
      <c r="M170" s="4">
        <v>4.9000000000000004</v>
      </c>
      <c r="N170" s="5">
        <v>19</v>
      </c>
      <c r="O170" s="3">
        <v>45841</v>
      </c>
      <c r="P170" s="7" t="s">
        <v>2390</v>
      </c>
      <c r="Q170" s="7" t="s">
        <v>78</v>
      </c>
      <c r="R170" s="7" t="s">
        <v>41</v>
      </c>
      <c r="S170" s="7" t="s">
        <v>42</v>
      </c>
      <c r="T170" s="7"/>
      <c r="U170" s="11">
        <f t="shared" si="8"/>
        <v>6921</v>
      </c>
      <c r="V170" s="11">
        <f t="shared" si="9"/>
        <v>5193</v>
      </c>
      <c r="W170" s="11">
        <f t="shared" si="10"/>
        <v>1728</v>
      </c>
      <c r="X170" t="str">
        <f t="shared" si="11"/>
        <v>Completed</v>
      </c>
    </row>
    <row r="171" spans="1:24" ht="12.5" x14ac:dyDescent="0.25">
      <c r="A171" s="2" t="s">
        <v>739</v>
      </c>
      <c r="B171" s="2" t="s">
        <v>713</v>
      </c>
      <c r="C171" s="2" t="s">
        <v>740</v>
      </c>
      <c r="D171" s="7" t="s">
        <v>741</v>
      </c>
      <c r="E171" s="7" t="s">
        <v>132</v>
      </c>
      <c r="F171" s="7" t="s">
        <v>38</v>
      </c>
      <c r="G171" s="5">
        <v>3022</v>
      </c>
      <c r="H171" s="5">
        <v>20</v>
      </c>
      <c r="I171" s="5">
        <v>2418</v>
      </c>
      <c r="J171" s="5">
        <v>2</v>
      </c>
      <c r="K171" s="2" t="s">
        <v>56</v>
      </c>
      <c r="L171" s="7" t="s">
        <v>64</v>
      </c>
      <c r="M171" s="4">
        <v>4.3</v>
      </c>
      <c r="N171" s="5">
        <v>220</v>
      </c>
      <c r="O171" s="3">
        <v>45841</v>
      </c>
      <c r="P171" s="7" t="s">
        <v>2392</v>
      </c>
      <c r="Q171" s="7" t="s">
        <v>78</v>
      </c>
      <c r="R171" s="7" t="s">
        <v>66</v>
      </c>
      <c r="S171" s="7" t="s">
        <v>67</v>
      </c>
      <c r="T171" s="7"/>
      <c r="U171" s="11">
        <f t="shared" si="8"/>
        <v>6044</v>
      </c>
      <c r="V171" s="11">
        <f t="shared" si="9"/>
        <v>4836</v>
      </c>
      <c r="W171" s="11">
        <f t="shared" si="10"/>
        <v>1208</v>
      </c>
      <c r="X171" t="str">
        <f t="shared" si="11"/>
        <v>Cancelled</v>
      </c>
    </row>
    <row r="172" spans="1:24" ht="12.5" x14ac:dyDescent="0.25">
      <c r="A172" s="2" t="s">
        <v>742</v>
      </c>
      <c r="B172" s="2" t="s">
        <v>174</v>
      </c>
      <c r="C172" s="2" t="s">
        <v>743</v>
      </c>
      <c r="D172" s="7" t="s">
        <v>744</v>
      </c>
      <c r="E172" s="7" t="s">
        <v>116</v>
      </c>
      <c r="F172" s="7" t="s">
        <v>117</v>
      </c>
      <c r="G172" s="5">
        <v>4083</v>
      </c>
      <c r="H172" s="5">
        <v>30</v>
      </c>
      <c r="I172" s="5">
        <v>2859</v>
      </c>
      <c r="J172" s="5">
        <v>2</v>
      </c>
      <c r="K172" s="2" t="s">
        <v>226</v>
      </c>
      <c r="L172" s="7" t="s">
        <v>133</v>
      </c>
      <c r="M172" s="4">
        <v>3.9</v>
      </c>
      <c r="N172" s="5">
        <v>166</v>
      </c>
      <c r="O172" s="3">
        <v>45827</v>
      </c>
      <c r="P172" s="7" t="s">
        <v>2391</v>
      </c>
      <c r="Q172" s="7" t="s">
        <v>78</v>
      </c>
      <c r="R172" s="7" t="s">
        <v>185</v>
      </c>
      <c r="S172" s="7" t="s">
        <v>186</v>
      </c>
      <c r="T172" s="7" t="s">
        <v>134</v>
      </c>
      <c r="U172" s="11">
        <f t="shared" si="8"/>
        <v>8166</v>
      </c>
      <c r="V172" s="11">
        <f t="shared" si="9"/>
        <v>5718</v>
      </c>
      <c r="W172" s="11">
        <f t="shared" si="10"/>
        <v>2448</v>
      </c>
      <c r="X172" t="str">
        <f t="shared" si="11"/>
        <v>Returned</v>
      </c>
    </row>
    <row r="173" spans="1:24" ht="12.5" x14ac:dyDescent="0.25">
      <c r="A173" s="2" t="s">
        <v>745</v>
      </c>
      <c r="B173" s="2" t="s">
        <v>746</v>
      </c>
      <c r="C173" s="2" t="s">
        <v>747</v>
      </c>
      <c r="D173" s="7" t="s">
        <v>748</v>
      </c>
      <c r="E173" s="7" t="s">
        <v>24</v>
      </c>
      <c r="F173" s="7" t="s">
        <v>25</v>
      </c>
      <c r="G173" s="5">
        <v>620</v>
      </c>
      <c r="H173" s="5">
        <v>15</v>
      </c>
      <c r="I173" s="5">
        <v>527</v>
      </c>
      <c r="J173" s="5">
        <v>1</v>
      </c>
      <c r="K173" s="2" t="s">
        <v>261</v>
      </c>
      <c r="L173" s="7" t="s">
        <v>168</v>
      </c>
      <c r="M173" s="4">
        <v>4.5999999999999996</v>
      </c>
      <c r="N173" s="5">
        <v>38</v>
      </c>
      <c r="O173" s="3">
        <v>45780</v>
      </c>
      <c r="P173" s="7" t="s">
        <v>2391</v>
      </c>
      <c r="Q173" s="7" t="s">
        <v>65</v>
      </c>
      <c r="R173" s="7" t="s">
        <v>185</v>
      </c>
      <c r="S173" s="7" t="s">
        <v>186</v>
      </c>
      <c r="T173" s="7" t="s">
        <v>50</v>
      </c>
      <c r="U173" s="11">
        <f t="shared" si="8"/>
        <v>620</v>
      </c>
      <c r="V173" s="11">
        <f t="shared" si="9"/>
        <v>527</v>
      </c>
      <c r="W173" s="11">
        <f t="shared" si="10"/>
        <v>93</v>
      </c>
      <c r="X173" t="str">
        <f t="shared" si="11"/>
        <v>Returned</v>
      </c>
    </row>
    <row r="174" spans="1:24" ht="12.5" x14ac:dyDescent="0.25">
      <c r="A174" s="2" t="s">
        <v>749</v>
      </c>
      <c r="B174" s="2" t="s">
        <v>369</v>
      </c>
      <c r="C174" s="2" t="s">
        <v>750</v>
      </c>
      <c r="D174" s="7" t="s">
        <v>751</v>
      </c>
      <c r="E174" s="7" t="s">
        <v>37</v>
      </c>
      <c r="F174" s="7" t="s">
        <v>38</v>
      </c>
      <c r="G174" s="5">
        <v>2041</v>
      </c>
      <c r="H174" s="5">
        <v>30</v>
      </c>
      <c r="I174" s="5">
        <v>1429</v>
      </c>
      <c r="J174" s="5">
        <v>2</v>
      </c>
      <c r="K174" s="2" t="s">
        <v>56</v>
      </c>
      <c r="L174" s="7" t="s">
        <v>64</v>
      </c>
      <c r="M174" s="4">
        <v>4.7</v>
      </c>
      <c r="N174" s="5">
        <v>230</v>
      </c>
      <c r="O174" s="3">
        <v>45817</v>
      </c>
      <c r="P174" s="7" t="s">
        <v>2390</v>
      </c>
      <c r="Q174" s="7" t="s">
        <v>65</v>
      </c>
      <c r="R174" s="7" t="s">
        <v>30</v>
      </c>
      <c r="S174" s="7" t="s">
        <v>31</v>
      </c>
      <c r="T174" s="7"/>
      <c r="U174" s="11">
        <f t="shared" si="8"/>
        <v>4082</v>
      </c>
      <c r="V174" s="11">
        <f t="shared" si="9"/>
        <v>2858</v>
      </c>
      <c r="W174" s="11">
        <f t="shared" si="10"/>
        <v>1224</v>
      </c>
      <c r="X174" t="str">
        <f t="shared" si="11"/>
        <v>Completed</v>
      </c>
    </row>
    <row r="175" spans="1:24" ht="12.5" x14ac:dyDescent="0.25">
      <c r="A175" s="2" t="s">
        <v>752</v>
      </c>
      <c r="B175" s="2" t="s">
        <v>753</v>
      </c>
      <c r="C175" s="2" t="s">
        <v>754</v>
      </c>
      <c r="D175" s="7" t="s">
        <v>755</v>
      </c>
      <c r="E175" s="7" t="s">
        <v>55</v>
      </c>
      <c r="F175" s="7" t="s">
        <v>38</v>
      </c>
      <c r="G175" s="5">
        <v>3272</v>
      </c>
      <c r="H175" s="5">
        <v>25</v>
      </c>
      <c r="I175" s="5">
        <v>2454</v>
      </c>
      <c r="J175" s="5">
        <v>2</v>
      </c>
      <c r="K175" s="2" t="s">
        <v>261</v>
      </c>
      <c r="L175" s="7" t="s">
        <v>27</v>
      </c>
      <c r="M175" s="4">
        <v>4.9000000000000004</v>
      </c>
      <c r="N175" s="5">
        <v>255</v>
      </c>
      <c r="O175" s="3">
        <v>45769</v>
      </c>
      <c r="P175" s="7" t="s">
        <v>2392</v>
      </c>
      <c r="Q175" s="7" t="s">
        <v>65</v>
      </c>
      <c r="R175" s="7" t="s">
        <v>66</v>
      </c>
      <c r="S175" s="7" t="s">
        <v>67</v>
      </c>
      <c r="T175" s="7"/>
      <c r="U175" s="11">
        <f t="shared" si="8"/>
        <v>6544</v>
      </c>
      <c r="V175" s="11">
        <f t="shared" si="9"/>
        <v>4908</v>
      </c>
      <c r="W175" s="11">
        <f t="shared" si="10"/>
        <v>1636</v>
      </c>
      <c r="X175" t="str">
        <f t="shared" si="11"/>
        <v>Cancelled</v>
      </c>
    </row>
    <row r="176" spans="1:24" ht="12.5" x14ac:dyDescent="0.25">
      <c r="A176" s="2" t="s">
        <v>756</v>
      </c>
      <c r="B176" s="2" t="s">
        <v>757</v>
      </c>
      <c r="C176" s="2" t="s">
        <v>758</v>
      </c>
      <c r="D176" s="7" t="s">
        <v>759</v>
      </c>
      <c r="E176" s="7" t="s">
        <v>48</v>
      </c>
      <c r="F176" s="7" t="s">
        <v>25</v>
      </c>
      <c r="G176" s="5">
        <v>1939</v>
      </c>
      <c r="H176" s="5">
        <v>35</v>
      </c>
      <c r="I176" s="5">
        <v>1261</v>
      </c>
      <c r="J176" s="5">
        <v>2</v>
      </c>
      <c r="K176" s="2" t="s">
        <v>32</v>
      </c>
      <c r="L176" s="7" t="s">
        <v>73</v>
      </c>
      <c r="M176" s="4">
        <v>3.8</v>
      </c>
      <c r="N176" s="5">
        <v>111</v>
      </c>
      <c r="O176" s="3">
        <v>45802</v>
      </c>
      <c r="P176" s="7" t="s">
        <v>2391</v>
      </c>
      <c r="Q176" s="7" t="s">
        <v>29</v>
      </c>
      <c r="R176" s="7" t="s">
        <v>66</v>
      </c>
      <c r="S176" s="7" t="s">
        <v>67</v>
      </c>
      <c r="T176" s="7" t="s">
        <v>134</v>
      </c>
      <c r="U176" s="11">
        <f t="shared" si="8"/>
        <v>3878</v>
      </c>
      <c r="V176" s="11">
        <f t="shared" si="9"/>
        <v>2522</v>
      </c>
      <c r="W176" s="11">
        <f t="shared" si="10"/>
        <v>1356</v>
      </c>
      <c r="X176" t="str">
        <f t="shared" si="11"/>
        <v>Returned</v>
      </c>
    </row>
    <row r="177" spans="1:24" ht="12.5" x14ac:dyDescent="0.25">
      <c r="A177" s="2" t="s">
        <v>760</v>
      </c>
      <c r="B177" s="2" t="s">
        <v>761</v>
      </c>
      <c r="C177" s="2" t="s">
        <v>762</v>
      </c>
      <c r="D177" s="7" t="s">
        <v>763</v>
      </c>
      <c r="E177" s="7" t="s">
        <v>247</v>
      </c>
      <c r="F177" s="7" t="s">
        <v>248</v>
      </c>
      <c r="G177" s="5">
        <v>4054</v>
      </c>
      <c r="H177" s="5">
        <v>15</v>
      </c>
      <c r="I177" s="5">
        <v>3446</v>
      </c>
      <c r="J177" s="5">
        <v>3</v>
      </c>
      <c r="K177" s="2">
        <v>42</v>
      </c>
      <c r="L177" s="7" t="s">
        <v>27</v>
      </c>
      <c r="M177" s="4">
        <v>3.7</v>
      </c>
      <c r="N177" s="5">
        <v>196</v>
      </c>
      <c r="O177" s="3">
        <v>45814</v>
      </c>
      <c r="P177" s="7" t="s">
        <v>2390</v>
      </c>
      <c r="Q177" s="7" t="s">
        <v>29</v>
      </c>
      <c r="R177" s="7" t="s">
        <v>104</v>
      </c>
      <c r="S177" s="7" t="s">
        <v>105</v>
      </c>
      <c r="T177" s="7"/>
      <c r="U177" s="11">
        <f t="shared" si="8"/>
        <v>12162</v>
      </c>
      <c r="V177" s="11">
        <f t="shared" si="9"/>
        <v>10338</v>
      </c>
      <c r="W177" s="11">
        <f t="shared" si="10"/>
        <v>1824</v>
      </c>
      <c r="X177" t="str">
        <f t="shared" si="11"/>
        <v>Completed</v>
      </c>
    </row>
    <row r="178" spans="1:24" ht="12.5" x14ac:dyDescent="0.25">
      <c r="A178" s="2" t="s">
        <v>764</v>
      </c>
      <c r="B178" s="2" t="s">
        <v>765</v>
      </c>
      <c r="C178" s="2" t="s">
        <v>766</v>
      </c>
      <c r="D178" s="7" t="s">
        <v>767</v>
      </c>
      <c r="E178" s="7" t="s">
        <v>48</v>
      </c>
      <c r="F178" s="7" t="s">
        <v>25</v>
      </c>
      <c r="G178" s="5">
        <v>4210</v>
      </c>
      <c r="H178" s="5">
        <v>35</v>
      </c>
      <c r="I178" s="5">
        <v>2737</v>
      </c>
      <c r="J178" s="5">
        <v>3</v>
      </c>
      <c r="K178" s="2" t="s">
        <v>32</v>
      </c>
      <c r="L178" s="7" t="s">
        <v>88</v>
      </c>
      <c r="M178" s="4">
        <v>4.5</v>
      </c>
      <c r="N178" s="5">
        <v>23</v>
      </c>
      <c r="O178" s="3">
        <v>45833</v>
      </c>
      <c r="P178" s="7" t="s">
        <v>2392</v>
      </c>
      <c r="Q178" s="7" t="s">
        <v>29</v>
      </c>
      <c r="R178" s="7" t="s">
        <v>30</v>
      </c>
      <c r="S178" s="7" t="s">
        <v>31</v>
      </c>
      <c r="T178" s="7"/>
      <c r="U178" s="11">
        <f t="shared" si="8"/>
        <v>12630</v>
      </c>
      <c r="V178" s="11">
        <f t="shared" si="9"/>
        <v>8211</v>
      </c>
      <c r="W178" s="11">
        <f t="shared" si="10"/>
        <v>4419</v>
      </c>
      <c r="X178" t="str">
        <f t="shared" si="11"/>
        <v>Cancelled</v>
      </c>
    </row>
    <row r="179" spans="1:24" ht="12.5" x14ac:dyDescent="0.25">
      <c r="A179" s="2" t="s">
        <v>768</v>
      </c>
      <c r="B179" s="2" t="s">
        <v>769</v>
      </c>
      <c r="C179" s="2" t="s">
        <v>770</v>
      </c>
      <c r="D179" s="7" t="s">
        <v>771</v>
      </c>
      <c r="E179" s="7" t="s">
        <v>37</v>
      </c>
      <c r="F179" s="7" t="s">
        <v>38</v>
      </c>
      <c r="G179" s="5">
        <v>3744</v>
      </c>
      <c r="H179" s="5">
        <v>40</v>
      </c>
      <c r="I179" s="5">
        <v>2247</v>
      </c>
      <c r="J179" s="5">
        <v>2</v>
      </c>
      <c r="K179" s="2" t="s">
        <v>163</v>
      </c>
      <c r="L179" s="7" t="s">
        <v>133</v>
      </c>
      <c r="M179" s="4">
        <v>4.5</v>
      </c>
      <c r="N179" s="5">
        <v>96</v>
      </c>
      <c r="O179" s="3">
        <v>45852</v>
      </c>
      <c r="P179" s="7" t="s">
        <v>2392</v>
      </c>
      <c r="Q179" s="7" t="s">
        <v>78</v>
      </c>
      <c r="R179" s="7" t="s">
        <v>30</v>
      </c>
      <c r="S179" s="7" t="s">
        <v>31</v>
      </c>
      <c r="T179" s="7"/>
      <c r="U179" s="11">
        <f t="shared" si="8"/>
        <v>7488</v>
      </c>
      <c r="V179" s="11">
        <f t="shared" si="9"/>
        <v>4494</v>
      </c>
      <c r="W179" s="11">
        <f t="shared" si="10"/>
        <v>2994</v>
      </c>
      <c r="X179" t="str">
        <f t="shared" si="11"/>
        <v>Cancelled</v>
      </c>
    </row>
    <row r="180" spans="1:24" ht="12.5" x14ac:dyDescent="0.25">
      <c r="A180" s="2" t="s">
        <v>772</v>
      </c>
      <c r="B180" s="2" t="s">
        <v>773</v>
      </c>
      <c r="C180" s="2" t="s">
        <v>774</v>
      </c>
      <c r="D180" s="7" t="s">
        <v>775</v>
      </c>
      <c r="E180" s="7" t="s">
        <v>132</v>
      </c>
      <c r="F180" s="7" t="s">
        <v>38</v>
      </c>
      <c r="G180" s="5">
        <v>3840</v>
      </c>
      <c r="H180" s="5">
        <v>20</v>
      </c>
      <c r="I180" s="5">
        <v>3072</v>
      </c>
      <c r="J180" s="5">
        <v>2</v>
      </c>
      <c r="K180" s="2" t="s">
        <v>26</v>
      </c>
      <c r="L180" s="7" t="s">
        <v>133</v>
      </c>
      <c r="M180" s="4">
        <v>3.8</v>
      </c>
      <c r="N180" s="5">
        <v>25</v>
      </c>
      <c r="O180" s="3">
        <v>45839</v>
      </c>
      <c r="P180" s="7" t="s">
        <v>2391</v>
      </c>
      <c r="Q180" s="7" t="s">
        <v>29</v>
      </c>
      <c r="R180" s="7" t="s">
        <v>149</v>
      </c>
      <c r="S180" s="7" t="s">
        <v>150</v>
      </c>
      <c r="T180" s="7" t="s">
        <v>43</v>
      </c>
      <c r="U180" s="11">
        <f t="shared" si="8"/>
        <v>7680</v>
      </c>
      <c r="V180" s="11">
        <f t="shared" si="9"/>
        <v>6144</v>
      </c>
      <c r="W180" s="11">
        <f t="shared" si="10"/>
        <v>1536</v>
      </c>
      <c r="X180" t="str">
        <f t="shared" si="11"/>
        <v>Returned</v>
      </c>
    </row>
    <row r="181" spans="1:24" ht="12.5" x14ac:dyDescent="0.25">
      <c r="A181" s="2" t="s">
        <v>776</v>
      </c>
      <c r="B181" s="2" t="s">
        <v>250</v>
      </c>
      <c r="C181" s="2" t="s">
        <v>777</v>
      </c>
      <c r="D181" s="7" t="s">
        <v>778</v>
      </c>
      <c r="E181" s="7" t="s">
        <v>37</v>
      </c>
      <c r="F181" s="7" t="s">
        <v>38</v>
      </c>
      <c r="G181" s="5">
        <v>3982</v>
      </c>
      <c r="H181" s="5">
        <v>40</v>
      </c>
      <c r="I181" s="5">
        <v>2390</v>
      </c>
      <c r="J181" s="5">
        <v>1</v>
      </c>
      <c r="K181" s="2" t="s">
        <v>32</v>
      </c>
      <c r="L181" s="7" t="s">
        <v>73</v>
      </c>
      <c r="M181" s="4">
        <v>4.5</v>
      </c>
      <c r="N181" s="5">
        <v>56</v>
      </c>
      <c r="O181" s="3">
        <v>45856</v>
      </c>
      <c r="P181" s="7" t="s">
        <v>2392</v>
      </c>
      <c r="Q181" s="7" t="s">
        <v>29</v>
      </c>
      <c r="R181" s="7" t="s">
        <v>110</v>
      </c>
      <c r="S181" s="7" t="s">
        <v>111</v>
      </c>
      <c r="T181" s="7"/>
      <c r="U181" s="11">
        <f t="shared" si="8"/>
        <v>3982</v>
      </c>
      <c r="V181" s="11">
        <f t="shared" si="9"/>
        <v>2390</v>
      </c>
      <c r="W181" s="11">
        <f t="shared" si="10"/>
        <v>1592</v>
      </c>
      <c r="X181" t="str">
        <f t="shared" si="11"/>
        <v>Cancelled</v>
      </c>
    </row>
    <row r="182" spans="1:24" ht="12.5" x14ac:dyDescent="0.25">
      <c r="A182" s="2" t="s">
        <v>779</v>
      </c>
      <c r="B182" s="2" t="s">
        <v>780</v>
      </c>
      <c r="C182" s="2" t="s">
        <v>781</v>
      </c>
      <c r="D182" s="7" t="s">
        <v>782</v>
      </c>
      <c r="E182" s="7" t="s">
        <v>116</v>
      </c>
      <c r="F182" s="7" t="s">
        <v>117</v>
      </c>
      <c r="G182" s="5">
        <v>3854</v>
      </c>
      <c r="H182" s="5">
        <v>35</v>
      </c>
      <c r="I182" s="5">
        <v>2506</v>
      </c>
      <c r="J182" s="5">
        <v>2</v>
      </c>
      <c r="K182" s="2" t="s">
        <v>26</v>
      </c>
      <c r="L182" s="7" t="s">
        <v>88</v>
      </c>
      <c r="M182" s="4">
        <v>3.9</v>
      </c>
      <c r="N182" s="5">
        <v>132</v>
      </c>
      <c r="O182" s="3">
        <v>45784</v>
      </c>
      <c r="P182" s="7" t="s">
        <v>2391</v>
      </c>
      <c r="Q182" s="7" t="s">
        <v>29</v>
      </c>
      <c r="R182" s="7" t="s">
        <v>110</v>
      </c>
      <c r="S182" s="7" t="s">
        <v>111</v>
      </c>
      <c r="T182" s="7" t="s">
        <v>203</v>
      </c>
      <c r="U182" s="11">
        <f t="shared" si="8"/>
        <v>7708</v>
      </c>
      <c r="V182" s="11">
        <f t="shared" si="9"/>
        <v>5012</v>
      </c>
      <c r="W182" s="11">
        <f t="shared" si="10"/>
        <v>2696</v>
      </c>
      <c r="X182" t="str">
        <f t="shared" si="11"/>
        <v>Returned</v>
      </c>
    </row>
    <row r="183" spans="1:24" ht="12.5" x14ac:dyDescent="0.25">
      <c r="A183" s="2" t="s">
        <v>783</v>
      </c>
      <c r="B183" s="2" t="s">
        <v>725</v>
      </c>
      <c r="C183" s="2" t="s">
        <v>784</v>
      </c>
      <c r="D183" s="7" t="s">
        <v>785</v>
      </c>
      <c r="E183" s="7" t="s">
        <v>247</v>
      </c>
      <c r="F183" s="7" t="s">
        <v>248</v>
      </c>
      <c r="G183" s="5">
        <v>2337</v>
      </c>
      <c r="H183" s="5">
        <v>10</v>
      </c>
      <c r="I183" s="5">
        <v>2104</v>
      </c>
      <c r="J183" s="5">
        <v>2</v>
      </c>
      <c r="K183" s="2">
        <v>42</v>
      </c>
      <c r="L183" s="7" t="s">
        <v>103</v>
      </c>
      <c r="M183" s="4">
        <v>4</v>
      </c>
      <c r="N183" s="5">
        <v>90</v>
      </c>
      <c r="O183" s="3">
        <v>45793</v>
      </c>
      <c r="P183" s="7" t="s">
        <v>2392</v>
      </c>
      <c r="Q183" s="7" t="s">
        <v>65</v>
      </c>
      <c r="R183" s="7" t="s">
        <v>149</v>
      </c>
      <c r="S183" s="7" t="s">
        <v>150</v>
      </c>
      <c r="T183" s="7"/>
      <c r="U183" s="11">
        <f t="shared" si="8"/>
        <v>4674</v>
      </c>
      <c r="V183" s="11">
        <f t="shared" si="9"/>
        <v>4208</v>
      </c>
      <c r="W183" s="11">
        <f t="shared" si="10"/>
        <v>466</v>
      </c>
      <c r="X183" t="str">
        <f t="shared" si="11"/>
        <v>Cancelled</v>
      </c>
    </row>
    <row r="184" spans="1:24" ht="12.5" x14ac:dyDescent="0.25">
      <c r="A184" s="2" t="s">
        <v>786</v>
      </c>
      <c r="B184" s="2" t="s">
        <v>787</v>
      </c>
      <c r="C184" s="2" t="s">
        <v>788</v>
      </c>
      <c r="D184" s="7" t="s">
        <v>789</v>
      </c>
      <c r="E184" s="7" t="s">
        <v>247</v>
      </c>
      <c r="F184" s="7" t="s">
        <v>248</v>
      </c>
      <c r="G184" s="5">
        <v>3261</v>
      </c>
      <c r="H184" s="5">
        <v>35</v>
      </c>
      <c r="I184" s="5">
        <v>2120</v>
      </c>
      <c r="J184" s="5">
        <v>1</v>
      </c>
      <c r="K184" s="2" t="s">
        <v>72</v>
      </c>
      <c r="L184" s="7" t="s">
        <v>27</v>
      </c>
      <c r="M184" s="4">
        <v>4.8</v>
      </c>
      <c r="N184" s="5">
        <v>300</v>
      </c>
      <c r="O184" s="3">
        <v>45773</v>
      </c>
      <c r="P184" s="7" t="s">
        <v>2392</v>
      </c>
      <c r="Q184" s="7" t="s">
        <v>65</v>
      </c>
      <c r="R184" s="7" t="s">
        <v>58</v>
      </c>
      <c r="S184" s="7" t="s">
        <v>59</v>
      </c>
      <c r="T184" s="7"/>
      <c r="U184" s="11">
        <f t="shared" si="8"/>
        <v>3261</v>
      </c>
      <c r="V184" s="11">
        <f t="shared" si="9"/>
        <v>2120</v>
      </c>
      <c r="W184" s="11">
        <f t="shared" si="10"/>
        <v>1141</v>
      </c>
      <c r="X184" t="str">
        <f t="shared" si="11"/>
        <v>Cancelled</v>
      </c>
    </row>
    <row r="185" spans="1:24" ht="12.5" x14ac:dyDescent="0.25">
      <c r="A185" s="2" t="s">
        <v>790</v>
      </c>
      <c r="B185" s="2" t="s">
        <v>791</v>
      </c>
      <c r="C185" s="2" t="s">
        <v>792</v>
      </c>
      <c r="D185" s="7" t="s">
        <v>793</v>
      </c>
      <c r="E185" s="7" t="s">
        <v>208</v>
      </c>
      <c r="F185" s="7" t="s">
        <v>117</v>
      </c>
      <c r="G185" s="5">
        <v>3907</v>
      </c>
      <c r="H185" s="5">
        <v>40</v>
      </c>
      <c r="I185" s="5">
        <v>2345</v>
      </c>
      <c r="J185" s="5">
        <v>2</v>
      </c>
      <c r="K185" s="2" t="s">
        <v>56</v>
      </c>
      <c r="L185" s="7" t="s">
        <v>27</v>
      </c>
      <c r="M185" s="4">
        <v>3.6</v>
      </c>
      <c r="N185" s="5">
        <v>210</v>
      </c>
      <c r="O185" s="3">
        <v>45858</v>
      </c>
      <c r="P185" s="7" t="s">
        <v>2390</v>
      </c>
      <c r="Q185" s="7" t="s">
        <v>29</v>
      </c>
      <c r="R185" s="7" t="s">
        <v>83</v>
      </c>
      <c r="S185" s="7" t="s">
        <v>83</v>
      </c>
      <c r="T185" s="7"/>
      <c r="U185" s="11">
        <f t="shared" si="8"/>
        <v>7814</v>
      </c>
      <c r="V185" s="11">
        <f t="shared" si="9"/>
        <v>4690</v>
      </c>
      <c r="W185" s="11">
        <f t="shared" si="10"/>
        <v>3124</v>
      </c>
      <c r="X185" t="str">
        <f t="shared" si="11"/>
        <v>Completed</v>
      </c>
    </row>
    <row r="186" spans="1:24" ht="12.5" x14ac:dyDescent="0.25">
      <c r="A186" s="2" t="s">
        <v>794</v>
      </c>
      <c r="B186" s="2" t="s">
        <v>52</v>
      </c>
      <c r="C186" s="2" t="s">
        <v>795</v>
      </c>
      <c r="D186" s="7" t="s">
        <v>796</v>
      </c>
      <c r="E186" s="7" t="s">
        <v>247</v>
      </c>
      <c r="F186" s="7" t="s">
        <v>248</v>
      </c>
      <c r="G186" s="5">
        <v>3880</v>
      </c>
      <c r="H186" s="5">
        <v>25</v>
      </c>
      <c r="I186" s="5">
        <v>2910</v>
      </c>
      <c r="J186" s="5">
        <v>3</v>
      </c>
      <c r="K186" s="2" t="s">
        <v>26</v>
      </c>
      <c r="L186" s="7" t="s">
        <v>133</v>
      </c>
      <c r="M186" s="4">
        <v>3.7</v>
      </c>
      <c r="N186" s="5">
        <v>222</v>
      </c>
      <c r="O186" s="3">
        <v>45802</v>
      </c>
      <c r="P186" s="7" t="s">
        <v>2392</v>
      </c>
      <c r="Q186" s="7" t="s">
        <v>78</v>
      </c>
      <c r="R186" s="7" t="s">
        <v>185</v>
      </c>
      <c r="S186" s="7" t="s">
        <v>186</v>
      </c>
      <c r="T186" s="7"/>
      <c r="U186" s="11">
        <f t="shared" si="8"/>
        <v>11640</v>
      </c>
      <c r="V186" s="11">
        <f t="shared" si="9"/>
        <v>8730</v>
      </c>
      <c r="W186" s="11">
        <f t="shared" si="10"/>
        <v>2910</v>
      </c>
      <c r="X186" t="str">
        <f t="shared" si="11"/>
        <v>Cancelled</v>
      </c>
    </row>
    <row r="187" spans="1:24" ht="12.5" x14ac:dyDescent="0.25">
      <c r="A187" s="2" t="s">
        <v>797</v>
      </c>
      <c r="B187" s="2" t="s">
        <v>798</v>
      </c>
      <c r="C187" s="2" t="s">
        <v>799</v>
      </c>
      <c r="D187" s="7" t="s">
        <v>800</v>
      </c>
      <c r="E187" s="7" t="s">
        <v>55</v>
      </c>
      <c r="F187" s="7" t="s">
        <v>38</v>
      </c>
      <c r="G187" s="5">
        <v>3994</v>
      </c>
      <c r="H187" s="5">
        <v>30</v>
      </c>
      <c r="I187" s="5">
        <v>2796</v>
      </c>
      <c r="J187" s="5">
        <v>2</v>
      </c>
      <c r="K187" s="2" t="s">
        <v>56</v>
      </c>
      <c r="L187" s="7" t="s">
        <v>209</v>
      </c>
      <c r="M187" s="4">
        <v>3.5</v>
      </c>
      <c r="N187" s="5">
        <v>53</v>
      </c>
      <c r="O187" s="3">
        <v>45841</v>
      </c>
      <c r="P187" s="7" t="s">
        <v>2390</v>
      </c>
      <c r="Q187" s="7" t="s">
        <v>78</v>
      </c>
      <c r="R187" s="7" t="s">
        <v>66</v>
      </c>
      <c r="S187" s="7" t="s">
        <v>67</v>
      </c>
      <c r="T187" s="7"/>
      <c r="U187" s="11">
        <f t="shared" si="8"/>
        <v>7988</v>
      </c>
      <c r="V187" s="11">
        <f t="shared" si="9"/>
        <v>5592</v>
      </c>
      <c r="W187" s="11">
        <f t="shared" si="10"/>
        <v>2396</v>
      </c>
      <c r="X187" t="str">
        <f t="shared" si="11"/>
        <v>Completed</v>
      </c>
    </row>
    <row r="188" spans="1:24" ht="12.5" x14ac:dyDescent="0.25">
      <c r="A188" s="2" t="s">
        <v>801</v>
      </c>
      <c r="B188" s="2" t="s">
        <v>802</v>
      </c>
      <c r="C188" s="2" t="s">
        <v>803</v>
      </c>
      <c r="D188" s="7" t="s">
        <v>804</v>
      </c>
      <c r="E188" s="7" t="s">
        <v>24</v>
      </c>
      <c r="F188" s="7" t="s">
        <v>25</v>
      </c>
      <c r="G188" s="5">
        <v>4562</v>
      </c>
      <c r="H188" s="5">
        <v>30</v>
      </c>
      <c r="I188" s="5">
        <v>3194</v>
      </c>
      <c r="J188" s="5">
        <v>2</v>
      </c>
      <c r="K188" s="2" t="s">
        <v>26</v>
      </c>
      <c r="L188" s="7" t="s">
        <v>103</v>
      </c>
      <c r="M188" s="4">
        <v>4.9000000000000004</v>
      </c>
      <c r="N188" s="5">
        <v>42</v>
      </c>
      <c r="O188" s="3">
        <v>45826</v>
      </c>
      <c r="P188" s="7" t="s">
        <v>2391</v>
      </c>
      <c r="Q188" s="7" t="s">
        <v>78</v>
      </c>
      <c r="R188" s="7" t="s">
        <v>185</v>
      </c>
      <c r="S188" s="7" t="s">
        <v>186</v>
      </c>
      <c r="T188" s="7" t="s">
        <v>203</v>
      </c>
      <c r="U188" s="11">
        <f t="shared" si="8"/>
        <v>9124</v>
      </c>
      <c r="V188" s="11">
        <f t="shared" si="9"/>
        <v>6388</v>
      </c>
      <c r="W188" s="11">
        <f t="shared" si="10"/>
        <v>2736</v>
      </c>
      <c r="X188" t="str">
        <f t="shared" si="11"/>
        <v>Returned</v>
      </c>
    </row>
    <row r="189" spans="1:24" ht="12.5" x14ac:dyDescent="0.25">
      <c r="A189" s="2" t="s">
        <v>805</v>
      </c>
      <c r="B189" s="2" t="s">
        <v>240</v>
      </c>
      <c r="C189" s="2" t="s">
        <v>806</v>
      </c>
      <c r="D189" s="7" t="s">
        <v>807</v>
      </c>
      <c r="E189" s="7" t="s">
        <v>116</v>
      </c>
      <c r="F189" s="7" t="s">
        <v>117</v>
      </c>
      <c r="G189" s="5">
        <v>1184</v>
      </c>
      <c r="H189" s="5">
        <v>15</v>
      </c>
      <c r="I189" s="5">
        <v>1007</v>
      </c>
      <c r="J189" s="5">
        <v>1</v>
      </c>
      <c r="K189" s="2" t="s">
        <v>32</v>
      </c>
      <c r="L189" s="7" t="s">
        <v>103</v>
      </c>
      <c r="M189" s="4">
        <v>4.7</v>
      </c>
      <c r="N189" s="5">
        <v>286</v>
      </c>
      <c r="O189" s="3">
        <v>45779</v>
      </c>
      <c r="P189" s="7" t="s">
        <v>2392</v>
      </c>
      <c r="Q189" s="7" t="s">
        <v>65</v>
      </c>
      <c r="R189" s="7" t="s">
        <v>30</v>
      </c>
      <c r="S189" s="7" t="s">
        <v>31</v>
      </c>
      <c r="T189" s="7"/>
      <c r="U189" s="11">
        <f t="shared" si="8"/>
        <v>1184</v>
      </c>
      <c r="V189" s="11">
        <f t="shared" si="9"/>
        <v>1007</v>
      </c>
      <c r="W189" s="11">
        <f t="shared" si="10"/>
        <v>177</v>
      </c>
      <c r="X189" t="str">
        <f t="shared" si="11"/>
        <v>Cancelled</v>
      </c>
    </row>
    <row r="190" spans="1:24" ht="12.5" x14ac:dyDescent="0.25">
      <c r="A190" s="2" t="s">
        <v>808</v>
      </c>
      <c r="B190" s="2" t="s">
        <v>809</v>
      </c>
      <c r="C190" s="2" t="s">
        <v>810</v>
      </c>
      <c r="D190" s="7" t="s">
        <v>811</v>
      </c>
      <c r="E190" s="7" t="s">
        <v>37</v>
      </c>
      <c r="F190" s="7" t="s">
        <v>38</v>
      </c>
      <c r="G190" s="5">
        <v>4952</v>
      </c>
      <c r="H190" s="5">
        <v>15</v>
      </c>
      <c r="I190" s="5">
        <v>4210</v>
      </c>
      <c r="J190" s="5">
        <v>2</v>
      </c>
      <c r="K190" s="2">
        <v>44</v>
      </c>
      <c r="L190" s="7" t="s">
        <v>133</v>
      </c>
      <c r="M190" s="4">
        <v>4.5999999999999996</v>
      </c>
      <c r="N190" s="5">
        <v>142</v>
      </c>
      <c r="O190" s="3">
        <v>45787</v>
      </c>
      <c r="P190" s="7" t="s">
        <v>2392</v>
      </c>
      <c r="Q190" s="7" t="s">
        <v>65</v>
      </c>
      <c r="R190" s="7" t="s">
        <v>104</v>
      </c>
      <c r="S190" s="7" t="s">
        <v>105</v>
      </c>
      <c r="T190" s="7"/>
      <c r="U190" s="11">
        <f t="shared" si="8"/>
        <v>9904</v>
      </c>
      <c r="V190" s="11">
        <f t="shared" si="9"/>
        <v>8420</v>
      </c>
      <c r="W190" s="11">
        <f t="shared" si="10"/>
        <v>1484</v>
      </c>
      <c r="X190" t="str">
        <f t="shared" si="11"/>
        <v>Cancelled</v>
      </c>
    </row>
    <row r="191" spans="1:24" ht="12.5" x14ac:dyDescent="0.25">
      <c r="A191" s="2" t="s">
        <v>812</v>
      </c>
      <c r="B191" s="2" t="s">
        <v>436</v>
      </c>
      <c r="C191" s="2" t="s">
        <v>813</v>
      </c>
      <c r="D191" s="7" t="s">
        <v>814</v>
      </c>
      <c r="E191" s="7" t="s">
        <v>247</v>
      </c>
      <c r="F191" s="7" t="s">
        <v>248</v>
      </c>
      <c r="G191" s="5">
        <v>2360</v>
      </c>
      <c r="H191" s="5">
        <v>40</v>
      </c>
      <c r="I191" s="5">
        <v>1416</v>
      </c>
      <c r="J191" s="5">
        <v>3</v>
      </c>
      <c r="K191" s="2" t="s">
        <v>163</v>
      </c>
      <c r="L191" s="7" t="s">
        <v>73</v>
      </c>
      <c r="M191" s="4">
        <v>4.3</v>
      </c>
      <c r="N191" s="5">
        <v>67</v>
      </c>
      <c r="O191" s="3">
        <v>45813</v>
      </c>
      <c r="P191" s="7" t="s">
        <v>2390</v>
      </c>
      <c r="Q191" s="7" t="s">
        <v>78</v>
      </c>
      <c r="R191" s="7" t="s">
        <v>30</v>
      </c>
      <c r="S191" s="7" t="s">
        <v>31</v>
      </c>
      <c r="T191" s="7"/>
      <c r="U191" s="11">
        <f t="shared" si="8"/>
        <v>7080</v>
      </c>
      <c r="V191" s="11">
        <f t="shared" si="9"/>
        <v>4248</v>
      </c>
      <c r="W191" s="11">
        <f t="shared" si="10"/>
        <v>2832</v>
      </c>
      <c r="X191" t="str">
        <f t="shared" si="11"/>
        <v>Completed</v>
      </c>
    </row>
    <row r="192" spans="1:24" ht="12.5" x14ac:dyDescent="0.25">
      <c r="A192" s="2" t="s">
        <v>815</v>
      </c>
      <c r="B192" s="2" t="s">
        <v>816</v>
      </c>
      <c r="C192" s="2" t="s">
        <v>817</v>
      </c>
      <c r="D192" s="7" t="s">
        <v>818</v>
      </c>
      <c r="E192" s="7" t="s">
        <v>247</v>
      </c>
      <c r="F192" s="7" t="s">
        <v>248</v>
      </c>
      <c r="G192" s="5">
        <v>2328</v>
      </c>
      <c r="H192" s="5">
        <v>40</v>
      </c>
      <c r="I192" s="5">
        <v>1397</v>
      </c>
      <c r="J192" s="5">
        <v>3</v>
      </c>
      <c r="K192" s="2" t="s">
        <v>56</v>
      </c>
      <c r="L192" s="7" t="s">
        <v>168</v>
      </c>
      <c r="M192" s="4">
        <v>4</v>
      </c>
      <c r="N192" s="5">
        <v>19</v>
      </c>
      <c r="O192" s="3">
        <v>45823</v>
      </c>
      <c r="P192" s="7" t="s">
        <v>2392</v>
      </c>
      <c r="Q192" s="7" t="s">
        <v>65</v>
      </c>
      <c r="R192" s="7" t="s">
        <v>58</v>
      </c>
      <c r="S192" s="7" t="s">
        <v>59</v>
      </c>
      <c r="T192" s="7"/>
      <c r="U192" s="11">
        <f t="shared" si="8"/>
        <v>6984</v>
      </c>
      <c r="V192" s="11">
        <f t="shared" si="9"/>
        <v>4191</v>
      </c>
      <c r="W192" s="11">
        <f t="shared" si="10"/>
        <v>2793</v>
      </c>
      <c r="X192" t="str">
        <f t="shared" si="11"/>
        <v>Cancelled</v>
      </c>
    </row>
    <row r="193" spans="1:24" ht="12.5" x14ac:dyDescent="0.25">
      <c r="A193" s="2" t="s">
        <v>819</v>
      </c>
      <c r="B193" s="2" t="s">
        <v>820</v>
      </c>
      <c r="C193" s="2" t="s">
        <v>821</v>
      </c>
      <c r="D193" s="7" t="s">
        <v>822</v>
      </c>
      <c r="E193" s="7" t="s">
        <v>132</v>
      </c>
      <c r="F193" s="7" t="s">
        <v>38</v>
      </c>
      <c r="G193" s="5">
        <v>1860</v>
      </c>
      <c r="H193" s="5">
        <v>40</v>
      </c>
      <c r="I193" s="5">
        <v>1116</v>
      </c>
      <c r="J193" s="5">
        <v>2</v>
      </c>
      <c r="K193" s="2">
        <v>40</v>
      </c>
      <c r="L193" s="7" t="s">
        <v>209</v>
      </c>
      <c r="M193" s="4">
        <v>4.4000000000000004</v>
      </c>
      <c r="N193" s="5">
        <v>54</v>
      </c>
      <c r="O193" s="3">
        <v>45810</v>
      </c>
      <c r="P193" s="7" t="s">
        <v>2391</v>
      </c>
      <c r="Q193" s="7" t="s">
        <v>78</v>
      </c>
      <c r="R193" s="7" t="s">
        <v>41</v>
      </c>
      <c r="S193" s="7" t="s">
        <v>42</v>
      </c>
      <c r="T193" s="7"/>
      <c r="U193" s="11">
        <f t="shared" si="8"/>
        <v>3720</v>
      </c>
      <c r="V193" s="11">
        <f t="shared" si="9"/>
        <v>2232</v>
      </c>
      <c r="W193" s="11">
        <f t="shared" si="10"/>
        <v>1488</v>
      </c>
      <c r="X193" t="str">
        <f t="shared" si="11"/>
        <v>Returned</v>
      </c>
    </row>
    <row r="194" spans="1:24" ht="12.5" x14ac:dyDescent="0.25">
      <c r="A194" s="2" t="s">
        <v>823</v>
      </c>
      <c r="B194" s="2" t="s">
        <v>824</v>
      </c>
      <c r="C194" s="2" t="s">
        <v>825</v>
      </c>
      <c r="D194" s="7" t="s">
        <v>826</v>
      </c>
      <c r="E194" s="7" t="s">
        <v>208</v>
      </c>
      <c r="F194" s="7" t="s">
        <v>117</v>
      </c>
      <c r="G194" s="5">
        <v>4012</v>
      </c>
      <c r="H194" s="5">
        <v>10</v>
      </c>
      <c r="I194" s="5">
        <v>3611</v>
      </c>
      <c r="J194" s="5">
        <v>3</v>
      </c>
      <c r="K194" s="2" t="s">
        <v>226</v>
      </c>
      <c r="L194" s="7" t="s">
        <v>64</v>
      </c>
      <c r="M194" s="4">
        <v>4</v>
      </c>
      <c r="N194" s="5">
        <v>68</v>
      </c>
      <c r="O194" s="3">
        <v>45790</v>
      </c>
      <c r="P194" s="7" t="s">
        <v>2390</v>
      </c>
      <c r="Q194" s="7" t="s">
        <v>65</v>
      </c>
      <c r="R194" s="7" t="s">
        <v>83</v>
      </c>
      <c r="S194" s="7" t="s">
        <v>83</v>
      </c>
      <c r="T194" s="7"/>
      <c r="U194" s="11">
        <f t="shared" ref="U194:U257" si="12">G194*J194</f>
        <v>12036</v>
      </c>
      <c r="V194" s="11">
        <f t="shared" ref="V194:V257" si="13">I194*J194</f>
        <v>10833</v>
      </c>
      <c r="W194" s="11">
        <f t="shared" ref="W194:W257" si="14">(G194-I194)*J194</f>
        <v>1203</v>
      </c>
      <c r="X194" t="str">
        <f t="shared" ref="X194:X257" si="15">IF(P194="DELIVERED","Completed",IF(P194="RETURNED","Returned","Cancelled"))</f>
        <v>Completed</v>
      </c>
    </row>
    <row r="195" spans="1:24" ht="12.5" x14ac:dyDescent="0.25">
      <c r="A195" s="2" t="s">
        <v>827</v>
      </c>
      <c r="B195" s="2" t="s">
        <v>828</v>
      </c>
      <c r="C195" s="2" t="s">
        <v>829</v>
      </c>
      <c r="D195" s="7" t="s">
        <v>830</v>
      </c>
      <c r="E195" s="7" t="s">
        <v>122</v>
      </c>
      <c r="F195" s="7" t="s">
        <v>123</v>
      </c>
      <c r="G195" s="5">
        <v>3998</v>
      </c>
      <c r="H195" s="5">
        <v>35</v>
      </c>
      <c r="I195" s="5">
        <v>2599</v>
      </c>
      <c r="J195" s="5">
        <v>1</v>
      </c>
      <c r="K195" s="2" t="s">
        <v>226</v>
      </c>
      <c r="L195" s="7" t="s">
        <v>27</v>
      </c>
      <c r="M195" s="4">
        <v>4</v>
      </c>
      <c r="N195" s="5">
        <v>112</v>
      </c>
      <c r="O195" s="3">
        <v>45818</v>
      </c>
      <c r="P195" s="7" t="s">
        <v>2390</v>
      </c>
      <c r="Q195" s="7" t="s">
        <v>29</v>
      </c>
      <c r="R195" s="7" t="s">
        <v>89</v>
      </c>
      <c r="S195" s="7" t="s">
        <v>90</v>
      </c>
      <c r="T195" s="7"/>
      <c r="U195" s="11">
        <f t="shared" si="12"/>
        <v>3998</v>
      </c>
      <c r="V195" s="11">
        <f t="shared" si="13"/>
        <v>2599</v>
      </c>
      <c r="W195" s="11">
        <f t="shared" si="14"/>
        <v>1399</v>
      </c>
      <c r="X195" t="str">
        <f t="shared" si="15"/>
        <v>Completed</v>
      </c>
    </row>
    <row r="196" spans="1:24" ht="12.5" x14ac:dyDescent="0.25">
      <c r="A196" s="2" t="s">
        <v>831</v>
      </c>
      <c r="B196" s="2" t="s">
        <v>156</v>
      </c>
      <c r="C196" s="2" t="s">
        <v>832</v>
      </c>
      <c r="D196" s="7" t="s">
        <v>833</v>
      </c>
      <c r="E196" s="7" t="s">
        <v>208</v>
      </c>
      <c r="F196" s="7" t="s">
        <v>117</v>
      </c>
      <c r="G196" s="5">
        <v>1548</v>
      </c>
      <c r="H196" s="5">
        <v>10</v>
      </c>
      <c r="I196" s="5">
        <v>1394</v>
      </c>
      <c r="J196" s="5">
        <v>2</v>
      </c>
      <c r="K196" s="2">
        <v>42</v>
      </c>
      <c r="L196" s="7" t="s">
        <v>168</v>
      </c>
      <c r="M196" s="4">
        <v>5</v>
      </c>
      <c r="N196" s="5">
        <v>171</v>
      </c>
      <c r="O196" s="3">
        <v>45824</v>
      </c>
      <c r="P196" s="7" t="s">
        <v>2391</v>
      </c>
      <c r="Q196" s="7" t="s">
        <v>65</v>
      </c>
      <c r="R196" s="7" t="s">
        <v>66</v>
      </c>
      <c r="S196" s="7" t="s">
        <v>67</v>
      </c>
      <c r="T196" s="7" t="s">
        <v>134</v>
      </c>
      <c r="U196" s="11">
        <f t="shared" si="12"/>
        <v>3096</v>
      </c>
      <c r="V196" s="11">
        <f t="shared" si="13"/>
        <v>2788</v>
      </c>
      <c r="W196" s="11">
        <f t="shared" si="14"/>
        <v>308</v>
      </c>
      <c r="X196" t="str">
        <f t="shared" si="15"/>
        <v>Returned</v>
      </c>
    </row>
    <row r="197" spans="1:24" ht="12.5" x14ac:dyDescent="0.25">
      <c r="A197" s="2" t="s">
        <v>834</v>
      </c>
      <c r="B197" s="2" t="s">
        <v>835</v>
      </c>
      <c r="C197" s="2" t="s">
        <v>836</v>
      </c>
      <c r="D197" s="7" t="s">
        <v>837</v>
      </c>
      <c r="E197" s="7" t="s">
        <v>132</v>
      </c>
      <c r="F197" s="7" t="s">
        <v>38</v>
      </c>
      <c r="G197" s="5">
        <v>4381</v>
      </c>
      <c r="H197" s="5">
        <v>10</v>
      </c>
      <c r="I197" s="5">
        <v>3943</v>
      </c>
      <c r="J197" s="5">
        <v>2</v>
      </c>
      <c r="K197" s="2" t="s">
        <v>26</v>
      </c>
      <c r="L197" s="7" t="s">
        <v>49</v>
      </c>
      <c r="M197" s="4">
        <v>4.7</v>
      </c>
      <c r="N197" s="5">
        <v>91</v>
      </c>
      <c r="O197" s="3">
        <v>45847</v>
      </c>
      <c r="P197" s="7" t="s">
        <v>2392</v>
      </c>
      <c r="Q197" s="7" t="s">
        <v>65</v>
      </c>
      <c r="R197" s="7" t="s">
        <v>41</v>
      </c>
      <c r="S197" s="7" t="s">
        <v>42</v>
      </c>
      <c r="T197" s="7"/>
      <c r="U197" s="11">
        <f t="shared" si="12"/>
        <v>8762</v>
      </c>
      <c r="V197" s="11">
        <f t="shared" si="13"/>
        <v>7886</v>
      </c>
      <c r="W197" s="11">
        <f t="shared" si="14"/>
        <v>876</v>
      </c>
      <c r="X197" t="str">
        <f t="shared" si="15"/>
        <v>Cancelled</v>
      </c>
    </row>
    <row r="198" spans="1:24" ht="12.5" x14ac:dyDescent="0.25">
      <c r="A198" s="2" t="s">
        <v>838</v>
      </c>
      <c r="B198" s="2" t="s">
        <v>839</v>
      </c>
      <c r="C198" s="2" t="s">
        <v>840</v>
      </c>
      <c r="D198" s="7" t="s">
        <v>841</v>
      </c>
      <c r="E198" s="7" t="s">
        <v>116</v>
      </c>
      <c r="F198" s="7" t="s">
        <v>117</v>
      </c>
      <c r="G198" s="5">
        <v>3577</v>
      </c>
      <c r="H198" s="5">
        <v>35</v>
      </c>
      <c r="I198" s="5">
        <v>2326</v>
      </c>
      <c r="J198" s="5">
        <v>1</v>
      </c>
      <c r="K198" s="2" t="s">
        <v>261</v>
      </c>
      <c r="L198" s="7" t="s">
        <v>64</v>
      </c>
      <c r="M198" s="4">
        <v>4.9000000000000004</v>
      </c>
      <c r="N198" s="5">
        <v>58</v>
      </c>
      <c r="O198" s="3">
        <v>45851</v>
      </c>
      <c r="P198" s="7" t="s">
        <v>2392</v>
      </c>
      <c r="Q198" s="7" t="s">
        <v>29</v>
      </c>
      <c r="R198" s="7" t="s">
        <v>58</v>
      </c>
      <c r="S198" s="7" t="s">
        <v>59</v>
      </c>
      <c r="T198" s="7"/>
      <c r="U198" s="11">
        <f t="shared" si="12"/>
        <v>3577</v>
      </c>
      <c r="V198" s="11">
        <f t="shared" si="13"/>
        <v>2326</v>
      </c>
      <c r="W198" s="11">
        <f t="shared" si="14"/>
        <v>1251</v>
      </c>
      <c r="X198" t="str">
        <f t="shared" si="15"/>
        <v>Cancelled</v>
      </c>
    </row>
    <row r="199" spans="1:24" ht="12.5" x14ac:dyDescent="0.25">
      <c r="A199" s="2" t="s">
        <v>842</v>
      </c>
      <c r="B199" s="2" t="s">
        <v>514</v>
      </c>
      <c r="C199" s="2" t="s">
        <v>843</v>
      </c>
      <c r="D199" s="7" t="s">
        <v>844</v>
      </c>
      <c r="E199" s="7" t="s">
        <v>55</v>
      </c>
      <c r="F199" s="7" t="s">
        <v>38</v>
      </c>
      <c r="G199" s="5">
        <v>4994</v>
      </c>
      <c r="H199" s="5">
        <v>10</v>
      </c>
      <c r="I199" s="5">
        <v>4495</v>
      </c>
      <c r="J199" s="5">
        <v>3</v>
      </c>
      <c r="K199" s="2" t="s">
        <v>32</v>
      </c>
      <c r="L199" s="7" t="s">
        <v>209</v>
      </c>
      <c r="M199" s="4">
        <v>4.8</v>
      </c>
      <c r="N199" s="5">
        <v>255</v>
      </c>
      <c r="O199" s="3">
        <v>45823</v>
      </c>
      <c r="P199" s="7" t="s">
        <v>2390</v>
      </c>
      <c r="Q199" s="7" t="s">
        <v>78</v>
      </c>
      <c r="R199" s="7" t="s">
        <v>58</v>
      </c>
      <c r="S199" s="7" t="s">
        <v>59</v>
      </c>
      <c r="T199" s="7"/>
      <c r="U199" s="11">
        <f t="shared" si="12"/>
        <v>14982</v>
      </c>
      <c r="V199" s="11">
        <f t="shared" si="13"/>
        <v>13485</v>
      </c>
      <c r="W199" s="11">
        <f t="shared" si="14"/>
        <v>1497</v>
      </c>
      <c r="X199" t="str">
        <f t="shared" si="15"/>
        <v>Completed</v>
      </c>
    </row>
    <row r="200" spans="1:24" ht="12.5" x14ac:dyDescent="0.25">
      <c r="A200" s="2" t="s">
        <v>845</v>
      </c>
      <c r="B200" s="2" t="s">
        <v>846</v>
      </c>
      <c r="C200" s="2" t="s">
        <v>847</v>
      </c>
      <c r="D200" s="7" t="s">
        <v>848</v>
      </c>
      <c r="E200" s="7" t="s">
        <v>55</v>
      </c>
      <c r="F200" s="7" t="s">
        <v>38</v>
      </c>
      <c r="G200" s="5">
        <v>4621</v>
      </c>
      <c r="H200" s="5">
        <v>35</v>
      </c>
      <c r="I200" s="5">
        <v>3004</v>
      </c>
      <c r="J200" s="5">
        <v>3</v>
      </c>
      <c r="K200" s="2" t="s">
        <v>226</v>
      </c>
      <c r="L200" s="7" t="s">
        <v>133</v>
      </c>
      <c r="M200" s="4">
        <v>5</v>
      </c>
      <c r="N200" s="5">
        <v>39</v>
      </c>
      <c r="O200" s="3">
        <v>45821</v>
      </c>
      <c r="P200" s="7" t="s">
        <v>2392</v>
      </c>
      <c r="Q200" s="7" t="s">
        <v>65</v>
      </c>
      <c r="R200" s="7" t="s">
        <v>110</v>
      </c>
      <c r="S200" s="7" t="s">
        <v>111</v>
      </c>
      <c r="T200" s="7"/>
      <c r="U200" s="11">
        <f t="shared" si="12"/>
        <v>13863</v>
      </c>
      <c r="V200" s="11">
        <f t="shared" si="13"/>
        <v>9012</v>
      </c>
      <c r="W200" s="11">
        <f t="shared" si="14"/>
        <v>4851</v>
      </c>
      <c r="X200" t="str">
        <f t="shared" si="15"/>
        <v>Cancelled</v>
      </c>
    </row>
    <row r="201" spans="1:24" ht="12.5" x14ac:dyDescent="0.25">
      <c r="A201" s="2" t="s">
        <v>849</v>
      </c>
      <c r="B201" s="2" t="s">
        <v>850</v>
      </c>
      <c r="C201" s="2" t="s">
        <v>851</v>
      </c>
      <c r="D201" s="7" t="s">
        <v>852</v>
      </c>
      <c r="E201" s="7" t="s">
        <v>37</v>
      </c>
      <c r="F201" s="7" t="s">
        <v>38</v>
      </c>
      <c r="G201" s="5">
        <v>1679</v>
      </c>
      <c r="H201" s="5">
        <v>25</v>
      </c>
      <c r="I201" s="5">
        <v>1260</v>
      </c>
      <c r="J201" s="5">
        <v>3</v>
      </c>
      <c r="K201" s="2" t="s">
        <v>56</v>
      </c>
      <c r="L201" s="7" t="s">
        <v>103</v>
      </c>
      <c r="M201" s="4">
        <v>3.5</v>
      </c>
      <c r="N201" s="5">
        <v>157</v>
      </c>
      <c r="O201" s="3">
        <v>45770</v>
      </c>
      <c r="P201" s="7" t="s">
        <v>2391</v>
      </c>
      <c r="Q201" s="7" t="s">
        <v>29</v>
      </c>
      <c r="R201" s="7" t="s">
        <v>185</v>
      </c>
      <c r="S201" s="7" t="s">
        <v>186</v>
      </c>
      <c r="T201" s="7" t="s">
        <v>50</v>
      </c>
      <c r="U201" s="11">
        <f t="shared" si="12"/>
        <v>5037</v>
      </c>
      <c r="V201" s="11">
        <f t="shared" si="13"/>
        <v>3780</v>
      </c>
      <c r="W201" s="11">
        <f t="shared" si="14"/>
        <v>1257</v>
      </c>
      <c r="X201" t="str">
        <f t="shared" si="15"/>
        <v>Returned</v>
      </c>
    </row>
    <row r="202" spans="1:24" ht="12.5" x14ac:dyDescent="0.25">
      <c r="A202" s="2" t="s">
        <v>853</v>
      </c>
      <c r="B202" s="2" t="s">
        <v>854</v>
      </c>
      <c r="C202" s="2" t="s">
        <v>855</v>
      </c>
      <c r="D202" s="7" t="s">
        <v>856</v>
      </c>
      <c r="E202" s="7" t="s">
        <v>24</v>
      </c>
      <c r="F202" s="7" t="s">
        <v>25</v>
      </c>
      <c r="G202" s="5">
        <v>4049</v>
      </c>
      <c r="H202" s="5">
        <v>20</v>
      </c>
      <c r="I202" s="5">
        <v>3240</v>
      </c>
      <c r="J202" s="5">
        <v>3</v>
      </c>
      <c r="K202" s="2">
        <v>42</v>
      </c>
      <c r="L202" s="7" t="s">
        <v>209</v>
      </c>
      <c r="M202" s="4">
        <v>4.5999999999999996</v>
      </c>
      <c r="N202" s="5">
        <v>176</v>
      </c>
      <c r="O202" s="3">
        <v>45779</v>
      </c>
      <c r="P202" s="7" t="s">
        <v>2391</v>
      </c>
      <c r="Q202" s="7" t="s">
        <v>78</v>
      </c>
      <c r="R202" s="7" t="s">
        <v>58</v>
      </c>
      <c r="S202" s="7" t="s">
        <v>59</v>
      </c>
      <c r="T202" s="7"/>
      <c r="U202" s="11">
        <f t="shared" si="12"/>
        <v>12147</v>
      </c>
      <c r="V202" s="11">
        <f t="shared" si="13"/>
        <v>9720</v>
      </c>
      <c r="W202" s="11">
        <f t="shared" si="14"/>
        <v>2427</v>
      </c>
      <c r="X202" t="str">
        <f t="shared" si="15"/>
        <v>Returned</v>
      </c>
    </row>
    <row r="203" spans="1:24" ht="12.5" x14ac:dyDescent="0.25">
      <c r="A203" s="2" t="s">
        <v>857</v>
      </c>
      <c r="B203" s="2" t="s">
        <v>858</v>
      </c>
      <c r="C203" s="2" t="s">
        <v>859</v>
      </c>
      <c r="D203" s="7" t="s">
        <v>860</v>
      </c>
      <c r="E203" s="7" t="s">
        <v>55</v>
      </c>
      <c r="F203" s="7" t="s">
        <v>38</v>
      </c>
      <c r="G203" s="5">
        <v>2981</v>
      </c>
      <c r="H203" s="5">
        <v>40</v>
      </c>
      <c r="I203" s="5">
        <v>1789</v>
      </c>
      <c r="J203" s="5">
        <v>3</v>
      </c>
      <c r="K203" s="2">
        <v>40</v>
      </c>
      <c r="L203" s="7" t="s">
        <v>209</v>
      </c>
      <c r="M203" s="4">
        <v>3.9</v>
      </c>
      <c r="N203" s="5">
        <v>218</v>
      </c>
      <c r="O203" s="3">
        <v>45855</v>
      </c>
      <c r="P203" s="7" t="s">
        <v>2391</v>
      </c>
      <c r="Q203" s="7" t="s">
        <v>78</v>
      </c>
      <c r="R203" s="7" t="s">
        <v>149</v>
      </c>
      <c r="S203" s="7" t="s">
        <v>150</v>
      </c>
      <c r="T203" s="7" t="s">
        <v>134</v>
      </c>
      <c r="U203" s="11">
        <f t="shared" si="12"/>
        <v>8943</v>
      </c>
      <c r="V203" s="11">
        <f t="shared" si="13"/>
        <v>5367</v>
      </c>
      <c r="W203" s="11">
        <f t="shared" si="14"/>
        <v>3576</v>
      </c>
      <c r="X203" t="str">
        <f t="shared" si="15"/>
        <v>Returned</v>
      </c>
    </row>
    <row r="204" spans="1:24" ht="12.5" x14ac:dyDescent="0.25">
      <c r="A204" s="2" t="s">
        <v>861</v>
      </c>
      <c r="B204" s="2" t="s">
        <v>862</v>
      </c>
      <c r="C204" s="2" t="s">
        <v>863</v>
      </c>
      <c r="D204" s="7" t="s">
        <v>864</v>
      </c>
      <c r="E204" s="7" t="s">
        <v>116</v>
      </c>
      <c r="F204" s="7" t="s">
        <v>117</v>
      </c>
      <c r="G204" s="5">
        <v>4544</v>
      </c>
      <c r="H204" s="5">
        <v>35</v>
      </c>
      <c r="I204" s="5">
        <v>2954</v>
      </c>
      <c r="J204" s="5">
        <v>3</v>
      </c>
      <c r="K204" s="2" t="s">
        <v>26</v>
      </c>
      <c r="L204" s="7" t="s">
        <v>168</v>
      </c>
      <c r="M204" s="4">
        <v>4.3</v>
      </c>
      <c r="N204" s="5">
        <v>178</v>
      </c>
      <c r="O204" s="3">
        <v>45832</v>
      </c>
      <c r="P204" s="7" t="s">
        <v>2392</v>
      </c>
      <c r="Q204" s="7" t="s">
        <v>78</v>
      </c>
      <c r="R204" s="7" t="s">
        <v>83</v>
      </c>
      <c r="S204" s="7" t="s">
        <v>83</v>
      </c>
      <c r="T204" s="7"/>
      <c r="U204" s="11">
        <f t="shared" si="12"/>
        <v>13632</v>
      </c>
      <c r="V204" s="11">
        <f t="shared" si="13"/>
        <v>8862</v>
      </c>
      <c r="W204" s="11">
        <f t="shared" si="14"/>
        <v>4770</v>
      </c>
      <c r="X204" t="str">
        <f t="shared" si="15"/>
        <v>Cancelled</v>
      </c>
    </row>
    <row r="205" spans="1:24" ht="12.5" x14ac:dyDescent="0.25">
      <c r="A205" s="2" t="s">
        <v>865</v>
      </c>
      <c r="B205" s="2" t="s">
        <v>61</v>
      </c>
      <c r="C205" s="2" t="s">
        <v>866</v>
      </c>
      <c r="D205" s="7" t="s">
        <v>867</v>
      </c>
      <c r="E205" s="7" t="s">
        <v>147</v>
      </c>
      <c r="F205" s="7" t="s">
        <v>148</v>
      </c>
      <c r="G205" s="5">
        <v>2781</v>
      </c>
      <c r="H205" s="5">
        <v>15</v>
      </c>
      <c r="I205" s="5">
        <v>2364</v>
      </c>
      <c r="J205" s="5">
        <v>2</v>
      </c>
      <c r="K205" s="2" t="s">
        <v>261</v>
      </c>
      <c r="L205" s="7" t="s">
        <v>133</v>
      </c>
      <c r="M205" s="4">
        <v>4.4000000000000004</v>
      </c>
      <c r="N205" s="5">
        <v>177</v>
      </c>
      <c r="O205" s="3">
        <v>45820</v>
      </c>
      <c r="P205" s="7" t="s">
        <v>2391</v>
      </c>
      <c r="Q205" s="7" t="s">
        <v>78</v>
      </c>
      <c r="R205" s="7" t="s">
        <v>83</v>
      </c>
      <c r="S205" s="7" t="s">
        <v>83</v>
      </c>
      <c r="T205" s="7" t="s">
        <v>43</v>
      </c>
      <c r="U205" s="11">
        <f t="shared" si="12"/>
        <v>5562</v>
      </c>
      <c r="V205" s="11">
        <f t="shared" si="13"/>
        <v>4728</v>
      </c>
      <c r="W205" s="11">
        <f t="shared" si="14"/>
        <v>834</v>
      </c>
      <c r="X205" t="str">
        <f t="shared" si="15"/>
        <v>Returned</v>
      </c>
    </row>
    <row r="206" spans="1:24" ht="12.5" x14ac:dyDescent="0.25">
      <c r="A206" s="2" t="s">
        <v>868</v>
      </c>
      <c r="B206" s="2" t="s">
        <v>869</v>
      </c>
      <c r="C206" s="2" t="s">
        <v>870</v>
      </c>
      <c r="D206" s="7" t="s">
        <v>871</v>
      </c>
      <c r="E206" s="7" t="s">
        <v>24</v>
      </c>
      <c r="F206" s="7" t="s">
        <v>25</v>
      </c>
      <c r="G206" s="5">
        <v>2959</v>
      </c>
      <c r="H206" s="5">
        <v>25</v>
      </c>
      <c r="I206" s="5">
        <v>2220</v>
      </c>
      <c r="J206" s="5">
        <v>1</v>
      </c>
      <c r="K206" s="2" t="s">
        <v>26</v>
      </c>
      <c r="L206" s="7" t="s">
        <v>27</v>
      </c>
      <c r="M206" s="4">
        <v>4.3</v>
      </c>
      <c r="N206" s="5">
        <v>35</v>
      </c>
      <c r="O206" s="3">
        <v>45800</v>
      </c>
      <c r="P206" s="7" t="s">
        <v>2390</v>
      </c>
      <c r="Q206" s="7" t="s">
        <v>78</v>
      </c>
      <c r="R206" s="7" t="s">
        <v>185</v>
      </c>
      <c r="S206" s="7" t="s">
        <v>186</v>
      </c>
      <c r="T206" s="7"/>
      <c r="U206" s="11">
        <f t="shared" si="12"/>
        <v>2959</v>
      </c>
      <c r="V206" s="11">
        <f t="shared" si="13"/>
        <v>2220</v>
      </c>
      <c r="W206" s="11">
        <f t="shared" si="14"/>
        <v>739</v>
      </c>
      <c r="X206" t="str">
        <f t="shared" si="15"/>
        <v>Completed</v>
      </c>
    </row>
    <row r="207" spans="1:24" ht="12.5" x14ac:dyDescent="0.25">
      <c r="A207" s="2" t="s">
        <v>872</v>
      </c>
      <c r="B207" s="2" t="s">
        <v>798</v>
      </c>
      <c r="C207" s="2" t="s">
        <v>873</v>
      </c>
      <c r="D207" s="7" t="s">
        <v>874</v>
      </c>
      <c r="E207" s="7" t="s">
        <v>48</v>
      </c>
      <c r="F207" s="7" t="s">
        <v>25</v>
      </c>
      <c r="G207" s="5">
        <v>4709</v>
      </c>
      <c r="H207" s="5">
        <v>20</v>
      </c>
      <c r="I207" s="5">
        <v>3768</v>
      </c>
      <c r="J207" s="5">
        <v>3</v>
      </c>
      <c r="K207" s="2">
        <v>42</v>
      </c>
      <c r="L207" s="7" t="s">
        <v>133</v>
      </c>
      <c r="M207" s="4">
        <v>4.0999999999999996</v>
      </c>
      <c r="N207" s="5">
        <v>216</v>
      </c>
      <c r="O207" s="3">
        <v>45779</v>
      </c>
      <c r="P207" s="7" t="s">
        <v>2390</v>
      </c>
      <c r="Q207" s="7" t="s">
        <v>78</v>
      </c>
      <c r="R207" s="7" t="s">
        <v>149</v>
      </c>
      <c r="S207" s="7" t="s">
        <v>150</v>
      </c>
      <c r="T207" s="7"/>
      <c r="U207" s="11">
        <f t="shared" si="12"/>
        <v>14127</v>
      </c>
      <c r="V207" s="11">
        <f t="shared" si="13"/>
        <v>11304</v>
      </c>
      <c r="W207" s="11">
        <f t="shared" si="14"/>
        <v>2823</v>
      </c>
      <c r="X207" t="str">
        <f t="shared" si="15"/>
        <v>Completed</v>
      </c>
    </row>
    <row r="208" spans="1:24" ht="12.5" x14ac:dyDescent="0.25">
      <c r="A208" s="2" t="s">
        <v>875</v>
      </c>
      <c r="B208" s="2" t="s">
        <v>876</v>
      </c>
      <c r="C208" s="2" t="s">
        <v>877</v>
      </c>
      <c r="D208" s="7" t="s">
        <v>878</v>
      </c>
      <c r="E208" s="7" t="s">
        <v>208</v>
      </c>
      <c r="F208" s="7" t="s">
        <v>117</v>
      </c>
      <c r="G208" s="5">
        <v>3163</v>
      </c>
      <c r="H208" s="5">
        <v>40</v>
      </c>
      <c r="I208" s="5">
        <v>1898</v>
      </c>
      <c r="J208" s="5">
        <v>3</v>
      </c>
      <c r="K208" s="2">
        <v>42</v>
      </c>
      <c r="L208" s="7" t="s">
        <v>64</v>
      </c>
      <c r="M208" s="4">
        <v>4.8</v>
      </c>
      <c r="N208" s="5">
        <v>156</v>
      </c>
      <c r="O208" s="3">
        <v>45829</v>
      </c>
      <c r="P208" s="7" t="s">
        <v>2391</v>
      </c>
      <c r="Q208" s="7" t="s">
        <v>29</v>
      </c>
      <c r="R208" s="7" t="s">
        <v>104</v>
      </c>
      <c r="S208" s="7" t="s">
        <v>105</v>
      </c>
      <c r="T208" s="7" t="s">
        <v>203</v>
      </c>
      <c r="U208" s="11">
        <f t="shared" si="12"/>
        <v>9489</v>
      </c>
      <c r="V208" s="11">
        <f t="shared" si="13"/>
        <v>5694</v>
      </c>
      <c r="W208" s="11">
        <f t="shared" si="14"/>
        <v>3795</v>
      </c>
      <c r="X208" t="str">
        <f t="shared" si="15"/>
        <v>Returned</v>
      </c>
    </row>
    <row r="209" spans="1:24" ht="12.5" x14ac:dyDescent="0.25">
      <c r="A209" s="2" t="s">
        <v>879</v>
      </c>
      <c r="B209" s="2" t="s">
        <v>880</v>
      </c>
      <c r="C209" s="2" t="s">
        <v>881</v>
      </c>
      <c r="D209" s="7" t="s">
        <v>882</v>
      </c>
      <c r="E209" s="7" t="s">
        <v>24</v>
      </c>
      <c r="F209" s="7" t="s">
        <v>25</v>
      </c>
      <c r="G209" s="5">
        <v>628</v>
      </c>
      <c r="H209" s="5">
        <v>15</v>
      </c>
      <c r="I209" s="5">
        <v>534</v>
      </c>
      <c r="J209" s="5">
        <v>3</v>
      </c>
      <c r="K209" s="2" t="s">
        <v>261</v>
      </c>
      <c r="L209" s="7" t="s">
        <v>49</v>
      </c>
      <c r="M209" s="4">
        <v>3.6</v>
      </c>
      <c r="N209" s="5">
        <v>28</v>
      </c>
      <c r="O209" s="3">
        <v>45807</v>
      </c>
      <c r="P209" s="7" t="s">
        <v>2391</v>
      </c>
      <c r="Q209" s="7" t="s">
        <v>78</v>
      </c>
      <c r="R209" s="7" t="s">
        <v>83</v>
      </c>
      <c r="S209" s="7" t="s">
        <v>83</v>
      </c>
      <c r="T209" s="7" t="s">
        <v>203</v>
      </c>
      <c r="U209" s="11">
        <f t="shared" si="12"/>
        <v>1884</v>
      </c>
      <c r="V209" s="11">
        <f t="shared" si="13"/>
        <v>1602</v>
      </c>
      <c r="W209" s="11">
        <f t="shared" si="14"/>
        <v>282</v>
      </c>
      <c r="X209" t="str">
        <f t="shared" si="15"/>
        <v>Returned</v>
      </c>
    </row>
    <row r="210" spans="1:24" ht="12.5" x14ac:dyDescent="0.25">
      <c r="A210" s="2" t="s">
        <v>883</v>
      </c>
      <c r="B210" s="2" t="s">
        <v>884</v>
      </c>
      <c r="C210" s="2" t="s">
        <v>885</v>
      </c>
      <c r="D210" s="7" t="s">
        <v>886</v>
      </c>
      <c r="E210" s="7" t="s">
        <v>147</v>
      </c>
      <c r="F210" s="7" t="s">
        <v>148</v>
      </c>
      <c r="G210" s="5">
        <v>2221</v>
      </c>
      <c r="H210" s="5">
        <v>20</v>
      </c>
      <c r="I210" s="5">
        <v>1777</v>
      </c>
      <c r="J210" s="5">
        <v>1</v>
      </c>
      <c r="K210" s="2" t="s">
        <v>32</v>
      </c>
      <c r="L210" s="7" t="s">
        <v>73</v>
      </c>
      <c r="M210" s="4">
        <v>4.4000000000000004</v>
      </c>
      <c r="N210" s="5">
        <v>47</v>
      </c>
      <c r="O210" s="3">
        <v>45780</v>
      </c>
      <c r="P210" s="7" t="s">
        <v>2390</v>
      </c>
      <c r="Q210" s="7" t="s">
        <v>78</v>
      </c>
      <c r="R210" s="7" t="s">
        <v>30</v>
      </c>
      <c r="S210" s="7" t="s">
        <v>31</v>
      </c>
      <c r="T210" s="7"/>
      <c r="U210" s="11">
        <f t="shared" si="12"/>
        <v>2221</v>
      </c>
      <c r="V210" s="11">
        <f t="shared" si="13"/>
        <v>1777</v>
      </c>
      <c r="W210" s="11">
        <f t="shared" si="14"/>
        <v>444</v>
      </c>
      <c r="X210" t="str">
        <f t="shared" si="15"/>
        <v>Completed</v>
      </c>
    </row>
    <row r="211" spans="1:24" ht="12.5" x14ac:dyDescent="0.25">
      <c r="A211" s="2" t="s">
        <v>887</v>
      </c>
      <c r="B211" s="2" t="s">
        <v>303</v>
      </c>
      <c r="C211" s="2" t="s">
        <v>888</v>
      </c>
      <c r="D211" s="7" t="s">
        <v>889</v>
      </c>
      <c r="E211" s="7" t="s">
        <v>116</v>
      </c>
      <c r="F211" s="7" t="s">
        <v>117</v>
      </c>
      <c r="G211" s="5">
        <v>4389</v>
      </c>
      <c r="H211" s="5">
        <v>25</v>
      </c>
      <c r="I211" s="5">
        <v>3292</v>
      </c>
      <c r="J211" s="5">
        <v>1</v>
      </c>
      <c r="K211" s="2">
        <v>44</v>
      </c>
      <c r="L211" s="7" t="s">
        <v>133</v>
      </c>
      <c r="M211" s="4">
        <v>3.8</v>
      </c>
      <c r="N211" s="5">
        <v>135</v>
      </c>
      <c r="O211" s="3">
        <v>45781</v>
      </c>
      <c r="P211" s="7" t="s">
        <v>2390</v>
      </c>
      <c r="Q211" s="7" t="s">
        <v>65</v>
      </c>
      <c r="R211" s="7" t="s">
        <v>149</v>
      </c>
      <c r="S211" s="7" t="s">
        <v>150</v>
      </c>
      <c r="T211" s="7"/>
      <c r="U211" s="11">
        <f t="shared" si="12"/>
        <v>4389</v>
      </c>
      <c r="V211" s="11">
        <f t="shared" si="13"/>
        <v>3292</v>
      </c>
      <c r="W211" s="11">
        <f t="shared" si="14"/>
        <v>1097</v>
      </c>
      <c r="X211" t="str">
        <f t="shared" si="15"/>
        <v>Completed</v>
      </c>
    </row>
    <row r="212" spans="1:24" ht="12.5" x14ac:dyDescent="0.25">
      <c r="A212" s="2" t="s">
        <v>890</v>
      </c>
      <c r="B212" s="2" t="s">
        <v>891</v>
      </c>
      <c r="C212" s="2" t="s">
        <v>660</v>
      </c>
      <c r="D212" s="7" t="s">
        <v>892</v>
      </c>
      <c r="E212" s="7" t="s">
        <v>37</v>
      </c>
      <c r="F212" s="7" t="s">
        <v>38</v>
      </c>
      <c r="G212" s="5">
        <v>4136</v>
      </c>
      <c r="H212" s="5">
        <v>30</v>
      </c>
      <c r="I212" s="5">
        <v>2896</v>
      </c>
      <c r="J212" s="5">
        <v>3</v>
      </c>
      <c r="K212" s="2" t="s">
        <v>72</v>
      </c>
      <c r="L212" s="7" t="s">
        <v>73</v>
      </c>
      <c r="M212" s="4">
        <v>4.2</v>
      </c>
      <c r="N212" s="5">
        <v>166</v>
      </c>
      <c r="O212" s="3">
        <v>45777</v>
      </c>
      <c r="P212" s="7" t="s">
        <v>2391</v>
      </c>
      <c r="Q212" s="7" t="s">
        <v>78</v>
      </c>
      <c r="R212" s="7" t="s">
        <v>110</v>
      </c>
      <c r="S212" s="7" t="s">
        <v>111</v>
      </c>
      <c r="T212" s="7" t="s">
        <v>43</v>
      </c>
      <c r="U212" s="11">
        <f t="shared" si="12"/>
        <v>12408</v>
      </c>
      <c r="V212" s="11">
        <f t="shared" si="13"/>
        <v>8688</v>
      </c>
      <c r="W212" s="11">
        <f t="shared" si="14"/>
        <v>3720</v>
      </c>
      <c r="X212" t="str">
        <f t="shared" si="15"/>
        <v>Returned</v>
      </c>
    </row>
    <row r="213" spans="1:24" ht="12.5" x14ac:dyDescent="0.25">
      <c r="A213" s="2" t="s">
        <v>893</v>
      </c>
      <c r="B213" s="2" t="s">
        <v>267</v>
      </c>
      <c r="C213" s="2" t="s">
        <v>894</v>
      </c>
      <c r="D213" s="7" t="s">
        <v>895</v>
      </c>
      <c r="E213" s="7" t="s">
        <v>132</v>
      </c>
      <c r="F213" s="7" t="s">
        <v>38</v>
      </c>
      <c r="G213" s="5">
        <v>3640</v>
      </c>
      <c r="H213" s="5">
        <v>35</v>
      </c>
      <c r="I213" s="5">
        <v>2366</v>
      </c>
      <c r="J213" s="5">
        <v>2</v>
      </c>
      <c r="K213" s="2">
        <v>42</v>
      </c>
      <c r="L213" s="7" t="s">
        <v>168</v>
      </c>
      <c r="M213" s="4">
        <v>4.7</v>
      </c>
      <c r="N213" s="5">
        <v>182</v>
      </c>
      <c r="O213" s="3">
        <v>45788</v>
      </c>
      <c r="P213" s="7" t="s">
        <v>2392</v>
      </c>
      <c r="Q213" s="7" t="s">
        <v>65</v>
      </c>
      <c r="R213" s="7" t="s">
        <v>58</v>
      </c>
      <c r="S213" s="7" t="s">
        <v>59</v>
      </c>
      <c r="T213" s="7"/>
      <c r="U213" s="11">
        <f t="shared" si="12"/>
        <v>7280</v>
      </c>
      <c r="V213" s="11">
        <f t="shared" si="13"/>
        <v>4732</v>
      </c>
      <c r="W213" s="11">
        <f t="shared" si="14"/>
        <v>2548</v>
      </c>
      <c r="X213" t="str">
        <f t="shared" si="15"/>
        <v>Cancelled</v>
      </c>
    </row>
    <row r="214" spans="1:24" ht="12.5" x14ac:dyDescent="0.25">
      <c r="A214" s="2" t="s">
        <v>896</v>
      </c>
      <c r="B214" s="2" t="s">
        <v>897</v>
      </c>
      <c r="C214" s="2" t="s">
        <v>898</v>
      </c>
      <c r="D214" s="7" t="s">
        <v>899</v>
      </c>
      <c r="E214" s="7" t="s">
        <v>55</v>
      </c>
      <c r="F214" s="7" t="s">
        <v>38</v>
      </c>
      <c r="G214" s="5">
        <v>2811</v>
      </c>
      <c r="H214" s="5">
        <v>30</v>
      </c>
      <c r="I214" s="5">
        <v>1968</v>
      </c>
      <c r="J214" s="5">
        <v>2</v>
      </c>
      <c r="K214" s="2" t="s">
        <v>72</v>
      </c>
      <c r="L214" s="7" t="s">
        <v>133</v>
      </c>
      <c r="M214" s="4">
        <v>4.4000000000000004</v>
      </c>
      <c r="N214" s="5">
        <v>179</v>
      </c>
      <c r="O214" s="3">
        <v>45782</v>
      </c>
      <c r="P214" s="7" t="s">
        <v>2390</v>
      </c>
      <c r="Q214" s="7" t="s">
        <v>29</v>
      </c>
      <c r="R214" s="7" t="s">
        <v>104</v>
      </c>
      <c r="S214" s="7" t="s">
        <v>105</v>
      </c>
      <c r="T214" s="7"/>
      <c r="U214" s="11">
        <f t="shared" si="12"/>
        <v>5622</v>
      </c>
      <c r="V214" s="11">
        <f t="shared" si="13"/>
        <v>3936</v>
      </c>
      <c r="W214" s="11">
        <f t="shared" si="14"/>
        <v>1686</v>
      </c>
      <c r="X214" t="str">
        <f t="shared" si="15"/>
        <v>Completed</v>
      </c>
    </row>
    <row r="215" spans="1:24" ht="12.5" x14ac:dyDescent="0.25">
      <c r="A215" s="2" t="s">
        <v>900</v>
      </c>
      <c r="B215" s="2" t="s">
        <v>901</v>
      </c>
      <c r="C215" s="2" t="s">
        <v>902</v>
      </c>
      <c r="D215" s="7" t="s">
        <v>903</v>
      </c>
      <c r="E215" s="7" t="s">
        <v>116</v>
      </c>
      <c r="F215" s="7" t="s">
        <v>117</v>
      </c>
      <c r="G215" s="5">
        <v>4508</v>
      </c>
      <c r="H215" s="5">
        <v>20</v>
      </c>
      <c r="I215" s="5">
        <v>3607</v>
      </c>
      <c r="J215" s="5">
        <v>1</v>
      </c>
      <c r="K215" s="2">
        <v>44</v>
      </c>
      <c r="L215" s="7" t="s">
        <v>133</v>
      </c>
      <c r="M215" s="4">
        <v>3.9</v>
      </c>
      <c r="N215" s="5">
        <v>98</v>
      </c>
      <c r="O215" s="3">
        <v>45778</v>
      </c>
      <c r="P215" s="7" t="s">
        <v>2391</v>
      </c>
      <c r="Q215" s="7" t="s">
        <v>29</v>
      </c>
      <c r="R215" s="7" t="s">
        <v>110</v>
      </c>
      <c r="S215" s="7" t="s">
        <v>111</v>
      </c>
      <c r="T215" s="7"/>
      <c r="U215" s="11">
        <f t="shared" si="12"/>
        <v>4508</v>
      </c>
      <c r="V215" s="11">
        <f t="shared" si="13"/>
        <v>3607</v>
      </c>
      <c r="W215" s="11">
        <f t="shared" si="14"/>
        <v>901</v>
      </c>
      <c r="X215" t="str">
        <f t="shared" si="15"/>
        <v>Returned</v>
      </c>
    </row>
    <row r="216" spans="1:24" ht="12.5" x14ac:dyDescent="0.25">
      <c r="A216" s="2" t="s">
        <v>904</v>
      </c>
      <c r="B216" s="2" t="s">
        <v>905</v>
      </c>
      <c r="C216" s="2" t="s">
        <v>906</v>
      </c>
      <c r="D216" s="7" t="s">
        <v>907</v>
      </c>
      <c r="E216" s="7" t="s">
        <v>37</v>
      </c>
      <c r="F216" s="7" t="s">
        <v>38</v>
      </c>
      <c r="G216" s="5">
        <v>4881</v>
      </c>
      <c r="H216" s="5">
        <v>40</v>
      </c>
      <c r="I216" s="5">
        <v>2929</v>
      </c>
      <c r="J216" s="5">
        <v>3</v>
      </c>
      <c r="K216" s="2" t="s">
        <v>261</v>
      </c>
      <c r="L216" s="7" t="s">
        <v>103</v>
      </c>
      <c r="M216" s="4">
        <v>4.4000000000000004</v>
      </c>
      <c r="N216" s="5">
        <v>218</v>
      </c>
      <c r="O216" s="3">
        <v>45831</v>
      </c>
      <c r="P216" s="7" t="s">
        <v>2391</v>
      </c>
      <c r="Q216" s="7" t="s">
        <v>29</v>
      </c>
      <c r="R216" s="7" t="s">
        <v>41</v>
      </c>
      <c r="S216" s="7" t="s">
        <v>42</v>
      </c>
      <c r="T216" s="7" t="s">
        <v>50</v>
      </c>
      <c r="U216" s="11">
        <f t="shared" si="12"/>
        <v>14643</v>
      </c>
      <c r="V216" s="11">
        <f t="shared" si="13"/>
        <v>8787</v>
      </c>
      <c r="W216" s="11">
        <f t="shared" si="14"/>
        <v>5856</v>
      </c>
      <c r="X216" t="str">
        <f t="shared" si="15"/>
        <v>Returned</v>
      </c>
    </row>
    <row r="217" spans="1:24" ht="12.5" x14ac:dyDescent="0.25">
      <c r="A217" s="2" t="s">
        <v>908</v>
      </c>
      <c r="B217" s="2" t="s">
        <v>909</v>
      </c>
      <c r="C217" s="2" t="s">
        <v>910</v>
      </c>
      <c r="D217" s="7" t="s">
        <v>911</v>
      </c>
      <c r="E217" s="7" t="s">
        <v>147</v>
      </c>
      <c r="F217" s="7" t="s">
        <v>148</v>
      </c>
      <c r="G217" s="5">
        <v>4173</v>
      </c>
      <c r="H217" s="5">
        <v>25</v>
      </c>
      <c r="I217" s="5">
        <v>3130</v>
      </c>
      <c r="J217" s="5">
        <v>3</v>
      </c>
      <c r="K217" s="2" t="s">
        <v>163</v>
      </c>
      <c r="L217" s="7" t="s">
        <v>49</v>
      </c>
      <c r="M217" s="4">
        <v>3.9</v>
      </c>
      <c r="N217" s="5">
        <v>218</v>
      </c>
      <c r="O217" s="3">
        <v>45783</v>
      </c>
      <c r="P217" s="7" t="s">
        <v>2390</v>
      </c>
      <c r="Q217" s="7" t="s">
        <v>65</v>
      </c>
      <c r="R217" s="7" t="s">
        <v>149</v>
      </c>
      <c r="S217" s="7" t="s">
        <v>150</v>
      </c>
      <c r="T217" s="7"/>
      <c r="U217" s="11">
        <f t="shared" si="12"/>
        <v>12519</v>
      </c>
      <c r="V217" s="11">
        <f t="shared" si="13"/>
        <v>9390</v>
      </c>
      <c r="W217" s="11">
        <f t="shared" si="14"/>
        <v>3129</v>
      </c>
      <c r="X217" t="str">
        <f t="shared" si="15"/>
        <v>Completed</v>
      </c>
    </row>
    <row r="218" spans="1:24" ht="12.5" x14ac:dyDescent="0.25">
      <c r="A218" s="2" t="s">
        <v>912</v>
      </c>
      <c r="B218" s="2" t="s">
        <v>913</v>
      </c>
      <c r="C218" s="2" t="s">
        <v>914</v>
      </c>
      <c r="D218" s="7" t="s">
        <v>915</v>
      </c>
      <c r="E218" s="7" t="s">
        <v>147</v>
      </c>
      <c r="F218" s="7" t="s">
        <v>148</v>
      </c>
      <c r="G218" s="5">
        <v>3866</v>
      </c>
      <c r="H218" s="5">
        <v>35</v>
      </c>
      <c r="I218" s="5">
        <v>2513</v>
      </c>
      <c r="J218" s="5">
        <v>1</v>
      </c>
      <c r="K218" s="2">
        <v>44</v>
      </c>
      <c r="L218" s="7" t="s">
        <v>27</v>
      </c>
      <c r="M218" s="4">
        <v>4.2</v>
      </c>
      <c r="N218" s="5">
        <v>299</v>
      </c>
      <c r="O218" s="3">
        <v>45812</v>
      </c>
      <c r="P218" s="7" t="s">
        <v>2390</v>
      </c>
      <c r="Q218" s="7" t="s">
        <v>65</v>
      </c>
      <c r="R218" s="7" t="s">
        <v>30</v>
      </c>
      <c r="S218" s="7" t="s">
        <v>31</v>
      </c>
      <c r="T218" s="7"/>
      <c r="U218" s="11">
        <f t="shared" si="12"/>
        <v>3866</v>
      </c>
      <c r="V218" s="11">
        <f t="shared" si="13"/>
        <v>2513</v>
      </c>
      <c r="W218" s="11">
        <f t="shared" si="14"/>
        <v>1353</v>
      </c>
      <c r="X218" t="str">
        <f t="shared" si="15"/>
        <v>Completed</v>
      </c>
    </row>
    <row r="219" spans="1:24" ht="12.5" x14ac:dyDescent="0.25">
      <c r="A219" s="2" t="s">
        <v>916</v>
      </c>
      <c r="B219" s="2" t="s">
        <v>917</v>
      </c>
      <c r="C219" s="2" t="s">
        <v>918</v>
      </c>
      <c r="D219" s="7" t="s">
        <v>919</v>
      </c>
      <c r="E219" s="7" t="s">
        <v>48</v>
      </c>
      <c r="F219" s="7" t="s">
        <v>25</v>
      </c>
      <c r="G219" s="5">
        <v>4488</v>
      </c>
      <c r="H219" s="5">
        <v>35</v>
      </c>
      <c r="I219" s="5">
        <v>2918</v>
      </c>
      <c r="J219" s="5">
        <v>3</v>
      </c>
      <c r="K219" s="2" t="s">
        <v>261</v>
      </c>
      <c r="L219" s="7" t="s">
        <v>88</v>
      </c>
      <c r="M219" s="4">
        <v>3.8</v>
      </c>
      <c r="N219" s="5">
        <v>187</v>
      </c>
      <c r="O219" s="3">
        <v>45831</v>
      </c>
      <c r="P219" s="7" t="s">
        <v>2392</v>
      </c>
      <c r="Q219" s="7" t="s">
        <v>78</v>
      </c>
      <c r="R219" s="7" t="s">
        <v>58</v>
      </c>
      <c r="S219" s="7" t="s">
        <v>59</v>
      </c>
      <c r="T219" s="7"/>
      <c r="U219" s="11">
        <f t="shared" si="12"/>
        <v>13464</v>
      </c>
      <c r="V219" s="11">
        <f t="shared" si="13"/>
        <v>8754</v>
      </c>
      <c r="W219" s="11">
        <f t="shared" si="14"/>
        <v>4710</v>
      </c>
      <c r="X219" t="str">
        <f t="shared" si="15"/>
        <v>Cancelled</v>
      </c>
    </row>
    <row r="220" spans="1:24" ht="12.5" x14ac:dyDescent="0.25">
      <c r="A220" s="2" t="s">
        <v>920</v>
      </c>
      <c r="B220" s="2" t="s">
        <v>921</v>
      </c>
      <c r="C220" s="2" t="s">
        <v>922</v>
      </c>
      <c r="D220" s="7" t="s">
        <v>923</v>
      </c>
      <c r="E220" s="7" t="s">
        <v>208</v>
      </c>
      <c r="F220" s="7" t="s">
        <v>117</v>
      </c>
      <c r="G220" s="5">
        <v>2634</v>
      </c>
      <c r="H220" s="5">
        <v>20</v>
      </c>
      <c r="I220" s="5">
        <v>2108</v>
      </c>
      <c r="J220" s="5">
        <v>1</v>
      </c>
      <c r="K220" s="2" t="s">
        <v>72</v>
      </c>
      <c r="L220" s="7" t="s">
        <v>73</v>
      </c>
      <c r="M220" s="4">
        <v>4.4000000000000004</v>
      </c>
      <c r="N220" s="5">
        <v>221</v>
      </c>
      <c r="O220" s="3">
        <v>45782</v>
      </c>
      <c r="P220" s="7" t="s">
        <v>2391</v>
      </c>
      <c r="Q220" s="7" t="s">
        <v>29</v>
      </c>
      <c r="R220" s="7" t="s">
        <v>83</v>
      </c>
      <c r="S220" s="7" t="s">
        <v>83</v>
      </c>
      <c r="T220" s="7"/>
      <c r="U220" s="11">
        <f t="shared" si="12"/>
        <v>2634</v>
      </c>
      <c r="V220" s="11">
        <f t="shared" si="13"/>
        <v>2108</v>
      </c>
      <c r="W220" s="11">
        <f t="shared" si="14"/>
        <v>526</v>
      </c>
      <c r="X220" t="str">
        <f t="shared" si="15"/>
        <v>Returned</v>
      </c>
    </row>
    <row r="221" spans="1:24" ht="12.5" x14ac:dyDescent="0.25">
      <c r="A221" s="2" t="s">
        <v>924</v>
      </c>
      <c r="B221" s="2" t="s">
        <v>925</v>
      </c>
      <c r="C221" s="2" t="s">
        <v>926</v>
      </c>
      <c r="D221" s="7" t="s">
        <v>927</v>
      </c>
      <c r="E221" s="7" t="s">
        <v>37</v>
      </c>
      <c r="F221" s="7" t="s">
        <v>38</v>
      </c>
      <c r="G221" s="5">
        <v>2915</v>
      </c>
      <c r="H221" s="5">
        <v>30</v>
      </c>
      <c r="I221" s="5">
        <v>2041</v>
      </c>
      <c r="J221" s="5">
        <v>2</v>
      </c>
      <c r="K221" s="2" t="s">
        <v>32</v>
      </c>
      <c r="L221" s="7" t="s">
        <v>133</v>
      </c>
      <c r="M221" s="4">
        <v>3.8</v>
      </c>
      <c r="N221" s="5">
        <v>12</v>
      </c>
      <c r="O221" s="3">
        <v>45775</v>
      </c>
      <c r="P221" s="7" t="s">
        <v>2390</v>
      </c>
      <c r="Q221" s="7" t="s">
        <v>65</v>
      </c>
      <c r="R221" s="7" t="s">
        <v>110</v>
      </c>
      <c r="S221" s="7" t="s">
        <v>111</v>
      </c>
      <c r="T221" s="7"/>
      <c r="U221" s="11">
        <f t="shared" si="12"/>
        <v>5830</v>
      </c>
      <c r="V221" s="11">
        <f t="shared" si="13"/>
        <v>4082</v>
      </c>
      <c r="W221" s="11">
        <f t="shared" si="14"/>
        <v>1748</v>
      </c>
      <c r="X221" t="str">
        <f t="shared" si="15"/>
        <v>Completed</v>
      </c>
    </row>
    <row r="222" spans="1:24" ht="12.5" x14ac:dyDescent="0.25">
      <c r="A222" s="2" t="s">
        <v>928</v>
      </c>
      <c r="B222" s="2" t="s">
        <v>929</v>
      </c>
      <c r="C222" s="2" t="s">
        <v>930</v>
      </c>
      <c r="D222" s="7" t="s">
        <v>931</v>
      </c>
      <c r="E222" s="7" t="s">
        <v>147</v>
      </c>
      <c r="F222" s="7" t="s">
        <v>148</v>
      </c>
      <c r="G222" s="5">
        <v>4189</v>
      </c>
      <c r="H222" s="5">
        <v>15</v>
      </c>
      <c r="I222" s="5">
        <v>3561</v>
      </c>
      <c r="J222" s="5">
        <v>2</v>
      </c>
      <c r="K222" s="2" t="s">
        <v>32</v>
      </c>
      <c r="L222" s="7" t="s">
        <v>64</v>
      </c>
      <c r="M222" s="4">
        <v>3.7</v>
      </c>
      <c r="N222" s="5">
        <v>129</v>
      </c>
      <c r="O222" s="3">
        <v>45787</v>
      </c>
      <c r="P222" s="7" t="s">
        <v>2390</v>
      </c>
      <c r="Q222" s="7" t="s">
        <v>78</v>
      </c>
      <c r="R222" s="7" t="s">
        <v>58</v>
      </c>
      <c r="S222" s="7" t="s">
        <v>59</v>
      </c>
      <c r="T222" s="7"/>
      <c r="U222" s="11">
        <f t="shared" si="12"/>
        <v>8378</v>
      </c>
      <c r="V222" s="11">
        <f t="shared" si="13"/>
        <v>7122</v>
      </c>
      <c r="W222" s="11">
        <f t="shared" si="14"/>
        <v>1256</v>
      </c>
      <c r="X222" t="str">
        <f t="shared" si="15"/>
        <v>Completed</v>
      </c>
    </row>
    <row r="223" spans="1:24" ht="12.5" x14ac:dyDescent="0.25">
      <c r="A223" s="2" t="s">
        <v>932</v>
      </c>
      <c r="B223" s="2" t="s">
        <v>846</v>
      </c>
      <c r="C223" s="2" t="s">
        <v>933</v>
      </c>
      <c r="D223" s="7" t="s">
        <v>934</v>
      </c>
      <c r="E223" s="7" t="s">
        <v>208</v>
      </c>
      <c r="F223" s="7" t="s">
        <v>117</v>
      </c>
      <c r="G223" s="5">
        <v>4577</v>
      </c>
      <c r="H223" s="5">
        <v>10</v>
      </c>
      <c r="I223" s="5">
        <v>4120</v>
      </c>
      <c r="J223" s="5">
        <v>2</v>
      </c>
      <c r="K223" s="2" t="s">
        <v>163</v>
      </c>
      <c r="L223" s="7" t="s">
        <v>103</v>
      </c>
      <c r="M223" s="4">
        <v>4.4000000000000004</v>
      </c>
      <c r="N223" s="5">
        <v>55</v>
      </c>
      <c r="O223" s="3">
        <v>45835</v>
      </c>
      <c r="P223" s="7" t="s">
        <v>2390</v>
      </c>
      <c r="Q223" s="7" t="s">
        <v>78</v>
      </c>
      <c r="R223" s="7" t="s">
        <v>104</v>
      </c>
      <c r="S223" s="7" t="s">
        <v>105</v>
      </c>
      <c r="T223" s="7"/>
      <c r="U223" s="11">
        <f t="shared" si="12"/>
        <v>9154</v>
      </c>
      <c r="V223" s="11">
        <f t="shared" si="13"/>
        <v>8240</v>
      </c>
      <c r="W223" s="11">
        <f t="shared" si="14"/>
        <v>914</v>
      </c>
      <c r="X223" t="str">
        <f t="shared" si="15"/>
        <v>Completed</v>
      </c>
    </row>
    <row r="224" spans="1:24" ht="12.5" x14ac:dyDescent="0.25">
      <c r="A224" s="2" t="s">
        <v>935</v>
      </c>
      <c r="B224" s="2" t="s">
        <v>254</v>
      </c>
      <c r="C224" s="2" t="s">
        <v>936</v>
      </c>
      <c r="D224" s="7" t="s">
        <v>937</v>
      </c>
      <c r="E224" s="7" t="s">
        <v>132</v>
      </c>
      <c r="F224" s="7" t="s">
        <v>38</v>
      </c>
      <c r="G224" s="5">
        <v>2042</v>
      </c>
      <c r="H224" s="5">
        <v>20</v>
      </c>
      <c r="I224" s="5">
        <v>1634</v>
      </c>
      <c r="J224" s="5">
        <v>1</v>
      </c>
      <c r="K224" s="2">
        <v>44</v>
      </c>
      <c r="L224" s="7" t="s">
        <v>39</v>
      </c>
      <c r="M224" s="4">
        <v>3.8</v>
      </c>
      <c r="N224" s="5">
        <v>102</v>
      </c>
      <c r="O224" s="3">
        <v>45803</v>
      </c>
      <c r="P224" s="7" t="s">
        <v>2391</v>
      </c>
      <c r="Q224" s="7" t="s">
        <v>65</v>
      </c>
      <c r="R224" s="7" t="s">
        <v>66</v>
      </c>
      <c r="S224" s="7" t="s">
        <v>67</v>
      </c>
      <c r="T224" s="7"/>
      <c r="U224" s="11">
        <f t="shared" si="12"/>
        <v>2042</v>
      </c>
      <c r="V224" s="11">
        <f t="shared" si="13"/>
        <v>1634</v>
      </c>
      <c r="W224" s="11">
        <f t="shared" si="14"/>
        <v>408</v>
      </c>
      <c r="X224" t="str">
        <f t="shared" si="15"/>
        <v>Returned</v>
      </c>
    </row>
    <row r="225" spans="1:24" ht="12.5" x14ac:dyDescent="0.25">
      <c r="A225" s="2" t="s">
        <v>938</v>
      </c>
      <c r="B225" s="2" t="s">
        <v>440</v>
      </c>
      <c r="C225" s="2" t="s">
        <v>939</v>
      </c>
      <c r="D225" s="7" t="s">
        <v>940</v>
      </c>
      <c r="E225" s="7" t="s">
        <v>55</v>
      </c>
      <c r="F225" s="7" t="s">
        <v>38</v>
      </c>
      <c r="G225" s="5">
        <v>3199</v>
      </c>
      <c r="H225" s="5">
        <v>20</v>
      </c>
      <c r="I225" s="5">
        <v>2560</v>
      </c>
      <c r="J225" s="5">
        <v>1</v>
      </c>
      <c r="K225" s="2">
        <v>44</v>
      </c>
      <c r="L225" s="7" t="s">
        <v>168</v>
      </c>
      <c r="M225" s="4">
        <v>4.7</v>
      </c>
      <c r="N225" s="5">
        <v>38</v>
      </c>
      <c r="O225" s="3">
        <v>45775</v>
      </c>
      <c r="P225" s="7" t="s">
        <v>2390</v>
      </c>
      <c r="Q225" s="7" t="s">
        <v>78</v>
      </c>
      <c r="R225" s="7" t="s">
        <v>185</v>
      </c>
      <c r="S225" s="7" t="s">
        <v>186</v>
      </c>
      <c r="T225" s="7"/>
      <c r="U225" s="11">
        <f t="shared" si="12"/>
        <v>3199</v>
      </c>
      <c r="V225" s="11">
        <f t="shared" si="13"/>
        <v>2560</v>
      </c>
      <c r="W225" s="11">
        <f t="shared" si="14"/>
        <v>639</v>
      </c>
      <c r="X225" t="str">
        <f t="shared" si="15"/>
        <v>Completed</v>
      </c>
    </row>
    <row r="226" spans="1:24" ht="12.5" x14ac:dyDescent="0.25">
      <c r="A226" s="2" t="s">
        <v>941</v>
      </c>
      <c r="B226" s="2" t="s">
        <v>244</v>
      </c>
      <c r="C226" s="2" t="s">
        <v>942</v>
      </c>
      <c r="D226" s="7" t="s">
        <v>943</v>
      </c>
      <c r="E226" s="7" t="s">
        <v>37</v>
      </c>
      <c r="F226" s="7" t="s">
        <v>38</v>
      </c>
      <c r="G226" s="5">
        <v>771</v>
      </c>
      <c r="H226" s="5">
        <v>40</v>
      </c>
      <c r="I226" s="5">
        <v>463</v>
      </c>
      <c r="J226" s="5">
        <v>2</v>
      </c>
      <c r="K226" s="2">
        <v>40</v>
      </c>
      <c r="L226" s="7" t="s">
        <v>209</v>
      </c>
      <c r="M226" s="4">
        <v>5</v>
      </c>
      <c r="N226" s="5">
        <v>285</v>
      </c>
      <c r="O226" s="3">
        <v>45781</v>
      </c>
      <c r="P226" s="7" t="s">
        <v>2392</v>
      </c>
      <c r="Q226" s="7" t="s">
        <v>29</v>
      </c>
      <c r="R226" s="7" t="s">
        <v>83</v>
      </c>
      <c r="S226" s="7" t="s">
        <v>83</v>
      </c>
      <c r="T226" s="7"/>
      <c r="U226" s="11">
        <f t="shared" si="12"/>
        <v>1542</v>
      </c>
      <c r="V226" s="11">
        <f t="shared" si="13"/>
        <v>926</v>
      </c>
      <c r="W226" s="11">
        <f t="shared" si="14"/>
        <v>616</v>
      </c>
      <c r="X226" t="str">
        <f t="shared" si="15"/>
        <v>Cancelled</v>
      </c>
    </row>
    <row r="227" spans="1:24" ht="12.5" x14ac:dyDescent="0.25">
      <c r="A227" s="2" t="s">
        <v>944</v>
      </c>
      <c r="B227" s="2" t="s">
        <v>271</v>
      </c>
      <c r="C227" s="2" t="s">
        <v>945</v>
      </c>
      <c r="D227" s="7" t="s">
        <v>946</v>
      </c>
      <c r="E227" s="7" t="s">
        <v>147</v>
      </c>
      <c r="F227" s="7" t="s">
        <v>148</v>
      </c>
      <c r="G227" s="5">
        <v>2931</v>
      </c>
      <c r="H227" s="5">
        <v>30</v>
      </c>
      <c r="I227" s="5">
        <v>2052</v>
      </c>
      <c r="J227" s="5">
        <v>2</v>
      </c>
      <c r="K227" s="2" t="s">
        <v>163</v>
      </c>
      <c r="L227" s="7" t="s">
        <v>39</v>
      </c>
      <c r="M227" s="4">
        <v>3.9</v>
      </c>
      <c r="N227" s="5">
        <v>123</v>
      </c>
      <c r="O227" s="3">
        <v>45840</v>
      </c>
      <c r="P227" s="7" t="s">
        <v>2391</v>
      </c>
      <c r="Q227" s="7" t="s">
        <v>29</v>
      </c>
      <c r="R227" s="7" t="s">
        <v>110</v>
      </c>
      <c r="S227" s="7" t="s">
        <v>111</v>
      </c>
      <c r="T227" s="7" t="s">
        <v>134</v>
      </c>
      <c r="U227" s="11">
        <f t="shared" si="12"/>
        <v>5862</v>
      </c>
      <c r="V227" s="11">
        <f t="shared" si="13"/>
        <v>4104</v>
      </c>
      <c r="W227" s="11">
        <f t="shared" si="14"/>
        <v>1758</v>
      </c>
      <c r="X227" t="str">
        <f t="shared" si="15"/>
        <v>Returned</v>
      </c>
    </row>
    <row r="228" spans="1:24" ht="12.5" x14ac:dyDescent="0.25">
      <c r="A228" s="2" t="s">
        <v>947</v>
      </c>
      <c r="B228" s="2" t="s">
        <v>948</v>
      </c>
      <c r="C228" s="2" t="s">
        <v>949</v>
      </c>
      <c r="D228" s="7" t="s">
        <v>950</v>
      </c>
      <c r="E228" s="7" t="s">
        <v>132</v>
      </c>
      <c r="F228" s="7" t="s">
        <v>38</v>
      </c>
      <c r="G228" s="5">
        <v>1509</v>
      </c>
      <c r="H228" s="5">
        <v>40</v>
      </c>
      <c r="I228" s="5">
        <v>906</v>
      </c>
      <c r="J228" s="5">
        <v>1</v>
      </c>
      <c r="K228" s="2">
        <v>42</v>
      </c>
      <c r="L228" s="7" t="s">
        <v>27</v>
      </c>
      <c r="M228" s="4">
        <v>4.3</v>
      </c>
      <c r="N228" s="5">
        <v>76</v>
      </c>
      <c r="O228" s="3">
        <v>45802</v>
      </c>
      <c r="P228" s="7" t="s">
        <v>2391</v>
      </c>
      <c r="Q228" s="7" t="s">
        <v>78</v>
      </c>
      <c r="R228" s="7" t="s">
        <v>104</v>
      </c>
      <c r="S228" s="7" t="s">
        <v>105</v>
      </c>
      <c r="T228" s="7" t="s">
        <v>203</v>
      </c>
      <c r="U228" s="11">
        <f t="shared" si="12"/>
        <v>1509</v>
      </c>
      <c r="V228" s="11">
        <f t="shared" si="13"/>
        <v>906</v>
      </c>
      <c r="W228" s="11">
        <f t="shared" si="14"/>
        <v>603</v>
      </c>
      <c r="X228" t="str">
        <f t="shared" si="15"/>
        <v>Returned</v>
      </c>
    </row>
    <row r="229" spans="1:24" ht="12.5" x14ac:dyDescent="0.25">
      <c r="A229" s="2" t="s">
        <v>951</v>
      </c>
      <c r="B229" s="2" t="s">
        <v>952</v>
      </c>
      <c r="C229" s="2" t="s">
        <v>953</v>
      </c>
      <c r="D229" s="7" t="s">
        <v>954</v>
      </c>
      <c r="E229" s="7" t="s">
        <v>208</v>
      </c>
      <c r="F229" s="7" t="s">
        <v>117</v>
      </c>
      <c r="G229" s="5">
        <v>1797</v>
      </c>
      <c r="H229" s="5">
        <v>40</v>
      </c>
      <c r="I229" s="5">
        <v>1079</v>
      </c>
      <c r="J229" s="5">
        <v>1</v>
      </c>
      <c r="K229" s="2" t="s">
        <v>56</v>
      </c>
      <c r="L229" s="7" t="s">
        <v>133</v>
      </c>
      <c r="M229" s="4">
        <v>4</v>
      </c>
      <c r="N229" s="5">
        <v>37</v>
      </c>
      <c r="O229" s="3">
        <v>45836</v>
      </c>
      <c r="P229" s="7" t="s">
        <v>2390</v>
      </c>
      <c r="Q229" s="7" t="s">
        <v>78</v>
      </c>
      <c r="R229" s="7" t="s">
        <v>110</v>
      </c>
      <c r="S229" s="7" t="s">
        <v>111</v>
      </c>
      <c r="T229" s="7"/>
      <c r="U229" s="11">
        <f t="shared" si="12"/>
        <v>1797</v>
      </c>
      <c r="V229" s="11">
        <f t="shared" si="13"/>
        <v>1079</v>
      </c>
      <c r="W229" s="11">
        <f t="shared" si="14"/>
        <v>718</v>
      </c>
      <c r="X229" t="str">
        <f t="shared" si="15"/>
        <v>Completed</v>
      </c>
    </row>
    <row r="230" spans="1:24" ht="12.5" x14ac:dyDescent="0.25">
      <c r="A230" s="2" t="s">
        <v>955</v>
      </c>
      <c r="B230" s="2" t="s">
        <v>45</v>
      </c>
      <c r="C230" s="2" t="s">
        <v>956</v>
      </c>
      <c r="D230" s="7" t="s">
        <v>957</v>
      </c>
      <c r="E230" s="7" t="s">
        <v>208</v>
      </c>
      <c r="F230" s="7" t="s">
        <v>117</v>
      </c>
      <c r="G230" s="5">
        <v>1915</v>
      </c>
      <c r="H230" s="5">
        <v>15</v>
      </c>
      <c r="I230" s="5">
        <v>1628</v>
      </c>
      <c r="J230" s="5">
        <v>3</v>
      </c>
      <c r="K230" s="2">
        <v>44</v>
      </c>
      <c r="L230" s="7" t="s">
        <v>73</v>
      </c>
      <c r="M230" s="4">
        <v>4.9000000000000004</v>
      </c>
      <c r="N230" s="5">
        <v>35</v>
      </c>
      <c r="O230" s="3">
        <v>45798</v>
      </c>
      <c r="P230" s="7" t="s">
        <v>2390</v>
      </c>
      <c r="Q230" s="7" t="s">
        <v>29</v>
      </c>
      <c r="R230" s="7" t="s">
        <v>149</v>
      </c>
      <c r="S230" s="7" t="s">
        <v>150</v>
      </c>
      <c r="T230" s="7"/>
      <c r="U230" s="11">
        <f t="shared" si="12"/>
        <v>5745</v>
      </c>
      <c r="V230" s="11">
        <f t="shared" si="13"/>
        <v>4884</v>
      </c>
      <c r="W230" s="11">
        <f t="shared" si="14"/>
        <v>861</v>
      </c>
      <c r="X230" t="str">
        <f t="shared" si="15"/>
        <v>Completed</v>
      </c>
    </row>
    <row r="231" spans="1:24" ht="12.5" x14ac:dyDescent="0.25">
      <c r="A231" s="2" t="s">
        <v>958</v>
      </c>
      <c r="B231" s="2" t="s">
        <v>959</v>
      </c>
      <c r="C231" s="2" t="s">
        <v>960</v>
      </c>
      <c r="D231" s="7" t="s">
        <v>961</v>
      </c>
      <c r="E231" s="7" t="s">
        <v>208</v>
      </c>
      <c r="F231" s="7" t="s">
        <v>117</v>
      </c>
      <c r="G231" s="5">
        <v>4210</v>
      </c>
      <c r="H231" s="5">
        <v>15</v>
      </c>
      <c r="I231" s="5">
        <v>3579</v>
      </c>
      <c r="J231" s="5">
        <v>2</v>
      </c>
      <c r="K231" s="2">
        <v>44</v>
      </c>
      <c r="L231" s="7" t="s">
        <v>209</v>
      </c>
      <c r="M231" s="4">
        <v>4.0999999999999996</v>
      </c>
      <c r="N231" s="5">
        <v>112</v>
      </c>
      <c r="O231" s="3">
        <v>45822</v>
      </c>
      <c r="P231" s="7" t="s">
        <v>2390</v>
      </c>
      <c r="Q231" s="7" t="s">
        <v>65</v>
      </c>
      <c r="R231" s="7" t="s">
        <v>110</v>
      </c>
      <c r="S231" s="7" t="s">
        <v>111</v>
      </c>
      <c r="T231" s="7"/>
      <c r="U231" s="11">
        <f t="shared" si="12"/>
        <v>8420</v>
      </c>
      <c r="V231" s="11">
        <f t="shared" si="13"/>
        <v>7158</v>
      </c>
      <c r="W231" s="11">
        <f t="shared" si="14"/>
        <v>1262</v>
      </c>
      <c r="X231" t="str">
        <f t="shared" si="15"/>
        <v>Completed</v>
      </c>
    </row>
    <row r="232" spans="1:24" ht="12.5" x14ac:dyDescent="0.25">
      <c r="A232" s="2" t="s">
        <v>962</v>
      </c>
      <c r="B232" s="2" t="s">
        <v>693</v>
      </c>
      <c r="C232" s="2" t="s">
        <v>963</v>
      </c>
      <c r="D232" s="7" t="s">
        <v>964</v>
      </c>
      <c r="E232" s="7" t="s">
        <v>247</v>
      </c>
      <c r="F232" s="7" t="s">
        <v>248</v>
      </c>
      <c r="G232" s="5">
        <v>4943</v>
      </c>
      <c r="H232" s="5">
        <v>30</v>
      </c>
      <c r="I232" s="5">
        <v>3461</v>
      </c>
      <c r="J232" s="5">
        <v>2</v>
      </c>
      <c r="K232" s="2" t="s">
        <v>56</v>
      </c>
      <c r="L232" s="7" t="s">
        <v>103</v>
      </c>
      <c r="M232" s="4">
        <v>4.5999999999999996</v>
      </c>
      <c r="N232" s="5">
        <v>145</v>
      </c>
      <c r="O232" s="3">
        <v>45811</v>
      </c>
      <c r="P232" s="7" t="s">
        <v>2392</v>
      </c>
      <c r="Q232" s="7" t="s">
        <v>65</v>
      </c>
      <c r="R232" s="7" t="s">
        <v>110</v>
      </c>
      <c r="S232" s="7" t="s">
        <v>111</v>
      </c>
      <c r="T232" s="7"/>
      <c r="U232" s="11">
        <f t="shared" si="12"/>
        <v>9886</v>
      </c>
      <c r="V232" s="11">
        <f t="shared" si="13"/>
        <v>6922</v>
      </c>
      <c r="W232" s="11">
        <f t="shared" si="14"/>
        <v>2964</v>
      </c>
      <c r="X232" t="str">
        <f t="shared" si="15"/>
        <v>Cancelled</v>
      </c>
    </row>
    <row r="233" spans="1:24" ht="12.5" x14ac:dyDescent="0.25">
      <c r="A233" s="2" t="s">
        <v>965</v>
      </c>
      <c r="B233" s="2" t="s">
        <v>966</v>
      </c>
      <c r="C233" s="2" t="s">
        <v>967</v>
      </c>
      <c r="D233" s="7" t="s">
        <v>968</v>
      </c>
      <c r="E233" s="7" t="s">
        <v>37</v>
      </c>
      <c r="F233" s="7" t="s">
        <v>38</v>
      </c>
      <c r="G233" s="5">
        <v>4182</v>
      </c>
      <c r="H233" s="5">
        <v>40</v>
      </c>
      <c r="I233" s="5">
        <v>2510</v>
      </c>
      <c r="J233" s="5">
        <v>1</v>
      </c>
      <c r="K233" s="2" t="s">
        <v>26</v>
      </c>
      <c r="L233" s="7" t="s">
        <v>133</v>
      </c>
      <c r="M233" s="4">
        <v>4.9000000000000004</v>
      </c>
      <c r="N233" s="5">
        <v>294</v>
      </c>
      <c r="O233" s="3">
        <v>45799</v>
      </c>
      <c r="P233" s="7" t="s">
        <v>2391</v>
      </c>
      <c r="Q233" s="7" t="s">
        <v>65</v>
      </c>
      <c r="R233" s="7" t="s">
        <v>83</v>
      </c>
      <c r="S233" s="7" t="s">
        <v>83</v>
      </c>
      <c r="T233" s="7" t="s">
        <v>50</v>
      </c>
      <c r="U233" s="11">
        <f t="shared" si="12"/>
        <v>4182</v>
      </c>
      <c r="V233" s="11">
        <f t="shared" si="13"/>
        <v>2510</v>
      </c>
      <c r="W233" s="11">
        <f t="shared" si="14"/>
        <v>1672</v>
      </c>
      <c r="X233" t="str">
        <f t="shared" si="15"/>
        <v>Returned</v>
      </c>
    </row>
    <row r="234" spans="1:24" ht="12.5" x14ac:dyDescent="0.25">
      <c r="A234" s="2" t="s">
        <v>969</v>
      </c>
      <c r="B234" s="2" t="s">
        <v>970</v>
      </c>
      <c r="C234" s="2" t="s">
        <v>971</v>
      </c>
      <c r="D234" s="7" t="s">
        <v>972</v>
      </c>
      <c r="E234" s="7" t="s">
        <v>247</v>
      </c>
      <c r="F234" s="7" t="s">
        <v>248</v>
      </c>
      <c r="G234" s="5">
        <v>4451</v>
      </c>
      <c r="H234" s="5">
        <v>20</v>
      </c>
      <c r="I234" s="5">
        <v>3561</v>
      </c>
      <c r="J234" s="5">
        <v>2</v>
      </c>
      <c r="K234" s="2" t="s">
        <v>163</v>
      </c>
      <c r="L234" s="7" t="s">
        <v>168</v>
      </c>
      <c r="M234" s="4">
        <v>4.0999999999999996</v>
      </c>
      <c r="N234" s="5">
        <v>18</v>
      </c>
      <c r="O234" s="3">
        <v>45824</v>
      </c>
      <c r="P234" s="7" t="s">
        <v>2392</v>
      </c>
      <c r="Q234" s="7" t="s">
        <v>29</v>
      </c>
      <c r="R234" s="7" t="s">
        <v>41</v>
      </c>
      <c r="S234" s="7" t="s">
        <v>42</v>
      </c>
      <c r="T234" s="7"/>
      <c r="U234" s="11">
        <f t="shared" si="12"/>
        <v>8902</v>
      </c>
      <c r="V234" s="11">
        <f t="shared" si="13"/>
        <v>7122</v>
      </c>
      <c r="W234" s="11">
        <f t="shared" si="14"/>
        <v>1780</v>
      </c>
      <c r="X234" t="str">
        <f t="shared" si="15"/>
        <v>Cancelled</v>
      </c>
    </row>
    <row r="235" spans="1:24" ht="12.5" x14ac:dyDescent="0.25">
      <c r="A235" s="2" t="s">
        <v>973</v>
      </c>
      <c r="B235" s="2" t="s">
        <v>974</v>
      </c>
      <c r="C235" s="2" t="s">
        <v>975</v>
      </c>
      <c r="D235" s="7" t="s">
        <v>976</v>
      </c>
      <c r="E235" s="7" t="s">
        <v>116</v>
      </c>
      <c r="F235" s="7" t="s">
        <v>117</v>
      </c>
      <c r="G235" s="5">
        <v>4512</v>
      </c>
      <c r="H235" s="5">
        <v>10</v>
      </c>
      <c r="I235" s="5">
        <v>4061</v>
      </c>
      <c r="J235" s="5">
        <v>1</v>
      </c>
      <c r="K235" s="2" t="s">
        <v>32</v>
      </c>
      <c r="L235" s="7" t="s">
        <v>103</v>
      </c>
      <c r="M235" s="4">
        <v>4.8</v>
      </c>
      <c r="N235" s="5">
        <v>32</v>
      </c>
      <c r="O235" s="3">
        <v>45818</v>
      </c>
      <c r="P235" s="7" t="s">
        <v>2392</v>
      </c>
      <c r="Q235" s="7" t="s">
        <v>78</v>
      </c>
      <c r="R235" s="7" t="s">
        <v>185</v>
      </c>
      <c r="S235" s="7" t="s">
        <v>186</v>
      </c>
      <c r="T235" s="7"/>
      <c r="U235" s="11">
        <f t="shared" si="12"/>
        <v>4512</v>
      </c>
      <c r="V235" s="11">
        <f t="shared" si="13"/>
        <v>4061</v>
      </c>
      <c r="W235" s="11">
        <f t="shared" si="14"/>
        <v>451</v>
      </c>
      <c r="X235" t="str">
        <f t="shared" si="15"/>
        <v>Cancelled</v>
      </c>
    </row>
    <row r="236" spans="1:24" ht="12.5" x14ac:dyDescent="0.25">
      <c r="A236" s="2" t="s">
        <v>977</v>
      </c>
      <c r="B236" s="2" t="s">
        <v>491</v>
      </c>
      <c r="C236" s="2" t="s">
        <v>978</v>
      </c>
      <c r="D236" s="7" t="s">
        <v>979</v>
      </c>
      <c r="E236" s="7" t="s">
        <v>147</v>
      </c>
      <c r="F236" s="7" t="s">
        <v>148</v>
      </c>
      <c r="G236" s="5">
        <v>1231</v>
      </c>
      <c r="H236" s="5">
        <v>25</v>
      </c>
      <c r="I236" s="5">
        <v>924</v>
      </c>
      <c r="J236" s="5">
        <v>2</v>
      </c>
      <c r="K236" s="2" t="s">
        <v>26</v>
      </c>
      <c r="L236" s="7" t="s">
        <v>103</v>
      </c>
      <c r="M236" s="4">
        <v>4.8</v>
      </c>
      <c r="N236" s="5">
        <v>97</v>
      </c>
      <c r="O236" s="3">
        <v>45796</v>
      </c>
      <c r="P236" s="7" t="s">
        <v>2391</v>
      </c>
      <c r="Q236" s="7" t="s">
        <v>78</v>
      </c>
      <c r="R236" s="7" t="s">
        <v>110</v>
      </c>
      <c r="S236" s="7" t="s">
        <v>111</v>
      </c>
      <c r="T236" s="7" t="s">
        <v>203</v>
      </c>
      <c r="U236" s="11">
        <f t="shared" si="12"/>
        <v>2462</v>
      </c>
      <c r="V236" s="11">
        <f t="shared" si="13"/>
        <v>1848</v>
      </c>
      <c r="W236" s="11">
        <f t="shared" si="14"/>
        <v>614</v>
      </c>
      <c r="X236" t="str">
        <f t="shared" si="15"/>
        <v>Returned</v>
      </c>
    </row>
    <row r="237" spans="1:24" ht="12.5" x14ac:dyDescent="0.25">
      <c r="A237" s="2" t="s">
        <v>980</v>
      </c>
      <c r="B237" s="2" t="s">
        <v>981</v>
      </c>
      <c r="C237" s="2" t="s">
        <v>982</v>
      </c>
      <c r="D237" s="7" t="s">
        <v>983</v>
      </c>
      <c r="E237" s="7" t="s">
        <v>24</v>
      </c>
      <c r="F237" s="7" t="s">
        <v>25</v>
      </c>
      <c r="G237" s="5">
        <v>3492</v>
      </c>
      <c r="H237" s="5">
        <v>35</v>
      </c>
      <c r="I237" s="5">
        <v>2270</v>
      </c>
      <c r="J237" s="5">
        <v>2</v>
      </c>
      <c r="K237" s="2" t="s">
        <v>26</v>
      </c>
      <c r="L237" s="7" t="s">
        <v>88</v>
      </c>
      <c r="M237" s="4">
        <v>3.6</v>
      </c>
      <c r="N237" s="5">
        <v>59</v>
      </c>
      <c r="O237" s="3">
        <v>45829</v>
      </c>
      <c r="P237" s="7" t="s">
        <v>2392</v>
      </c>
      <c r="Q237" s="7" t="s">
        <v>65</v>
      </c>
      <c r="R237" s="7" t="s">
        <v>30</v>
      </c>
      <c r="S237" s="7" t="s">
        <v>31</v>
      </c>
      <c r="T237" s="7"/>
      <c r="U237" s="11">
        <f t="shared" si="12"/>
        <v>6984</v>
      </c>
      <c r="V237" s="11">
        <f t="shared" si="13"/>
        <v>4540</v>
      </c>
      <c r="W237" s="11">
        <f t="shared" si="14"/>
        <v>2444</v>
      </c>
      <c r="X237" t="str">
        <f t="shared" si="15"/>
        <v>Cancelled</v>
      </c>
    </row>
    <row r="238" spans="1:24" ht="12.5" x14ac:dyDescent="0.25">
      <c r="A238" s="2" t="s">
        <v>984</v>
      </c>
      <c r="B238" s="2" t="s">
        <v>985</v>
      </c>
      <c r="C238" s="2" t="s">
        <v>986</v>
      </c>
      <c r="D238" s="7" t="s">
        <v>987</v>
      </c>
      <c r="E238" s="7" t="s">
        <v>208</v>
      </c>
      <c r="F238" s="7" t="s">
        <v>117</v>
      </c>
      <c r="G238" s="5">
        <v>1567</v>
      </c>
      <c r="H238" s="5">
        <v>15</v>
      </c>
      <c r="I238" s="5">
        <v>1332</v>
      </c>
      <c r="J238" s="5">
        <v>2</v>
      </c>
      <c r="K238" s="2">
        <v>40</v>
      </c>
      <c r="L238" s="7" t="s">
        <v>39</v>
      </c>
      <c r="M238" s="4">
        <v>4.7</v>
      </c>
      <c r="N238" s="5">
        <v>14</v>
      </c>
      <c r="O238" s="3">
        <v>45851</v>
      </c>
      <c r="P238" s="7" t="s">
        <v>2390</v>
      </c>
      <c r="Q238" s="7" t="s">
        <v>29</v>
      </c>
      <c r="R238" s="7" t="s">
        <v>149</v>
      </c>
      <c r="S238" s="7" t="s">
        <v>150</v>
      </c>
      <c r="T238" s="7"/>
      <c r="U238" s="11">
        <f t="shared" si="12"/>
        <v>3134</v>
      </c>
      <c r="V238" s="11">
        <f t="shared" si="13"/>
        <v>2664</v>
      </c>
      <c r="W238" s="11">
        <f t="shared" si="14"/>
        <v>470</v>
      </c>
      <c r="X238" t="str">
        <f t="shared" si="15"/>
        <v>Completed</v>
      </c>
    </row>
    <row r="239" spans="1:24" ht="12.5" x14ac:dyDescent="0.25">
      <c r="A239" s="2" t="s">
        <v>988</v>
      </c>
      <c r="B239" s="2" t="s">
        <v>989</v>
      </c>
      <c r="C239" s="2" t="s">
        <v>990</v>
      </c>
      <c r="D239" s="7" t="s">
        <v>991</v>
      </c>
      <c r="E239" s="7" t="s">
        <v>132</v>
      </c>
      <c r="F239" s="7" t="s">
        <v>38</v>
      </c>
      <c r="G239" s="5">
        <v>3234</v>
      </c>
      <c r="H239" s="5">
        <v>35</v>
      </c>
      <c r="I239" s="5">
        <v>2103</v>
      </c>
      <c r="J239" s="5">
        <v>2</v>
      </c>
      <c r="K239" s="2">
        <v>42</v>
      </c>
      <c r="L239" s="7" t="s">
        <v>168</v>
      </c>
      <c r="M239" s="4">
        <v>4.5</v>
      </c>
      <c r="N239" s="5">
        <v>135</v>
      </c>
      <c r="O239" s="3">
        <v>45780</v>
      </c>
      <c r="P239" s="7" t="s">
        <v>2392</v>
      </c>
      <c r="Q239" s="7" t="s">
        <v>65</v>
      </c>
      <c r="R239" s="7" t="s">
        <v>185</v>
      </c>
      <c r="S239" s="7" t="s">
        <v>186</v>
      </c>
      <c r="T239" s="7"/>
      <c r="U239" s="11">
        <f t="shared" si="12"/>
        <v>6468</v>
      </c>
      <c r="V239" s="11">
        <f t="shared" si="13"/>
        <v>4206</v>
      </c>
      <c r="W239" s="11">
        <f t="shared" si="14"/>
        <v>2262</v>
      </c>
      <c r="X239" t="str">
        <f t="shared" si="15"/>
        <v>Cancelled</v>
      </c>
    </row>
    <row r="240" spans="1:24" ht="12.5" x14ac:dyDescent="0.25">
      <c r="A240" s="2" t="s">
        <v>992</v>
      </c>
      <c r="B240" s="2" t="s">
        <v>993</v>
      </c>
      <c r="C240" s="2" t="s">
        <v>994</v>
      </c>
      <c r="D240" s="7" t="s">
        <v>995</v>
      </c>
      <c r="E240" s="7" t="s">
        <v>55</v>
      </c>
      <c r="F240" s="7" t="s">
        <v>38</v>
      </c>
      <c r="G240" s="5">
        <v>4636</v>
      </c>
      <c r="H240" s="5">
        <v>35</v>
      </c>
      <c r="I240" s="5">
        <v>3014</v>
      </c>
      <c r="J240" s="5">
        <v>2</v>
      </c>
      <c r="K240" s="2" t="s">
        <v>72</v>
      </c>
      <c r="L240" s="7" t="s">
        <v>209</v>
      </c>
      <c r="M240" s="4">
        <v>4.7</v>
      </c>
      <c r="N240" s="5">
        <v>277</v>
      </c>
      <c r="O240" s="3">
        <v>45853</v>
      </c>
      <c r="P240" s="7" t="s">
        <v>2392</v>
      </c>
      <c r="Q240" s="7" t="s">
        <v>65</v>
      </c>
      <c r="R240" s="7" t="s">
        <v>149</v>
      </c>
      <c r="S240" s="7" t="s">
        <v>150</v>
      </c>
      <c r="T240" s="7"/>
      <c r="U240" s="11">
        <f t="shared" si="12"/>
        <v>9272</v>
      </c>
      <c r="V240" s="11">
        <f t="shared" si="13"/>
        <v>6028</v>
      </c>
      <c r="W240" s="11">
        <f t="shared" si="14"/>
        <v>3244</v>
      </c>
      <c r="X240" t="str">
        <f t="shared" si="15"/>
        <v>Cancelled</v>
      </c>
    </row>
    <row r="241" spans="1:24" ht="12.5" x14ac:dyDescent="0.25">
      <c r="A241" s="2" t="s">
        <v>996</v>
      </c>
      <c r="B241" s="2" t="s">
        <v>966</v>
      </c>
      <c r="C241" s="2" t="s">
        <v>997</v>
      </c>
      <c r="D241" s="7" t="s">
        <v>998</v>
      </c>
      <c r="E241" s="7" t="s">
        <v>247</v>
      </c>
      <c r="F241" s="7" t="s">
        <v>248</v>
      </c>
      <c r="G241" s="5">
        <v>3457</v>
      </c>
      <c r="H241" s="5">
        <v>25</v>
      </c>
      <c r="I241" s="5">
        <v>2593</v>
      </c>
      <c r="J241" s="5">
        <v>1</v>
      </c>
      <c r="K241" s="2" t="s">
        <v>32</v>
      </c>
      <c r="L241" s="7" t="s">
        <v>88</v>
      </c>
      <c r="M241" s="4">
        <v>4</v>
      </c>
      <c r="N241" s="5">
        <v>290</v>
      </c>
      <c r="O241" s="3">
        <v>45839</v>
      </c>
      <c r="P241" s="7" t="s">
        <v>2391</v>
      </c>
      <c r="Q241" s="7" t="s">
        <v>29</v>
      </c>
      <c r="R241" s="7" t="s">
        <v>30</v>
      </c>
      <c r="S241" s="7" t="s">
        <v>31</v>
      </c>
      <c r="T241" s="7" t="s">
        <v>203</v>
      </c>
      <c r="U241" s="11">
        <f t="shared" si="12"/>
        <v>3457</v>
      </c>
      <c r="V241" s="11">
        <f t="shared" si="13"/>
        <v>2593</v>
      </c>
      <c r="W241" s="11">
        <f t="shared" si="14"/>
        <v>864</v>
      </c>
      <c r="X241" t="str">
        <f t="shared" si="15"/>
        <v>Returned</v>
      </c>
    </row>
    <row r="242" spans="1:24" ht="12.5" x14ac:dyDescent="0.25">
      <c r="A242" s="2" t="s">
        <v>999</v>
      </c>
      <c r="B242" s="2" t="s">
        <v>1000</v>
      </c>
      <c r="C242" s="2" t="s">
        <v>1001</v>
      </c>
      <c r="D242" s="7" t="s">
        <v>1002</v>
      </c>
      <c r="E242" s="7" t="s">
        <v>55</v>
      </c>
      <c r="F242" s="7" t="s">
        <v>38</v>
      </c>
      <c r="G242" s="5">
        <v>3661</v>
      </c>
      <c r="H242" s="5">
        <v>25</v>
      </c>
      <c r="I242" s="5">
        <v>2746</v>
      </c>
      <c r="J242" s="5">
        <v>1</v>
      </c>
      <c r="K242" s="2">
        <v>44</v>
      </c>
      <c r="L242" s="7" t="s">
        <v>133</v>
      </c>
      <c r="M242" s="4">
        <v>4.5</v>
      </c>
      <c r="N242" s="5">
        <v>237</v>
      </c>
      <c r="O242" s="3">
        <v>45827</v>
      </c>
      <c r="P242" s="7" t="s">
        <v>2392</v>
      </c>
      <c r="Q242" s="7" t="s">
        <v>29</v>
      </c>
      <c r="R242" s="7" t="s">
        <v>104</v>
      </c>
      <c r="S242" s="7" t="s">
        <v>105</v>
      </c>
      <c r="T242" s="7"/>
      <c r="U242" s="11">
        <f t="shared" si="12"/>
        <v>3661</v>
      </c>
      <c r="V242" s="11">
        <f t="shared" si="13"/>
        <v>2746</v>
      </c>
      <c r="W242" s="11">
        <f t="shared" si="14"/>
        <v>915</v>
      </c>
      <c r="X242" t="str">
        <f t="shared" si="15"/>
        <v>Cancelled</v>
      </c>
    </row>
    <row r="243" spans="1:24" ht="12.5" x14ac:dyDescent="0.25">
      <c r="A243" s="2" t="s">
        <v>1003</v>
      </c>
      <c r="B243" s="2" t="s">
        <v>876</v>
      </c>
      <c r="C243" s="2" t="s">
        <v>1004</v>
      </c>
      <c r="D243" s="7" t="s">
        <v>1005</v>
      </c>
      <c r="E243" s="7" t="s">
        <v>132</v>
      </c>
      <c r="F243" s="7" t="s">
        <v>38</v>
      </c>
      <c r="G243" s="5">
        <v>2136</v>
      </c>
      <c r="H243" s="5">
        <v>35</v>
      </c>
      <c r="I243" s="5">
        <v>1389</v>
      </c>
      <c r="J243" s="5">
        <v>3</v>
      </c>
      <c r="K243" s="2" t="s">
        <v>261</v>
      </c>
      <c r="L243" s="7" t="s">
        <v>168</v>
      </c>
      <c r="M243" s="4">
        <v>4</v>
      </c>
      <c r="N243" s="5">
        <v>21</v>
      </c>
      <c r="O243" s="3">
        <v>45830</v>
      </c>
      <c r="P243" s="7" t="s">
        <v>2390</v>
      </c>
      <c r="Q243" s="7" t="s">
        <v>65</v>
      </c>
      <c r="R243" s="7" t="s">
        <v>83</v>
      </c>
      <c r="S243" s="7" t="s">
        <v>83</v>
      </c>
      <c r="T243" s="7"/>
      <c r="U243" s="11">
        <f t="shared" si="12"/>
        <v>6408</v>
      </c>
      <c r="V243" s="11">
        <f t="shared" si="13"/>
        <v>4167</v>
      </c>
      <c r="W243" s="11">
        <f t="shared" si="14"/>
        <v>2241</v>
      </c>
      <c r="X243" t="str">
        <f t="shared" si="15"/>
        <v>Completed</v>
      </c>
    </row>
    <row r="244" spans="1:24" ht="12.5" x14ac:dyDescent="0.25">
      <c r="A244" s="2" t="s">
        <v>1006</v>
      </c>
      <c r="B244" s="2" t="s">
        <v>1007</v>
      </c>
      <c r="C244" s="2" t="s">
        <v>1008</v>
      </c>
      <c r="D244" s="7" t="s">
        <v>1009</v>
      </c>
      <c r="E244" s="7" t="s">
        <v>24</v>
      </c>
      <c r="F244" s="7" t="s">
        <v>25</v>
      </c>
      <c r="G244" s="5">
        <v>3396</v>
      </c>
      <c r="H244" s="5">
        <v>25</v>
      </c>
      <c r="I244" s="5">
        <v>2547</v>
      </c>
      <c r="J244" s="5">
        <v>2</v>
      </c>
      <c r="K244" s="2">
        <v>42</v>
      </c>
      <c r="L244" s="7" t="s">
        <v>168</v>
      </c>
      <c r="M244" s="4">
        <v>4.3</v>
      </c>
      <c r="N244" s="5">
        <v>230</v>
      </c>
      <c r="O244" s="3">
        <v>45818</v>
      </c>
      <c r="P244" s="7" t="s">
        <v>2390</v>
      </c>
      <c r="Q244" s="7" t="s">
        <v>29</v>
      </c>
      <c r="R244" s="7" t="s">
        <v>41</v>
      </c>
      <c r="S244" s="7" t="s">
        <v>42</v>
      </c>
      <c r="T244" s="7"/>
      <c r="U244" s="11">
        <f t="shared" si="12"/>
        <v>6792</v>
      </c>
      <c r="V244" s="11">
        <f t="shared" si="13"/>
        <v>5094</v>
      </c>
      <c r="W244" s="11">
        <f t="shared" si="14"/>
        <v>1698</v>
      </c>
      <c r="X244" t="str">
        <f t="shared" si="15"/>
        <v>Completed</v>
      </c>
    </row>
    <row r="245" spans="1:24" ht="12.5" x14ac:dyDescent="0.25">
      <c r="A245" s="2" t="s">
        <v>1010</v>
      </c>
      <c r="B245" s="2" t="s">
        <v>1011</v>
      </c>
      <c r="C245" s="2" t="s">
        <v>1012</v>
      </c>
      <c r="D245" s="7" t="s">
        <v>1013</v>
      </c>
      <c r="E245" s="7" t="s">
        <v>48</v>
      </c>
      <c r="F245" s="7" t="s">
        <v>25</v>
      </c>
      <c r="G245" s="5">
        <v>3268</v>
      </c>
      <c r="H245" s="5">
        <v>20</v>
      </c>
      <c r="I245" s="5">
        <v>2615</v>
      </c>
      <c r="J245" s="5">
        <v>2</v>
      </c>
      <c r="K245" s="2" t="s">
        <v>261</v>
      </c>
      <c r="L245" s="7" t="s">
        <v>27</v>
      </c>
      <c r="M245" s="4">
        <v>4.9000000000000004</v>
      </c>
      <c r="N245" s="5">
        <v>266</v>
      </c>
      <c r="O245" s="3">
        <v>45817</v>
      </c>
      <c r="P245" s="7" t="s">
        <v>2392</v>
      </c>
      <c r="Q245" s="7" t="s">
        <v>65</v>
      </c>
      <c r="R245" s="7" t="s">
        <v>30</v>
      </c>
      <c r="S245" s="7" t="s">
        <v>31</v>
      </c>
      <c r="T245" s="7"/>
      <c r="U245" s="11">
        <f t="shared" si="12"/>
        <v>6536</v>
      </c>
      <c r="V245" s="11">
        <f t="shared" si="13"/>
        <v>5230</v>
      </c>
      <c r="W245" s="11">
        <f t="shared" si="14"/>
        <v>1306</v>
      </c>
      <c r="X245" t="str">
        <f t="shared" si="15"/>
        <v>Cancelled</v>
      </c>
    </row>
    <row r="246" spans="1:24" ht="12.5" x14ac:dyDescent="0.25">
      <c r="A246" s="2" t="s">
        <v>1014</v>
      </c>
      <c r="B246" s="2" t="s">
        <v>618</v>
      </c>
      <c r="C246" s="2" t="s">
        <v>1015</v>
      </c>
      <c r="D246" s="7" t="s">
        <v>1016</v>
      </c>
      <c r="E246" s="7" t="s">
        <v>55</v>
      </c>
      <c r="F246" s="7" t="s">
        <v>38</v>
      </c>
      <c r="G246" s="5">
        <v>3463</v>
      </c>
      <c r="H246" s="5">
        <v>25</v>
      </c>
      <c r="I246" s="5">
        <v>2598</v>
      </c>
      <c r="J246" s="5">
        <v>2</v>
      </c>
      <c r="K246" s="2" t="s">
        <v>26</v>
      </c>
      <c r="L246" s="7" t="s">
        <v>103</v>
      </c>
      <c r="M246" s="4">
        <v>4.9000000000000004</v>
      </c>
      <c r="N246" s="5">
        <v>204</v>
      </c>
      <c r="O246" s="3">
        <v>45803</v>
      </c>
      <c r="P246" s="7" t="s">
        <v>2392</v>
      </c>
      <c r="Q246" s="7" t="s">
        <v>65</v>
      </c>
      <c r="R246" s="7" t="s">
        <v>185</v>
      </c>
      <c r="S246" s="7" t="s">
        <v>186</v>
      </c>
      <c r="T246" s="7"/>
      <c r="U246" s="11">
        <f t="shared" si="12"/>
        <v>6926</v>
      </c>
      <c r="V246" s="11">
        <f t="shared" si="13"/>
        <v>5196</v>
      </c>
      <c r="W246" s="11">
        <f t="shared" si="14"/>
        <v>1730</v>
      </c>
      <c r="X246" t="str">
        <f t="shared" si="15"/>
        <v>Cancelled</v>
      </c>
    </row>
    <row r="247" spans="1:24" ht="12.5" x14ac:dyDescent="0.25">
      <c r="A247" s="2" t="s">
        <v>1017</v>
      </c>
      <c r="B247" s="2" t="s">
        <v>1018</v>
      </c>
      <c r="C247" s="2" t="s">
        <v>1019</v>
      </c>
      <c r="D247" s="7" t="s">
        <v>1020</v>
      </c>
      <c r="E247" s="7" t="s">
        <v>132</v>
      </c>
      <c r="F247" s="7" t="s">
        <v>38</v>
      </c>
      <c r="G247" s="5">
        <v>2366</v>
      </c>
      <c r="H247" s="5">
        <v>15</v>
      </c>
      <c r="I247" s="5">
        <v>2012</v>
      </c>
      <c r="J247" s="5">
        <v>1</v>
      </c>
      <c r="K247" s="2">
        <v>42</v>
      </c>
      <c r="L247" s="7" t="s">
        <v>133</v>
      </c>
      <c r="M247" s="4">
        <v>3.7</v>
      </c>
      <c r="N247" s="5">
        <v>233</v>
      </c>
      <c r="O247" s="3">
        <v>45809</v>
      </c>
      <c r="P247" s="7" t="s">
        <v>2392</v>
      </c>
      <c r="Q247" s="7" t="s">
        <v>29</v>
      </c>
      <c r="R247" s="7" t="s">
        <v>104</v>
      </c>
      <c r="S247" s="7" t="s">
        <v>105</v>
      </c>
      <c r="T247" s="7"/>
      <c r="U247" s="11">
        <f t="shared" si="12"/>
        <v>2366</v>
      </c>
      <c r="V247" s="11">
        <f t="shared" si="13"/>
        <v>2012</v>
      </c>
      <c r="W247" s="11">
        <f t="shared" si="14"/>
        <v>354</v>
      </c>
      <c r="X247" t="str">
        <f t="shared" si="15"/>
        <v>Cancelled</v>
      </c>
    </row>
    <row r="248" spans="1:24" ht="12.5" x14ac:dyDescent="0.25">
      <c r="A248" s="2" t="s">
        <v>1021</v>
      </c>
      <c r="B248" s="2" t="s">
        <v>1022</v>
      </c>
      <c r="C248" s="2" t="s">
        <v>1023</v>
      </c>
      <c r="D248" s="7" t="s">
        <v>1024</v>
      </c>
      <c r="E248" s="7" t="s">
        <v>247</v>
      </c>
      <c r="F248" s="7" t="s">
        <v>248</v>
      </c>
      <c r="G248" s="5">
        <v>1207</v>
      </c>
      <c r="H248" s="5">
        <v>25</v>
      </c>
      <c r="I248" s="5">
        <v>906</v>
      </c>
      <c r="J248" s="5">
        <v>2</v>
      </c>
      <c r="K248" s="2">
        <v>44</v>
      </c>
      <c r="L248" s="7" t="s">
        <v>39</v>
      </c>
      <c r="M248" s="4">
        <v>4.2</v>
      </c>
      <c r="N248" s="5">
        <v>284</v>
      </c>
      <c r="O248" s="3">
        <v>45856</v>
      </c>
      <c r="P248" s="7" t="s">
        <v>2392</v>
      </c>
      <c r="Q248" s="7" t="s">
        <v>29</v>
      </c>
      <c r="R248" s="7" t="s">
        <v>41</v>
      </c>
      <c r="S248" s="7" t="s">
        <v>42</v>
      </c>
      <c r="T248" s="7"/>
      <c r="U248" s="11">
        <f t="shared" si="12"/>
        <v>2414</v>
      </c>
      <c r="V248" s="11">
        <f t="shared" si="13"/>
        <v>1812</v>
      </c>
      <c r="W248" s="11">
        <f t="shared" si="14"/>
        <v>602</v>
      </c>
      <c r="X248" t="str">
        <f t="shared" si="15"/>
        <v>Cancelled</v>
      </c>
    </row>
    <row r="249" spans="1:24" ht="12.5" x14ac:dyDescent="0.25">
      <c r="A249" s="2" t="s">
        <v>1025</v>
      </c>
      <c r="B249" s="2" t="s">
        <v>1026</v>
      </c>
      <c r="C249" s="2" t="s">
        <v>1027</v>
      </c>
      <c r="D249" s="7" t="s">
        <v>1028</v>
      </c>
      <c r="E249" s="7" t="s">
        <v>132</v>
      </c>
      <c r="F249" s="7" t="s">
        <v>38</v>
      </c>
      <c r="G249" s="5">
        <v>4662</v>
      </c>
      <c r="H249" s="5">
        <v>15</v>
      </c>
      <c r="I249" s="5">
        <v>3963</v>
      </c>
      <c r="J249" s="5">
        <v>2</v>
      </c>
      <c r="K249" s="2" t="s">
        <v>72</v>
      </c>
      <c r="L249" s="7" t="s">
        <v>73</v>
      </c>
      <c r="M249" s="4">
        <v>4.2</v>
      </c>
      <c r="N249" s="5">
        <v>137</v>
      </c>
      <c r="O249" s="3">
        <v>45782</v>
      </c>
      <c r="P249" s="7" t="s">
        <v>2391</v>
      </c>
      <c r="Q249" s="7" t="s">
        <v>29</v>
      </c>
      <c r="R249" s="7" t="s">
        <v>89</v>
      </c>
      <c r="S249" s="7" t="s">
        <v>90</v>
      </c>
      <c r="T249" s="7"/>
      <c r="U249" s="11">
        <f t="shared" si="12"/>
        <v>9324</v>
      </c>
      <c r="V249" s="11">
        <f t="shared" si="13"/>
        <v>7926</v>
      </c>
      <c r="W249" s="11">
        <f t="shared" si="14"/>
        <v>1398</v>
      </c>
      <c r="X249" t="str">
        <f t="shared" si="15"/>
        <v>Returned</v>
      </c>
    </row>
    <row r="250" spans="1:24" ht="12.5" x14ac:dyDescent="0.25">
      <c r="A250" s="2" t="s">
        <v>1029</v>
      </c>
      <c r="B250" s="2" t="s">
        <v>1030</v>
      </c>
      <c r="C250" s="2" t="s">
        <v>1031</v>
      </c>
      <c r="D250" s="7" t="s">
        <v>1032</v>
      </c>
      <c r="E250" s="7" t="s">
        <v>24</v>
      </c>
      <c r="F250" s="7" t="s">
        <v>25</v>
      </c>
      <c r="G250" s="5">
        <v>4035</v>
      </c>
      <c r="H250" s="5">
        <v>15</v>
      </c>
      <c r="I250" s="5">
        <v>3430</v>
      </c>
      <c r="J250" s="5">
        <v>1</v>
      </c>
      <c r="K250" s="2" t="s">
        <v>26</v>
      </c>
      <c r="L250" s="7" t="s">
        <v>64</v>
      </c>
      <c r="M250" s="4">
        <v>4</v>
      </c>
      <c r="N250" s="5">
        <v>56</v>
      </c>
      <c r="O250" s="3">
        <v>45772</v>
      </c>
      <c r="P250" s="7" t="s">
        <v>2390</v>
      </c>
      <c r="Q250" s="7" t="s">
        <v>29</v>
      </c>
      <c r="R250" s="7" t="s">
        <v>104</v>
      </c>
      <c r="S250" s="7" t="s">
        <v>105</v>
      </c>
      <c r="T250" s="7"/>
      <c r="U250" s="11">
        <f t="shared" si="12"/>
        <v>4035</v>
      </c>
      <c r="V250" s="11">
        <f t="shared" si="13"/>
        <v>3430</v>
      </c>
      <c r="W250" s="11">
        <f t="shared" si="14"/>
        <v>605</v>
      </c>
      <c r="X250" t="str">
        <f t="shared" si="15"/>
        <v>Completed</v>
      </c>
    </row>
    <row r="251" spans="1:24" ht="12.5" x14ac:dyDescent="0.25">
      <c r="A251" s="2" t="s">
        <v>1033</v>
      </c>
      <c r="B251" s="2" t="s">
        <v>1034</v>
      </c>
      <c r="C251" s="2" t="s">
        <v>1035</v>
      </c>
      <c r="D251" s="7" t="s">
        <v>1036</v>
      </c>
      <c r="E251" s="7" t="s">
        <v>48</v>
      </c>
      <c r="F251" s="7" t="s">
        <v>25</v>
      </c>
      <c r="G251" s="5">
        <v>2661</v>
      </c>
      <c r="H251" s="5">
        <v>40</v>
      </c>
      <c r="I251" s="5">
        <v>1597</v>
      </c>
      <c r="J251" s="5">
        <v>1</v>
      </c>
      <c r="K251" s="2" t="s">
        <v>72</v>
      </c>
      <c r="L251" s="7" t="s">
        <v>168</v>
      </c>
      <c r="M251" s="4">
        <v>4.9000000000000004</v>
      </c>
      <c r="N251" s="5">
        <v>36</v>
      </c>
      <c r="O251" s="3">
        <v>45809</v>
      </c>
      <c r="P251" s="7" t="s">
        <v>2390</v>
      </c>
      <c r="Q251" s="7" t="s">
        <v>29</v>
      </c>
      <c r="R251" s="7" t="s">
        <v>104</v>
      </c>
      <c r="S251" s="7" t="s">
        <v>105</v>
      </c>
      <c r="T251" s="7"/>
      <c r="U251" s="11">
        <f t="shared" si="12"/>
        <v>2661</v>
      </c>
      <c r="V251" s="11">
        <f t="shared" si="13"/>
        <v>1597</v>
      </c>
      <c r="W251" s="11">
        <f t="shared" si="14"/>
        <v>1064</v>
      </c>
      <c r="X251" t="str">
        <f t="shared" si="15"/>
        <v>Completed</v>
      </c>
    </row>
    <row r="252" spans="1:24" ht="12.5" x14ac:dyDescent="0.25">
      <c r="A252" s="2" t="s">
        <v>1037</v>
      </c>
      <c r="B252" s="2" t="s">
        <v>1038</v>
      </c>
      <c r="C252" s="2" t="s">
        <v>1039</v>
      </c>
      <c r="D252" s="7" t="s">
        <v>1040</v>
      </c>
      <c r="E252" s="7" t="s">
        <v>208</v>
      </c>
      <c r="F252" s="7" t="s">
        <v>117</v>
      </c>
      <c r="G252" s="5">
        <v>1342</v>
      </c>
      <c r="H252" s="5">
        <v>30</v>
      </c>
      <c r="I252" s="5">
        <v>940</v>
      </c>
      <c r="J252" s="5">
        <v>1</v>
      </c>
      <c r="K252" s="2">
        <v>40</v>
      </c>
      <c r="L252" s="7" t="s">
        <v>64</v>
      </c>
      <c r="M252" s="4">
        <v>4.2</v>
      </c>
      <c r="N252" s="5">
        <v>184</v>
      </c>
      <c r="O252" s="3">
        <v>45827</v>
      </c>
      <c r="P252" s="7" t="s">
        <v>2390</v>
      </c>
      <c r="Q252" s="7" t="s">
        <v>78</v>
      </c>
      <c r="R252" s="7" t="s">
        <v>185</v>
      </c>
      <c r="S252" s="7" t="s">
        <v>186</v>
      </c>
      <c r="T252" s="7"/>
      <c r="U252" s="11">
        <f t="shared" si="12"/>
        <v>1342</v>
      </c>
      <c r="V252" s="11">
        <f t="shared" si="13"/>
        <v>940</v>
      </c>
      <c r="W252" s="11">
        <f t="shared" si="14"/>
        <v>402</v>
      </c>
      <c r="X252" t="str">
        <f t="shared" si="15"/>
        <v>Completed</v>
      </c>
    </row>
    <row r="253" spans="1:24" ht="12.5" x14ac:dyDescent="0.25">
      <c r="A253" s="2" t="s">
        <v>1041</v>
      </c>
      <c r="B253" s="2" t="s">
        <v>1042</v>
      </c>
      <c r="C253" s="2" t="s">
        <v>1043</v>
      </c>
      <c r="D253" s="7" t="s">
        <v>1044</v>
      </c>
      <c r="E253" s="7" t="s">
        <v>116</v>
      </c>
      <c r="F253" s="7" t="s">
        <v>117</v>
      </c>
      <c r="G253" s="5">
        <v>1841</v>
      </c>
      <c r="H253" s="5">
        <v>35</v>
      </c>
      <c r="I253" s="5">
        <v>1197</v>
      </c>
      <c r="J253" s="5">
        <v>2</v>
      </c>
      <c r="K253" s="2">
        <v>42</v>
      </c>
      <c r="L253" s="7" t="s">
        <v>88</v>
      </c>
      <c r="M253" s="4">
        <v>3.9</v>
      </c>
      <c r="N253" s="5">
        <v>102</v>
      </c>
      <c r="O253" s="3">
        <v>45807</v>
      </c>
      <c r="P253" s="7" t="s">
        <v>2391</v>
      </c>
      <c r="Q253" s="7" t="s">
        <v>78</v>
      </c>
      <c r="R253" s="7" t="s">
        <v>149</v>
      </c>
      <c r="S253" s="7" t="s">
        <v>150</v>
      </c>
      <c r="T253" s="7" t="s">
        <v>134</v>
      </c>
      <c r="U253" s="11">
        <f t="shared" si="12"/>
        <v>3682</v>
      </c>
      <c r="V253" s="11">
        <f t="shared" si="13"/>
        <v>2394</v>
      </c>
      <c r="W253" s="11">
        <f t="shared" si="14"/>
        <v>1288</v>
      </c>
      <c r="X253" t="str">
        <f t="shared" si="15"/>
        <v>Returned</v>
      </c>
    </row>
    <row r="254" spans="1:24" ht="12.5" x14ac:dyDescent="0.25">
      <c r="A254" s="2" t="s">
        <v>1045</v>
      </c>
      <c r="B254" s="2" t="s">
        <v>1046</v>
      </c>
      <c r="C254" s="2" t="s">
        <v>1047</v>
      </c>
      <c r="D254" s="7" t="s">
        <v>1048</v>
      </c>
      <c r="E254" s="7" t="s">
        <v>122</v>
      </c>
      <c r="F254" s="7" t="s">
        <v>123</v>
      </c>
      <c r="G254" s="5">
        <v>3866</v>
      </c>
      <c r="H254" s="5">
        <v>15</v>
      </c>
      <c r="I254" s="5">
        <v>3287</v>
      </c>
      <c r="J254" s="5">
        <v>3</v>
      </c>
      <c r="K254" s="2" t="s">
        <v>56</v>
      </c>
      <c r="L254" s="7" t="s">
        <v>133</v>
      </c>
      <c r="M254" s="4">
        <v>3.8</v>
      </c>
      <c r="N254" s="5">
        <v>291</v>
      </c>
      <c r="O254" s="3">
        <v>45826</v>
      </c>
      <c r="P254" s="7" t="s">
        <v>2390</v>
      </c>
      <c r="Q254" s="7" t="s">
        <v>65</v>
      </c>
      <c r="R254" s="7" t="s">
        <v>110</v>
      </c>
      <c r="S254" s="7" t="s">
        <v>111</v>
      </c>
      <c r="T254" s="7"/>
      <c r="U254" s="11">
        <f t="shared" si="12"/>
        <v>11598</v>
      </c>
      <c r="V254" s="11">
        <f t="shared" si="13"/>
        <v>9861</v>
      </c>
      <c r="W254" s="11">
        <f t="shared" si="14"/>
        <v>1737</v>
      </c>
      <c r="X254" t="str">
        <f t="shared" si="15"/>
        <v>Completed</v>
      </c>
    </row>
    <row r="255" spans="1:24" ht="12.5" x14ac:dyDescent="0.25">
      <c r="A255" s="2" t="s">
        <v>1049</v>
      </c>
      <c r="B255" s="2" t="s">
        <v>1050</v>
      </c>
      <c r="C255" s="2" t="s">
        <v>1051</v>
      </c>
      <c r="D255" s="7" t="s">
        <v>1052</v>
      </c>
      <c r="E255" s="7" t="s">
        <v>37</v>
      </c>
      <c r="F255" s="7" t="s">
        <v>38</v>
      </c>
      <c r="G255" s="5">
        <v>2558</v>
      </c>
      <c r="H255" s="5">
        <v>15</v>
      </c>
      <c r="I255" s="5">
        <v>2175</v>
      </c>
      <c r="J255" s="5">
        <v>3</v>
      </c>
      <c r="K255" s="2">
        <v>42</v>
      </c>
      <c r="L255" s="7" t="s">
        <v>27</v>
      </c>
      <c r="M255" s="4">
        <v>4.8</v>
      </c>
      <c r="N255" s="5">
        <v>124</v>
      </c>
      <c r="O255" s="3">
        <v>45828</v>
      </c>
      <c r="P255" s="7" t="s">
        <v>2391</v>
      </c>
      <c r="Q255" s="7" t="s">
        <v>78</v>
      </c>
      <c r="R255" s="7" t="s">
        <v>58</v>
      </c>
      <c r="S255" s="7" t="s">
        <v>59</v>
      </c>
      <c r="T255" s="7" t="s">
        <v>50</v>
      </c>
      <c r="U255" s="11">
        <f t="shared" si="12"/>
        <v>7674</v>
      </c>
      <c r="V255" s="11">
        <f t="shared" si="13"/>
        <v>6525</v>
      </c>
      <c r="W255" s="11">
        <f t="shared" si="14"/>
        <v>1149</v>
      </c>
      <c r="X255" t="str">
        <f t="shared" si="15"/>
        <v>Returned</v>
      </c>
    </row>
    <row r="256" spans="1:24" ht="12.5" x14ac:dyDescent="0.25">
      <c r="A256" s="2" t="s">
        <v>1053</v>
      </c>
      <c r="B256" s="2" t="s">
        <v>1054</v>
      </c>
      <c r="C256" s="2" t="s">
        <v>1055</v>
      </c>
      <c r="D256" s="7" t="s">
        <v>1056</v>
      </c>
      <c r="E256" s="7" t="s">
        <v>208</v>
      </c>
      <c r="F256" s="7" t="s">
        <v>117</v>
      </c>
      <c r="G256" s="5">
        <v>3187</v>
      </c>
      <c r="H256" s="5">
        <v>30</v>
      </c>
      <c r="I256" s="5">
        <v>2231</v>
      </c>
      <c r="J256" s="5">
        <v>1</v>
      </c>
      <c r="K256" s="2">
        <v>42</v>
      </c>
      <c r="L256" s="7" t="s">
        <v>88</v>
      </c>
      <c r="M256" s="4">
        <v>4.5</v>
      </c>
      <c r="N256" s="5">
        <v>53</v>
      </c>
      <c r="O256" s="3">
        <v>45783</v>
      </c>
      <c r="P256" s="7" t="s">
        <v>2391</v>
      </c>
      <c r="Q256" s="7" t="s">
        <v>78</v>
      </c>
      <c r="R256" s="7" t="s">
        <v>104</v>
      </c>
      <c r="S256" s="7" t="s">
        <v>105</v>
      </c>
      <c r="T256" s="7" t="s">
        <v>43</v>
      </c>
      <c r="U256" s="11">
        <f t="shared" si="12"/>
        <v>3187</v>
      </c>
      <c r="V256" s="11">
        <f t="shared" si="13"/>
        <v>2231</v>
      </c>
      <c r="W256" s="11">
        <f t="shared" si="14"/>
        <v>956</v>
      </c>
      <c r="X256" t="str">
        <f t="shared" si="15"/>
        <v>Returned</v>
      </c>
    </row>
    <row r="257" spans="1:24" ht="12.5" x14ac:dyDescent="0.25">
      <c r="A257" s="2" t="s">
        <v>1057</v>
      </c>
      <c r="B257" s="2" t="s">
        <v>1058</v>
      </c>
      <c r="C257" s="2" t="s">
        <v>1059</v>
      </c>
      <c r="D257" s="7" t="s">
        <v>1060</v>
      </c>
      <c r="E257" s="7" t="s">
        <v>208</v>
      </c>
      <c r="F257" s="7" t="s">
        <v>117</v>
      </c>
      <c r="G257" s="5">
        <v>4741</v>
      </c>
      <c r="H257" s="5">
        <v>25</v>
      </c>
      <c r="I257" s="5">
        <v>3556</v>
      </c>
      <c r="J257" s="5">
        <v>1</v>
      </c>
      <c r="K257" s="2" t="s">
        <v>163</v>
      </c>
      <c r="L257" s="7" t="s">
        <v>209</v>
      </c>
      <c r="M257" s="4">
        <v>4.9000000000000004</v>
      </c>
      <c r="N257" s="5">
        <v>182</v>
      </c>
      <c r="O257" s="3">
        <v>45806</v>
      </c>
      <c r="P257" s="7" t="s">
        <v>2391</v>
      </c>
      <c r="Q257" s="7" t="s">
        <v>29</v>
      </c>
      <c r="R257" s="7" t="s">
        <v>66</v>
      </c>
      <c r="S257" s="7" t="s">
        <v>67</v>
      </c>
      <c r="T257" s="7" t="s">
        <v>43</v>
      </c>
      <c r="U257" s="11">
        <f t="shared" si="12"/>
        <v>4741</v>
      </c>
      <c r="V257" s="11">
        <f t="shared" si="13"/>
        <v>3556</v>
      </c>
      <c r="W257" s="11">
        <f t="shared" si="14"/>
        <v>1185</v>
      </c>
      <c r="X257" t="str">
        <f t="shared" si="15"/>
        <v>Returned</v>
      </c>
    </row>
    <row r="258" spans="1:24" ht="12.5" x14ac:dyDescent="0.25">
      <c r="A258" s="2" t="s">
        <v>1061</v>
      </c>
      <c r="B258" s="2" t="s">
        <v>1062</v>
      </c>
      <c r="C258" s="2" t="s">
        <v>1063</v>
      </c>
      <c r="D258" s="7" t="s">
        <v>1064</v>
      </c>
      <c r="E258" s="7" t="s">
        <v>55</v>
      </c>
      <c r="F258" s="7" t="s">
        <v>38</v>
      </c>
      <c r="G258" s="5">
        <v>682</v>
      </c>
      <c r="H258" s="5">
        <v>10</v>
      </c>
      <c r="I258" s="5">
        <v>614</v>
      </c>
      <c r="J258" s="5">
        <v>3</v>
      </c>
      <c r="K258" s="2" t="s">
        <v>32</v>
      </c>
      <c r="L258" s="7" t="s">
        <v>168</v>
      </c>
      <c r="M258" s="4">
        <v>3.6</v>
      </c>
      <c r="N258" s="5">
        <v>232</v>
      </c>
      <c r="O258" s="3">
        <v>45847</v>
      </c>
      <c r="P258" s="7" t="s">
        <v>2391</v>
      </c>
      <c r="Q258" s="7" t="s">
        <v>29</v>
      </c>
      <c r="R258" s="7" t="s">
        <v>89</v>
      </c>
      <c r="S258" s="7" t="s">
        <v>90</v>
      </c>
      <c r="T258" s="7"/>
      <c r="U258" s="11">
        <f t="shared" ref="U258:U321" si="16">G258*J258</f>
        <v>2046</v>
      </c>
      <c r="V258" s="11">
        <f t="shared" ref="V258:V321" si="17">I258*J258</f>
        <v>1842</v>
      </c>
      <c r="W258" s="11">
        <f t="shared" ref="W258:W321" si="18">(G258-I258)*J258</f>
        <v>204</v>
      </c>
      <c r="X258" t="str">
        <f t="shared" ref="X258:X321" si="19">IF(P258="DELIVERED","Completed",IF(P258="RETURNED","Returned","Cancelled"))</f>
        <v>Returned</v>
      </c>
    </row>
    <row r="259" spans="1:24" ht="12.5" x14ac:dyDescent="0.25">
      <c r="A259" s="2" t="s">
        <v>1065</v>
      </c>
      <c r="B259" s="2" t="s">
        <v>816</v>
      </c>
      <c r="C259" s="2" t="s">
        <v>1066</v>
      </c>
      <c r="D259" s="7" t="s">
        <v>1067</v>
      </c>
      <c r="E259" s="7" t="s">
        <v>48</v>
      </c>
      <c r="F259" s="7" t="s">
        <v>25</v>
      </c>
      <c r="G259" s="5">
        <v>716</v>
      </c>
      <c r="H259" s="5">
        <v>40</v>
      </c>
      <c r="I259" s="5">
        <v>430</v>
      </c>
      <c r="J259" s="5">
        <v>1</v>
      </c>
      <c r="K259" s="2">
        <v>42</v>
      </c>
      <c r="L259" s="7" t="s">
        <v>39</v>
      </c>
      <c r="M259" s="4">
        <v>3.6</v>
      </c>
      <c r="N259" s="5">
        <v>105</v>
      </c>
      <c r="O259" s="3">
        <v>45856</v>
      </c>
      <c r="P259" s="7" t="s">
        <v>2390</v>
      </c>
      <c r="Q259" s="7" t="s">
        <v>65</v>
      </c>
      <c r="R259" s="7" t="s">
        <v>83</v>
      </c>
      <c r="S259" s="7" t="s">
        <v>83</v>
      </c>
      <c r="T259" s="7"/>
      <c r="U259" s="11">
        <f t="shared" si="16"/>
        <v>716</v>
      </c>
      <c r="V259" s="11">
        <f t="shared" si="17"/>
        <v>430</v>
      </c>
      <c r="W259" s="11">
        <f t="shared" si="18"/>
        <v>286</v>
      </c>
      <c r="X259" t="str">
        <f t="shared" si="19"/>
        <v>Completed</v>
      </c>
    </row>
    <row r="260" spans="1:24" ht="12.5" x14ac:dyDescent="0.25">
      <c r="A260" s="2" t="s">
        <v>1068</v>
      </c>
      <c r="B260" s="2" t="s">
        <v>1069</v>
      </c>
      <c r="C260" s="2" t="s">
        <v>1070</v>
      </c>
      <c r="D260" s="7" t="s">
        <v>1071</v>
      </c>
      <c r="E260" s="7" t="s">
        <v>147</v>
      </c>
      <c r="F260" s="7" t="s">
        <v>148</v>
      </c>
      <c r="G260" s="5">
        <v>4526</v>
      </c>
      <c r="H260" s="5">
        <v>20</v>
      </c>
      <c r="I260" s="5">
        <v>3621</v>
      </c>
      <c r="J260" s="5">
        <v>2</v>
      </c>
      <c r="K260" s="2">
        <v>40</v>
      </c>
      <c r="L260" s="7" t="s">
        <v>39</v>
      </c>
      <c r="M260" s="4">
        <v>4.3</v>
      </c>
      <c r="N260" s="5">
        <v>218</v>
      </c>
      <c r="O260" s="3">
        <v>45779</v>
      </c>
      <c r="P260" s="7" t="s">
        <v>2390</v>
      </c>
      <c r="Q260" s="7" t="s">
        <v>65</v>
      </c>
      <c r="R260" s="7" t="s">
        <v>110</v>
      </c>
      <c r="S260" s="7" t="s">
        <v>111</v>
      </c>
      <c r="T260" s="7"/>
      <c r="U260" s="11">
        <f t="shared" si="16"/>
        <v>9052</v>
      </c>
      <c r="V260" s="11">
        <f t="shared" si="17"/>
        <v>7242</v>
      </c>
      <c r="W260" s="11">
        <f t="shared" si="18"/>
        <v>1810</v>
      </c>
      <c r="X260" t="str">
        <f t="shared" si="19"/>
        <v>Completed</v>
      </c>
    </row>
    <row r="261" spans="1:24" ht="12.5" x14ac:dyDescent="0.25">
      <c r="A261" s="2" t="s">
        <v>1072</v>
      </c>
      <c r="B261" s="2" t="s">
        <v>1073</v>
      </c>
      <c r="C261" s="2" t="s">
        <v>1074</v>
      </c>
      <c r="D261" s="7" t="s">
        <v>1075</v>
      </c>
      <c r="E261" s="7" t="s">
        <v>247</v>
      </c>
      <c r="F261" s="7" t="s">
        <v>248</v>
      </c>
      <c r="G261" s="5">
        <v>3434</v>
      </c>
      <c r="H261" s="5">
        <v>35</v>
      </c>
      <c r="I261" s="5">
        <v>2233</v>
      </c>
      <c r="J261" s="5">
        <v>1</v>
      </c>
      <c r="K261" s="2">
        <v>42</v>
      </c>
      <c r="L261" s="7" t="s">
        <v>73</v>
      </c>
      <c r="M261" s="4">
        <v>4.5</v>
      </c>
      <c r="N261" s="5">
        <v>61</v>
      </c>
      <c r="O261" s="3">
        <v>45795</v>
      </c>
      <c r="P261" s="7" t="s">
        <v>2391</v>
      </c>
      <c r="Q261" s="7" t="s">
        <v>78</v>
      </c>
      <c r="R261" s="7" t="s">
        <v>66</v>
      </c>
      <c r="S261" s="7" t="s">
        <v>67</v>
      </c>
      <c r="T261" s="7" t="s">
        <v>50</v>
      </c>
      <c r="U261" s="11">
        <f t="shared" si="16"/>
        <v>3434</v>
      </c>
      <c r="V261" s="11">
        <f t="shared" si="17"/>
        <v>2233</v>
      </c>
      <c r="W261" s="11">
        <f t="shared" si="18"/>
        <v>1201</v>
      </c>
      <c r="X261" t="str">
        <f t="shared" si="19"/>
        <v>Returned</v>
      </c>
    </row>
    <row r="262" spans="1:24" ht="12.5" x14ac:dyDescent="0.25">
      <c r="A262" s="2" t="s">
        <v>1076</v>
      </c>
      <c r="B262" s="2" t="s">
        <v>1077</v>
      </c>
      <c r="C262" s="2" t="s">
        <v>1078</v>
      </c>
      <c r="D262" s="7" t="s">
        <v>1079</v>
      </c>
      <c r="E262" s="7" t="s">
        <v>116</v>
      </c>
      <c r="F262" s="7" t="s">
        <v>117</v>
      </c>
      <c r="G262" s="5">
        <v>971</v>
      </c>
      <c r="H262" s="5">
        <v>40</v>
      </c>
      <c r="I262" s="5">
        <v>583</v>
      </c>
      <c r="J262" s="5">
        <v>1</v>
      </c>
      <c r="K262" s="2">
        <v>42</v>
      </c>
      <c r="L262" s="7" t="s">
        <v>39</v>
      </c>
      <c r="M262" s="4">
        <v>4.0999999999999996</v>
      </c>
      <c r="N262" s="5">
        <v>28</v>
      </c>
      <c r="O262" s="3">
        <v>45790</v>
      </c>
      <c r="P262" s="7" t="s">
        <v>2390</v>
      </c>
      <c r="Q262" s="7" t="s">
        <v>65</v>
      </c>
      <c r="R262" s="7" t="s">
        <v>41</v>
      </c>
      <c r="S262" s="7" t="s">
        <v>42</v>
      </c>
      <c r="T262" s="7"/>
      <c r="U262" s="11">
        <f t="shared" si="16"/>
        <v>971</v>
      </c>
      <c r="V262" s="11">
        <f t="shared" si="17"/>
        <v>583</v>
      </c>
      <c r="W262" s="11">
        <f t="shared" si="18"/>
        <v>388</v>
      </c>
      <c r="X262" t="str">
        <f t="shared" si="19"/>
        <v>Completed</v>
      </c>
    </row>
    <row r="263" spans="1:24" ht="12.5" x14ac:dyDescent="0.25">
      <c r="A263" s="2" t="s">
        <v>1080</v>
      </c>
      <c r="B263" s="2" t="s">
        <v>1081</v>
      </c>
      <c r="C263" s="2" t="s">
        <v>1082</v>
      </c>
      <c r="D263" s="7" t="s">
        <v>1083</v>
      </c>
      <c r="E263" s="7" t="s">
        <v>122</v>
      </c>
      <c r="F263" s="7" t="s">
        <v>123</v>
      </c>
      <c r="G263" s="5">
        <v>747</v>
      </c>
      <c r="H263" s="5">
        <v>10</v>
      </c>
      <c r="I263" s="5">
        <v>673</v>
      </c>
      <c r="J263" s="5">
        <v>3</v>
      </c>
      <c r="K263" s="2" t="s">
        <v>163</v>
      </c>
      <c r="L263" s="7" t="s">
        <v>73</v>
      </c>
      <c r="M263" s="4">
        <v>3.8</v>
      </c>
      <c r="N263" s="5">
        <v>278</v>
      </c>
      <c r="O263" s="3">
        <v>45842</v>
      </c>
      <c r="P263" s="7" t="s">
        <v>2392</v>
      </c>
      <c r="Q263" s="7" t="s">
        <v>29</v>
      </c>
      <c r="R263" s="7" t="s">
        <v>41</v>
      </c>
      <c r="S263" s="7" t="s">
        <v>42</v>
      </c>
      <c r="T263" s="7"/>
      <c r="U263" s="11">
        <f t="shared" si="16"/>
        <v>2241</v>
      </c>
      <c r="V263" s="11">
        <f t="shared" si="17"/>
        <v>2019</v>
      </c>
      <c r="W263" s="11">
        <f t="shared" si="18"/>
        <v>222</v>
      </c>
      <c r="X263" t="str">
        <f t="shared" si="19"/>
        <v>Cancelled</v>
      </c>
    </row>
    <row r="264" spans="1:24" ht="12.5" x14ac:dyDescent="0.25">
      <c r="A264" s="2" t="s">
        <v>1084</v>
      </c>
      <c r="B264" s="2" t="s">
        <v>244</v>
      </c>
      <c r="C264" s="2" t="s">
        <v>1085</v>
      </c>
      <c r="D264" s="7" t="s">
        <v>1086</v>
      </c>
      <c r="E264" s="7" t="s">
        <v>37</v>
      </c>
      <c r="F264" s="7" t="s">
        <v>38</v>
      </c>
      <c r="G264" s="5">
        <v>2286</v>
      </c>
      <c r="H264" s="5">
        <v>15</v>
      </c>
      <c r="I264" s="5">
        <v>1944</v>
      </c>
      <c r="J264" s="5">
        <v>3</v>
      </c>
      <c r="K264" s="2" t="s">
        <v>261</v>
      </c>
      <c r="L264" s="7" t="s">
        <v>27</v>
      </c>
      <c r="M264" s="4">
        <v>4.4000000000000004</v>
      </c>
      <c r="N264" s="5">
        <v>174</v>
      </c>
      <c r="O264" s="3">
        <v>45784</v>
      </c>
      <c r="P264" s="7" t="s">
        <v>2391</v>
      </c>
      <c r="Q264" s="7" t="s">
        <v>78</v>
      </c>
      <c r="R264" s="7" t="s">
        <v>89</v>
      </c>
      <c r="S264" s="7" t="s">
        <v>90</v>
      </c>
      <c r="T264" s="7"/>
      <c r="U264" s="11">
        <f t="shared" si="16"/>
        <v>6858</v>
      </c>
      <c r="V264" s="11">
        <f t="shared" si="17"/>
        <v>5832</v>
      </c>
      <c r="W264" s="11">
        <f t="shared" si="18"/>
        <v>1026</v>
      </c>
      <c r="X264" t="str">
        <f t="shared" si="19"/>
        <v>Returned</v>
      </c>
    </row>
    <row r="265" spans="1:24" ht="12.5" x14ac:dyDescent="0.25">
      <c r="A265" s="2" t="s">
        <v>1087</v>
      </c>
      <c r="B265" s="2" t="s">
        <v>1018</v>
      </c>
      <c r="C265" s="2" t="s">
        <v>1088</v>
      </c>
      <c r="D265" s="7" t="s">
        <v>1089</v>
      </c>
      <c r="E265" s="7" t="s">
        <v>48</v>
      </c>
      <c r="F265" s="7" t="s">
        <v>25</v>
      </c>
      <c r="G265" s="5">
        <v>940</v>
      </c>
      <c r="H265" s="5">
        <v>15</v>
      </c>
      <c r="I265" s="5">
        <v>799</v>
      </c>
      <c r="J265" s="5">
        <v>1</v>
      </c>
      <c r="K265" s="2">
        <v>42</v>
      </c>
      <c r="L265" s="7" t="s">
        <v>209</v>
      </c>
      <c r="M265" s="4">
        <v>4.0999999999999996</v>
      </c>
      <c r="N265" s="5">
        <v>224</v>
      </c>
      <c r="O265" s="3">
        <v>45844</v>
      </c>
      <c r="P265" s="7" t="s">
        <v>2392</v>
      </c>
      <c r="Q265" s="7" t="s">
        <v>29</v>
      </c>
      <c r="R265" s="7" t="s">
        <v>149</v>
      </c>
      <c r="S265" s="7" t="s">
        <v>150</v>
      </c>
      <c r="T265" s="7"/>
      <c r="U265" s="11">
        <f t="shared" si="16"/>
        <v>940</v>
      </c>
      <c r="V265" s="11">
        <f t="shared" si="17"/>
        <v>799</v>
      </c>
      <c r="W265" s="11">
        <f t="shared" si="18"/>
        <v>141</v>
      </c>
      <c r="X265" t="str">
        <f t="shared" si="19"/>
        <v>Cancelled</v>
      </c>
    </row>
    <row r="266" spans="1:24" ht="12.5" x14ac:dyDescent="0.25">
      <c r="A266" s="2" t="s">
        <v>1090</v>
      </c>
      <c r="B266" s="2" t="s">
        <v>1091</v>
      </c>
      <c r="C266" s="2" t="s">
        <v>1092</v>
      </c>
      <c r="D266" s="7" t="s">
        <v>1093</v>
      </c>
      <c r="E266" s="7" t="s">
        <v>37</v>
      </c>
      <c r="F266" s="7" t="s">
        <v>38</v>
      </c>
      <c r="G266" s="5">
        <v>3219</v>
      </c>
      <c r="H266" s="5">
        <v>35</v>
      </c>
      <c r="I266" s="5">
        <v>2093</v>
      </c>
      <c r="J266" s="5">
        <v>1</v>
      </c>
      <c r="K266" s="2">
        <v>42</v>
      </c>
      <c r="L266" s="7" t="s">
        <v>209</v>
      </c>
      <c r="M266" s="4">
        <v>4.9000000000000004</v>
      </c>
      <c r="N266" s="5">
        <v>256</v>
      </c>
      <c r="O266" s="3">
        <v>45844</v>
      </c>
      <c r="P266" s="7" t="s">
        <v>2391</v>
      </c>
      <c r="Q266" s="7" t="s">
        <v>78</v>
      </c>
      <c r="R266" s="7" t="s">
        <v>110</v>
      </c>
      <c r="S266" s="7" t="s">
        <v>111</v>
      </c>
      <c r="T266" s="7" t="s">
        <v>203</v>
      </c>
      <c r="U266" s="11">
        <f t="shared" si="16"/>
        <v>3219</v>
      </c>
      <c r="V266" s="11">
        <f t="shared" si="17"/>
        <v>2093</v>
      </c>
      <c r="W266" s="11">
        <f t="shared" si="18"/>
        <v>1126</v>
      </c>
      <c r="X266" t="str">
        <f t="shared" si="19"/>
        <v>Returned</v>
      </c>
    </row>
    <row r="267" spans="1:24" ht="12.5" x14ac:dyDescent="0.25">
      <c r="A267" s="2" t="s">
        <v>1094</v>
      </c>
      <c r="B267" s="2" t="s">
        <v>566</v>
      </c>
      <c r="C267" s="2" t="s">
        <v>1095</v>
      </c>
      <c r="D267" s="7" t="s">
        <v>1096</v>
      </c>
      <c r="E267" s="7" t="s">
        <v>147</v>
      </c>
      <c r="F267" s="7" t="s">
        <v>148</v>
      </c>
      <c r="G267" s="5">
        <v>4537</v>
      </c>
      <c r="H267" s="5">
        <v>30</v>
      </c>
      <c r="I267" s="5">
        <v>3176</v>
      </c>
      <c r="J267" s="5">
        <v>3</v>
      </c>
      <c r="K267" s="2" t="s">
        <v>163</v>
      </c>
      <c r="L267" s="7" t="s">
        <v>88</v>
      </c>
      <c r="M267" s="4">
        <v>3.9</v>
      </c>
      <c r="N267" s="5">
        <v>278</v>
      </c>
      <c r="O267" s="3">
        <v>45779</v>
      </c>
      <c r="P267" s="7" t="s">
        <v>2391</v>
      </c>
      <c r="Q267" s="7" t="s">
        <v>65</v>
      </c>
      <c r="R267" s="7" t="s">
        <v>58</v>
      </c>
      <c r="S267" s="7" t="s">
        <v>59</v>
      </c>
      <c r="T267" s="7" t="s">
        <v>43</v>
      </c>
      <c r="U267" s="11">
        <f t="shared" si="16"/>
        <v>13611</v>
      </c>
      <c r="V267" s="11">
        <f t="shared" si="17"/>
        <v>9528</v>
      </c>
      <c r="W267" s="11">
        <f t="shared" si="18"/>
        <v>4083</v>
      </c>
      <c r="X267" t="str">
        <f t="shared" si="19"/>
        <v>Returned</v>
      </c>
    </row>
    <row r="268" spans="1:24" ht="12.5" x14ac:dyDescent="0.25">
      <c r="A268" s="2" t="s">
        <v>1097</v>
      </c>
      <c r="B268" s="2" t="s">
        <v>1098</v>
      </c>
      <c r="C268" s="2" t="s">
        <v>1099</v>
      </c>
      <c r="D268" s="7" t="s">
        <v>1100</v>
      </c>
      <c r="E268" s="7" t="s">
        <v>247</v>
      </c>
      <c r="F268" s="7" t="s">
        <v>248</v>
      </c>
      <c r="G268" s="5">
        <v>2554</v>
      </c>
      <c r="H268" s="5">
        <v>20</v>
      </c>
      <c r="I268" s="5">
        <v>2044</v>
      </c>
      <c r="J268" s="5">
        <v>1</v>
      </c>
      <c r="K268" s="2">
        <v>44</v>
      </c>
      <c r="L268" s="7" t="s">
        <v>133</v>
      </c>
      <c r="M268" s="4">
        <v>4.3</v>
      </c>
      <c r="N268" s="5">
        <v>289</v>
      </c>
      <c r="O268" s="3">
        <v>45823</v>
      </c>
      <c r="P268" s="7" t="s">
        <v>2392</v>
      </c>
      <c r="Q268" s="7" t="s">
        <v>65</v>
      </c>
      <c r="R268" s="7" t="s">
        <v>104</v>
      </c>
      <c r="S268" s="7" t="s">
        <v>105</v>
      </c>
      <c r="T268" s="7"/>
      <c r="U268" s="11">
        <f t="shared" si="16"/>
        <v>2554</v>
      </c>
      <c r="V268" s="11">
        <f t="shared" si="17"/>
        <v>2044</v>
      </c>
      <c r="W268" s="11">
        <f t="shared" si="18"/>
        <v>510</v>
      </c>
      <c r="X268" t="str">
        <f t="shared" si="19"/>
        <v>Cancelled</v>
      </c>
    </row>
    <row r="269" spans="1:24" ht="12.5" x14ac:dyDescent="0.25">
      <c r="A269" s="2" t="s">
        <v>1101</v>
      </c>
      <c r="B269" s="2" t="s">
        <v>1102</v>
      </c>
      <c r="C269" s="2" t="s">
        <v>1103</v>
      </c>
      <c r="D269" s="7" t="s">
        <v>1104</v>
      </c>
      <c r="E269" s="7" t="s">
        <v>208</v>
      </c>
      <c r="F269" s="7" t="s">
        <v>117</v>
      </c>
      <c r="G269" s="5">
        <v>1899</v>
      </c>
      <c r="H269" s="5">
        <v>10</v>
      </c>
      <c r="I269" s="5">
        <v>1710</v>
      </c>
      <c r="J269" s="5">
        <v>2</v>
      </c>
      <c r="K269" s="2" t="s">
        <v>226</v>
      </c>
      <c r="L269" s="7" t="s">
        <v>27</v>
      </c>
      <c r="M269" s="4">
        <v>4</v>
      </c>
      <c r="N269" s="5">
        <v>211</v>
      </c>
      <c r="O269" s="3">
        <v>45794</v>
      </c>
      <c r="P269" s="7" t="s">
        <v>2390</v>
      </c>
      <c r="Q269" s="7" t="s">
        <v>78</v>
      </c>
      <c r="R269" s="7" t="s">
        <v>83</v>
      </c>
      <c r="S269" s="7" t="s">
        <v>83</v>
      </c>
      <c r="T269" s="7"/>
      <c r="U269" s="11">
        <f t="shared" si="16"/>
        <v>3798</v>
      </c>
      <c r="V269" s="11">
        <f t="shared" si="17"/>
        <v>3420</v>
      </c>
      <c r="W269" s="11">
        <f t="shared" si="18"/>
        <v>378</v>
      </c>
      <c r="X269" t="str">
        <f t="shared" si="19"/>
        <v>Completed</v>
      </c>
    </row>
    <row r="270" spans="1:24" ht="12.5" x14ac:dyDescent="0.25">
      <c r="A270" s="2" t="s">
        <v>1105</v>
      </c>
      <c r="B270" s="2" t="s">
        <v>761</v>
      </c>
      <c r="C270" s="2" t="s">
        <v>1106</v>
      </c>
      <c r="D270" s="7" t="s">
        <v>1107</v>
      </c>
      <c r="E270" s="7" t="s">
        <v>48</v>
      </c>
      <c r="F270" s="7" t="s">
        <v>25</v>
      </c>
      <c r="G270" s="5">
        <v>4533</v>
      </c>
      <c r="H270" s="5">
        <v>20</v>
      </c>
      <c r="I270" s="5">
        <v>3627</v>
      </c>
      <c r="J270" s="5">
        <v>1</v>
      </c>
      <c r="K270" s="2">
        <v>44</v>
      </c>
      <c r="L270" s="7" t="s">
        <v>64</v>
      </c>
      <c r="M270" s="4">
        <v>4.3</v>
      </c>
      <c r="N270" s="5">
        <v>276</v>
      </c>
      <c r="O270" s="3">
        <v>45827</v>
      </c>
      <c r="P270" s="7" t="s">
        <v>2392</v>
      </c>
      <c r="Q270" s="7" t="s">
        <v>78</v>
      </c>
      <c r="R270" s="7" t="s">
        <v>83</v>
      </c>
      <c r="S270" s="7" t="s">
        <v>83</v>
      </c>
      <c r="T270" s="7"/>
      <c r="U270" s="11">
        <f t="shared" si="16"/>
        <v>4533</v>
      </c>
      <c r="V270" s="11">
        <f t="shared" si="17"/>
        <v>3627</v>
      </c>
      <c r="W270" s="11">
        <f t="shared" si="18"/>
        <v>906</v>
      </c>
      <c r="X270" t="str">
        <f t="shared" si="19"/>
        <v>Cancelled</v>
      </c>
    </row>
    <row r="271" spans="1:24" ht="12.5" x14ac:dyDescent="0.25">
      <c r="A271" s="2" t="s">
        <v>1108</v>
      </c>
      <c r="B271" s="2" t="s">
        <v>1109</v>
      </c>
      <c r="C271" s="2" t="s">
        <v>1110</v>
      </c>
      <c r="D271" s="7" t="s">
        <v>1111</v>
      </c>
      <c r="E271" s="7" t="s">
        <v>122</v>
      </c>
      <c r="F271" s="7" t="s">
        <v>123</v>
      </c>
      <c r="G271" s="5">
        <v>3743</v>
      </c>
      <c r="H271" s="5">
        <v>20</v>
      </c>
      <c r="I271" s="5">
        <v>2995</v>
      </c>
      <c r="J271" s="5">
        <v>3</v>
      </c>
      <c r="K271" s="2" t="s">
        <v>26</v>
      </c>
      <c r="L271" s="7" t="s">
        <v>49</v>
      </c>
      <c r="M271" s="4">
        <v>3.9</v>
      </c>
      <c r="N271" s="5">
        <v>259</v>
      </c>
      <c r="O271" s="3">
        <v>45775</v>
      </c>
      <c r="P271" s="7" t="s">
        <v>2391</v>
      </c>
      <c r="Q271" s="7" t="s">
        <v>78</v>
      </c>
      <c r="R271" s="7" t="s">
        <v>149</v>
      </c>
      <c r="S271" s="7" t="s">
        <v>150</v>
      </c>
      <c r="T271" s="7" t="s">
        <v>134</v>
      </c>
      <c r="U271" s="11">
        <f t="shared" si="16"/>
        <v>11229</v>
      </c>
      <c r="V271" s="11">
        <f t="shared" si="17"/>
        <v>8985</v>
      </c>
      <c r="W271" s="11">
        <f t="shared" si="18"/>
        <v>2244</v>
      </c>
      <c r="X271" t="str">
        <f t="shared" si="19"/>
        <v>Returned</v>
      </c>
    </row>
    <row r="272" spans="1:24" ht="12.5" x14ac:dyDescent="0.25">
      <c r="A272" s="2" t="s">
        <v>1112</v>
      </c>
      <c r="B272" s="2" t="s">
        <v>412</v>
      </c>
      <c r="C272" s="2" t="s">
        <v>1113</v>
      </c>
      <c r="D272" s="7" t="s">
        <v>1114</v>
      </c>
      <c r="E272" s="7" t="s">
        <v>55</v>
      </c>
      <c r="F272" s="7" t="s">
        <v>38</v>
      </c>
      <c r="G272" s="5">
        <v>4585</v>
      </c>
      <c r="H272" s="5">
        <v>15</v>
      </c>
      <c r="I272" s="5">
        <v>3898</v>
      </c>
      <c r="J272" s="5">
        <v>1</v>
      </c>
      <c r="K272" s="2" t="s">
        <v>26</v>
      </c>
      <c r="L272" s="7" t="s">
        <v>103</v>
      </c>
      <c r="M272" s="4">
        <v>4.5999999999999996</v>
      </c>
      <c r="N272" s="5">
        <v>54</v>
      </c>
      <c r="O272" s="3">
        <v>45783</v>
      </c>
      <c r="P272" s="7" t="s">
        <v>2392</v>
      </c>
      <c r="Q272" s="7" t="s">
        <v>78</v>
      </c>
      <c r="R272" s="7" t="s">
        <v>104</v>
      </c>
      <c r="S272" s="7" t="s">
        <v>105</v>
      </c>
      <c r="T272" s="7"/>
      <c r="U272" s="11">
        <f t="shared" si="16"/>
        <v>4585</v>
      </c>
      <c r="V272" s="11">
        <f t="shared" si="17"/>
        <v>3898</v>
      </c>
      <c r="W272" s="11">
        <f t="shared" si="18"/>
        <v>687</v>
      </c>
      <c r="X272" t="str">
        <f t="shared" si="19"/>
        <v>Cancelled</v>
      </c>
    </row>
    <row r="273" spans="1:24" ht="12.5" x14ac:dyDescent="0.25">
      <c r="A273" s="2" t="s">
        <v>1115</v>
      </c>
      <c r="B273" s="2" t="s">
        <v>1116</v>
      </c>
      <c r="C273" s="2" t="s">
        <v>1117</v>
      </c>
      <c r="D273" s="7" t="s">
        <v>1118</v>
      </c>
      <c r="E273" s="7" t="s">
        <v>147</v>
      </c>
      <c r="F273" s="7" t="s">
        <v>148</v>
      </c>
      <c r="G273" s="5">
        <v>2298</v>
      </c>
      <c r="H273" s="5">
        <v>40</v>
      </c>
      <c r="I273" s="5">
        <v>1379</v>
      </c>
      <c r="J273" s="5">
        <v>2</v>
      </c>
      <c r="K273" s="2">
        <v>44</v>
      </c>
      <c r="L273" s="7" t="s">
        <v>88</v>
      </c>
      <c r="M273" s="4">
        <v>4.7</v>
      </c>
      <c r="N273" s="5">
        <v>151</v>
      </c>
      <c r="O273" s="3">
        <v>45828</v>
      </c>
      <c r="P273" s="7" t="s">
        <v>2392</v>
      </c>
      <c r="Q273" s="7" t="s">
        <v>29</v>
      </c>
      <c r="R273" s="7" t="s">
        <v>104</v>
      </c>
      <c r="S273" s="7" t="s">
        <v>105</v>
      </c>
      <c r="T273" s="7"/>
      <c r="U273" s="11">
        <f t="shared" si="16"/>
        <v>4596</v>
      </c>
      <c r="V273" s="11">
        <f t="shared" si="17"/>
        <v>2758</v>
      </c>
      <c r="W273" s="11">
        <f t="shared" si="18"/>
        <v>1838</v>
      </c>
      <c r="X273" t="str">
        <f t="shared" si="19"/>
        <v>Cancelled</v>
      </c>
    </row>
    <row r="274" spans="1:24" ht="12.5" x14ac:dyDescent="0.25">
      <c r="A274" s="2" t="s">
        <v>1119</v>
      </c>
      <c r="B274" s="2" t="s">
        <v>905</v>
      </c>
      <c r="C274" s="2" t="s">
        <v>1120</v>
      </c>
      <c r="D274" s="7" t="s">
        <v>1121</v>
      </c>
      <c r="E274" s="7" t="s">
        <v>48</v>
      </c>
      <c r="F274" s="7" t="s">
        <v>25</v>
      </c>
      <c r="G274" s="5">
        <v>2967</v>
      </c>
      <c r="H274" s="5">
        <v>10</v>
      </c>
      <c r="I274" s="5">
        <v>2671</v>
      </c>
      <c r="J274" s="5">
        <v>1</v>
      </c>
      <c r="K274" s="2">
        <v>44</v>
      </c>
      <c r="L274" s="7" t="s">
        <v>133</v>
      </c>
      <c r="M274" s="4">
        <v>4.0999999999999996</v>
      </c>
      <c r="N274" s="5">
        <v>25</v>
      </c>
      <c r="O274" s="3">
        <v>45807</v>
      </c>
      <c r="P274" s="7" t="s">
        <v>2391</v>
      </c>
      <c r="Q274" s="7" t="s">
        <v>65</v>
      </c>
      <c r="R274" s="7" t="s">
        <v>89</v>
      </c>
      <c r="S274" s="7" t="s">
        <v>90</v>
      </c>
      <c r="T274" s="7" t="s">
        <v>50</v>
      </c>
      <c r="U274" s="11">
        <f t="shared" si="16"/>
        <v>2967</v>
      </c>
      <c r="V274" s="11">
        <f t="shared" si="17"/>
        <v>2671</v>
      </c>
      <c r="W274" s="11">
        <f t="shared" si="18"/>
        <v>296</v>
      </c>
      <c r="X274" t="str">
        <f t="shared" si="19"/>
        <v>Returned</v>
      </c>
    </row>
    <row r="275" spans="1:24" ht="12.5" x14ac:dyDescent="0.25">
      <c r="A275" s="2" t="s">
        <v>1122</v>
      </c>
      <c r="B275" s="2" t="s">
        <v>1007</v>
      </c>
      <c r="C275" s="2" t="s">
        <v>1123</v>
      </c>
      <c r="D275" s="7" t="s">
        <v>1124</v>
      </c>
      <c r="E275" s="7" t="s">
        <v>48</v>
      </c>
      <c r="F275" s="7" t="s">
        <v>25</v>
      </c>
      <c r="G275" s="5">
        <v>2974</v>
      </c>
      <c r="H275" s="5">
        <v>35</v>
      </c>
      <c r="I275" s="5">
        <v>1934</v>
      </c>
      <c r="J275" s="5">
        <v>1</v>
      </c>
      <c r="K275" s="2" t="s">
        <v>26</v>
      </c>
      <c r="L275" s="7" t="s">
        <v>73</v>
      </c>
      <c r="M275" s="4">
        <v>5</v>
      </c>
      <c r="N275" s="5">
        <v>258</v>
      </c>
      <c r="O275" s="3">
        <v>45856</v>
      </c>
      <c r="P275" s="7" t="s">
        <v>2390</v>
      </c>
      <c r="Q275" s="7" t="s">
        <v>65</v>
      </c>
      <c r="R275" s="7" t="s">
        <v>41</v>
      </c>
      <c r="S275" s="7" t="s">
        <v>42</v>
      </c>
      <c r="T275" s="7"/>
      <c r="U275" s="11">
        <f t="shared" si="16"/>
        <v>2974</v>
      </c>
      <c r="V275" s="11">
        <f t="shared" si="17"/>
        <v>1934</v>
      </c>
      <c r="W275" s="11">
        <f t="shared" si="18"/>
        <v>1040</v>
      </c>
      <c r="X275" t="str">
        <f t="shared" si="19"/>
        <v>Completed</v>
      </c>
    </row>
    <row r="276" spans="1:24" ht="12.5" x14ac:dyDescent="0.25">
      <c r="A276" s="2" t="s">
        <v>1125</v>
      </c>
      <c r="B276" s="2" t="s">
        <v>648</v>
      </c>
      <c r="C276" s="2" t="s">
        <v>1126</v>
      </c>
      <c r="D276" s="7" t="s">
        <v>1127</v>
      </c>
      <c r="E276" s="7" t="s">
        <v>132</v>
      </c>
      <c r="F276" s="7" t="s">
        <v>38</v>
      </c>
      <c r="G276" s="5">
        <v>4386</v>
      </c>
      <c r="H276" s="5">
        <v>10</v>
      </c>
      <c r="I276" s="5">
        <v>3948</v>
      </c>
      <c r="J276" s="5">
        <v>3</v>
      </c>
      <c r="K276" s="2" t="s">
        <v>26</v>
      </c>
      <c r="L276" s="7" t="s">
        <v>88</v>
      </c>
      <c r="M276" s="4">
        <v>3.9</v>
      </c>
      <c r="N276" s="5">
        <v>100</v>
      </c>
      <c r="O276" s="3">
        <v>45835</v>
      </c>
      <c r="P276" s="7" t="s">
        <v>2392</v>
      </c>
      <c r="Q276" s="7" t="s">
        <v>29</v>
      </c>
      <c r="R276" s="7" t="s">
        <v>83</v>
      </c>
      <c r="S276" s="7" t="s">
        <v>83</v>
      </c>
      <c r="T276" s="7"/>
      <c r="U276" s="11">
        <f t="shared" si="16"/>
        <v>13158</v>
      </c>
      <c r="V276" s="11">
        <f t="shared" si="17"/>
        <v>11844</v>
      </c>
      <c r="W276" s="11">
        <f t="shared" si="18"/>
        <v>1314</v>
      </c>
      <c r="X276" t="str">
        <f t="shared" si="19"/>
        <v>Cancelled</v>
      </c>
    </row>
    <row r="277" spans="1:24" ht="12.5" x14ac:dyDescent="0.25">
      <c r="A277" s="2" t="s">
        <v>1128</v>
      </c>
      <c r="B277" s="2" t="s">
        <v>736</v>
      </c>
      <c r="C277" s="2" t="s">
        <v>1129</v>
      </c>
      <c r="D277" s="7" t="s">
        <v>1130</v>
      </c>
      <c r="E277" s="7" t="s">
        <v>147</v>
      </c>
      <c r="F277" s="7" t="s">
        <v>148</v>
      </c>
      <c r="G277" s="5">
        <v>3509</v>
      </c>
      <c r="H277" s="5">
        <v>40</v>
      </c>
      <c r="I277" s="5">
        <v>2106</v>
      </c>
      <c r="J277" s="5">
        <v>1</v>
      </c>
      <c r="K277" s="2" t="s">
        <v>32</v>
      </c>
      <c r="L277" s="7" t="s">
        <v>49</v>
      </c>
      <c r="M277" s="4">
        <v>4</v>
      </c>
      <c r="N277" s="5">
        <v>269</v>
      </c>
      <c r="O277" s="3">
        <v>45851</v>
      </c>
      <c r="P277" s="7" t="s">
        <v>2391</v>
      </c>
      <c r="Q277" s="7" t="s">
        <v>65</v>
      </c>
      <c r="R277" s="7" t="s">
        <v>66</v>
      </c>
      <c r="S277" s="7" t="s">
        <v>67</v>
      </c>
      <c r="T277" s="7" t="s">
        <v>134</v>
      </c>
      <c r="U277" s="11">
        <f t="shared" si="16"/>
        <v>3509</v>
      </c>
      <c r="V277" s="11">
        <f t="shared" si="17"/>
        <v>2106</v>
      </c>
      <c r="W277" s="11">
        <f t="shared" si="18"/>
        <v>1403</v>
      </c>
      <c r="X277" t="str">
        <f t="shared" si="19"/>
        <v>Returned</v>
      </c>
    </row>
    <row r="278" spans="1:24" ht="12.5" x14ac:dyDescent="0.25">
      <c r="A278" s="2" t="s">
        <v>1131</v>
      </c>
      <c r="B278" s="2" t="s">
        <v>1132</v>
      </c>
      <c r="C278" s="2" t="s">
        <v>1133</v>
      </c>
      <c r="D278" s="7" t="s">
        <v>1134</v>
      </c>
      <c r="E278" s="7" t="s">
        <v>208</v>
      </c>
      <c r="F278" s="7" t="s">
        <v>117</v>
      </c>
      <c r="G278" s="5">
        <v>2481</v>
      </c>
      <c r="H278" s="5">
        <v>20</v>
      </c>
      <c r="I278" s="5">
        <v>1985</v>
      </c>
      <c r="J278" s="5">
        <v>2</v>
      </c>
      <c r="K278" s="2" t="s">
        <v>32</v>
      </c>
      <c r="L278" s="7" t="s">
        <v>39</v>
      </c>
      <c r="M278" s="4">
        <v>4.2</v>
      </c>
      <c r="N278" s="5">
        <v>35</v>
      </c>
      <c r="O278" s="3">
        <v>45813</v>
      </c>
      <c r="P278" s="7" t="s">
        <v>2392</v>
      </c>
      <c r="Q278" s="7" t="s">
        <v>78</v>
      </c>
      <c r="R278" s="7" t="s">
        <v>185</v>
      </c>
      <c r="S278" s="7" t="s">
        <v>186</v>
      </c>
      <c r="T278" s="7"/>
      <c r="U278" s="11">
        <f t="shared" si="16"/>
        <v>4962</v>
      </c>
      <c r="V278" s="11">
        <f t="shared" si="17"/>
        <v>3970</v>
      </c>
      <c r="W278" s="11">
        <f t="shared" si="18"/>
        <v>992</v>
      </c>
      <c r="X278" t="str">
        <f t="shared" si="19"/>
        <v>Cancelled</v>
      </c>
    </row>
    <row r="279" spans="1:24" ht="12.5" x14ac:dyDescent="0.25">
      <c r="A279" s="2" t="s">
        <v>1135</v>
      </c>
      <c r="B279" s="2" t="s">
        <v>1136</v>
      </c>
      <c r="C279" s="2" t="s">
        <v>1137</v>
      </c>
      <c r="D279" s="7" t="s">
        <v>1138</v>
      </c>
      <c r="E279" s="7" t="s">
        <v>116</v>
      </c>
      <c r="F279" s="7" t="s">
        <v>117</v>
      </c>
      <c r="G279" s="5">
        <v>3198</v>
      </c>
      <c r="H279" s="5">
        <v>20</v>
      </c>
      <c r="I279" s="5">
        <v>2559</v>
      </c>
      <c r="J279" s="5">
        <v>1</v>
      </c>
      <c r="K279" s="2" t="s">
        <v>26</v>
      </c>
      <c r="L279" s="7" t="s">
        <v>209</v>
      </c>
      <c r="M279" s="4">
        <v>5</v>
      </c>
      <c r="N279" s="5">
        <v>240</v>
      </c>
      <c r="O279" s="3">
        <v>45852</v>
      </c>
      <c r="P279" s="7" t="s">
        <v>2391</v>
      </c>
      <c r="Q279" s="7" t="s">
        <v>65</v>
      </c>
      <c r="R279" s="7" t="s">
        <v>66</v>
      </c>
      <c r="S279" s="7" t="s">
        <v>67</v>
      </c>
      <c r="T279" s="7" t="s">
        <v>134</v>
      </c>
      <c r="U279" s="11">
        <f t="shared" si="16"/>
        <v>3198</v>
      </c>
      <c r="V279" s="11">
        <f t="shared" si="17"/>
        <v>2559</v>
      </c>
      <c r="W279" s="11">
        <f t="shared" si="18"/>
        <v>639</v>
      </c>
      <c r="X279" t="str">
        <f t="shared" si="19"/>
        <v>Returned</v>
      </c>
    </row>
    <row r="280" spans="1:24" ht="12.5" x14ac:dyDescent="0.25">
      <c r="A280" s="2" t="s">
        <v>1139</v>
      </c>
      <c r="B280" s="2" t="s">
        <v>1140</v>
      </c>
      <c r="C280" s="2" t="s">
        <v>1141</v>
      </c>
      <c r="D280" s="7" t="s">
        <v>1142</v>
      </c>
      <c r="E280" s="7" t="s">
        <v>24</v>
      </c>
      <c r="F280" s="7" t="s">
        <v>25</v>
      </c>
      <c r="G280" s="5">
        <v>1964</v>
      </c>
      <c r="H280" s="5">
        <v>10</v>
      </c>
      <c r="I280" s="5">
        <v>1768</v>
      </c>
      <c r="J280" s="5">
        <v>1</v>
      </c>
      <c r="K280" s="2" t="s">
        <v>72</v>
      </c>
      <c r="L280" s="7" t="s">
        <v>49</v>
      </c>
      <c r="M280" s="4">
        <v>4.2</v>
      </c>
      <c r="N280" s="5">
        <v>246</v>
      </c>
      <c r="O280" s="3">
        <v>45783</v>
      </c>
      <c r="P280" s="7" t="s">
        <v>2392</v>
      </c>
      <c r="Q280" s="7" t="s">
        <v>29</v>
      </c>
      <c r="R280" s="7" t="s">
        <v>41</v>
      </c>
      <c r="S280" s="7" t="s">
        <v>42</v>
      </c>
      <c r="T280" s="7"/>
      <c r="U280" s="11">
        <f t="shared" si="16"/>
        <v>1964</v>
      </c>
      <c r="V280" s="11">
        <f t="shared" si="17"/>
        <v>1768</v>
      </c>
      <c r="W280" s="11">
        <f t="shared" si="18"/>
        <v>196</v>
      </c>
      <c r="X280" t="str">
        <f t="shared" si="19"/>
        <v>Cancelled</v>
      </c>
    </row>
    <row r="281" spans="1:24" ht="12.5" x14ac:dyDescent="0.25">
      <c r="A281" s="2" t="s">
        <v>1143</v>
      </c>
      <c r="B281" s="2" t="s">
        <v>736</v>
      </c>
      <c r="C281" s="2" t="s">
        <v>1144</v>
      </c>
      <c r="D281" s="7" t="s">
        <v>1145</v>
      </c>
      <c r="E281" s="7" t="s">
        <v>48</v>
      </c>
      <c r="F281" s="7" t="s">
        <v>25</v>
      </c>
      <c r="G281" s="5">
        <v>2326</v>
      </c>
      <c r="H281" s="5">
        <v>20</v>
      </c>
      <c r="I281" s="5">
        <v>1861</v>
      </c>
      <c r="J281" s="5">
        <v>3</v>
      </c>
      <c r="K281" s="2">
        <v>40</v>
      </c>
      <c r="L281" s="7" t="s">
        <v>73</v>
      </c>
      <c r="M281" s="4">
        <v>4.5999999999999996</v>
      </c>
      <c r="N281" s="5">
        <v>72</v>
      </c>
      <c r="O281" s="3">
        <v>45823</v>
      </c>
      <c r="P281" s="7" t="s">
        <v>2390</v>
      </c>
      <c r="Q281" s="7" t="s">
        <v>78</v>
      </c>
      <c r="R281" s="7" t="s">
        <v>89</v>
      </c>
      <c r="S281" s="7" t="s">
        <v>90</v>
      </c>
      <c r="T281" s="7"/>
      <c r="U281" s="11">
        <f t="shared" si="16"/>
        <v>6978</v>
      </c>
      <c r="V281" s="11">
        <f t="shared" si="17"/>
        <v>5583</v>
      </c>
      <c r="W281" s="11">
        <f t="shared" si="18"/>
        <v>1395</v>
      </c>
      <c r="X281" t="str">
        <f t="shared" si="19"/>
        <v>Completed</v>
      </c>
    </row>
    <row r="282" spans="1:24" ht="12.5" x14ac:dyDescent="0.25">
      <c r="A282" s="2" t="s">
        <v>1146</v>
      </c>
      <c r="B282" s="2" t="s">
        <v>1147</v>
      </c>
      <c r="C282" s="2" t="s">
        <v>1148</v>
      </c>
      <c r="D282" s="7" t="s">
        <v>1149</v>
      </c>
      <c r="E282" s="7" t="s">
        <v>122</v>
      </c>
      <c r="F282" s="7" t="s">
        <v>123</v>
      </c>
      <c r="G282" s="5">
        <v>1729</v>
      </c>
      <c r="H282" s="5">
        <v>25</v>
      </c>
      <c r="I282" s="5">
        <v>1297</v>
      </c>
      <c r="J282" s="5">
        <v>1</v>
      </c>
      <c r="K282" s="2" t="s">
        <v>72</v>
      </c>
      <c r="L282" s="7" t="s">
        <v>64</v>
      </c>
      <c r="M282" s="4">
        <v>4.7</v>
      </c>
      <c r="N282" s="5">
        <v>81</v>
      </c>
      <c r="O282" s="3">
        <v>45799</v>
      </c>
      <c r="P282" s="7" t="s">
        <v>2392</v>
      </c>
      <c r="Q282" s="7" t="s">
        <v>29</v>
      </c>
      <c r="R282" s="7" t="s">
        <v>30</v>
      </c>
      <c r="S282" s="7" t="s">
        <v>31</v>
      </c>
      <c r="T282" s="7"/>
      <c r="U282" s="11">
        <f t="shared" si="16"/>
        <v>1729</v>
      </c>
      <c r="V282" s="11">
        <f t="shared" si="17"/>
        <v>1297</v>
      </c>
      <c r="W282" s="11">
        <f t="shared" si="18"/>
        <v>432</v>
      </c>
      <c r="X282" t="str">
        <f t="shared" si="19"/>
        <v>Cancelled</v>
      </c>
    </row>
    <row r="283" spans="1:24" ht="12.5" x14ac:dyDescent="0.25">
      <c r="A283" s="2" t="s">
        <v>1150</v>
      </c>
      <c r="B283" s="2" t="s">
        <v>1151</v>
      </c>
      <c r="C283" s="2" t="s">
        <v>1152</v>
      </c>
      <c r="D283" s="7" t="s">
        <v>1153</v>
      </c>
      <c r="E283" s="7" t="s">
        <v>48</v>
      </c>
      <c r="F283" s="7" t="s">
        <v>25</v>
      </c>
      <c r="G283" s="5">
        <v>2112</v>
      </c>
      <c r="H283" s="5">
        <v>40</v>
      </c>
      <c r="I283" s="5">
        <v>1268</v>
      </c>
      <c r="J283" s="5">
        <v>2</v>
      </c>
      <c r="K283" s="2" t="s">
        <v>261</v>
      </c>
      <c r="L283" s="7" t="s">
        <v>27</v>
      </c>
      <c r="M283" s="4">
        <v>4.4000000000000004</v>
      </c>
      <c r="N283" s="5">
        <v>90</v>
      </c>
      <c r="O283" s="3">
        <v>45816</v>
      </c>
      <c r="P283" s="7" t="s">
        <v>2390</v>
      </c>
      <c r="Q283" s="7" t="s">
        <v>65</v>
      </c>
      <c r="R283" s="7" t="s">
        <v>149</v>
      </c>
      <c r="S283" s="7" t="s">
        <v>150</v>
      </c>
      <c r="T283" s="7"/>
      <c r="U283" s="11">
        <f t="shared" si="16"/>
        <v>4224</v>
      </c>
      <c r="V283" s="11">
        <f t="shared" si="17"/>
        <v>2536</v>
      </c>
      <c r="W283" s="11">
        <f t="shared" si="18"/>
        <v>1688</v>
      </c>
      <c r="X283" t="str">
        <f t="shared" si="19"/>
        <v>Completed</v>
      </c>
    </row>
    <row r="284" spans="1:24" ht="12.5" x14ac:dyDescent="0.25">
      <c r="A284" s="2" t="s">
        <v>1154</v>
      </c>
      <c r="B284" s="2" t="s">
        <v>258</v>
      </c>
      <c r="C284" s="2" t="s">
        <v>1155</v>
      </c>
      <c r="D284" s="7" t="s">
        <v>1156</v>
      </c>
      <c r="E284" s="7" t="s">
        <v>122</v>
      </c>
      <c r="F284" s="7" t="s">
        <v>123</v>
      </c>
      <c r="G284" s="5">
        <v>4285</v>
      </c>
      <c r="H284" s="5">
        <v>30</v>
      </c>
      <c r="I284" s="5">
        <v>3000</v>
      </c>
      <c r="J284" s="5">
        <v>1</v>
      </c>
      <c r="K284" s="2" t="s">
        <v>56</v>
      </c>
      <c r="L284" s="7" t="s">
        <v>64</v>
      </c>
      <c r="M284" s="4">
        <v>4.3</v>
      </c>
      <c r="N284" s="5">
        <v>239</v>
      </c>
      <c r="O284" s="3">
        <v>45802</v>
      </c>
      <c r="P284" s="7" t="s">
        <v>2390</v>
      </c>
      <c r="Q284" s="7" t="s">
        <v>78</v>
      </c>
      <c r="R284" s="7" t="s">
        <v>104</v>
      </c>
      <c r="S284" s="7" t="s">
        <v>105</v>
      </c>
      <c r="T284" s="7"/>
      <c r="U284" s="11">
        <f t="shared" si="16"/>
        <v>4285</v>
      </c>
      <c r="V284" s="11">
        <f t="shared" si="17"/>
        <v>3000</v>
      </c>
      <c r="W284" s="11">
        <f t="shared" si="18"/>
        <v>1285</v>
      </c>
      <c r="X284" t="str">
        <f t="shared" si="19"/>
        <v>Completed</v>
      </c>
    </row>
    <row r="285" spans="1:24" ht="12.5" x14ac:dyDescent="0.25">
      <c r="A285" s="2" t="s">
        <v>1157</v>
      </c>
      <c r="B285" s="2" t="s">
        <v>1046</v>
      </c>
      <c r="C285" s="2" t="s">
        <v>1158</v>
      </c>
      <c r="D285" s="7" t="s">
        <v>1159</v>
      </c>
      <c r="E285" s="7" t="s">
        <v>37</v>
      </c>
      <c r="F285" s="7" t="s">
        <v>38</v>
      </c>
      <c r="G285" s="5">
        <v>3332</v>
      </c>
      <c r="H285" s="5">
        <v>20</v>
      </c>
      <c r="I285" s="5">
        <v>2666</v>
      </c>
      <c r="J285" s="5">
        <v>3</v>
      </c>
      <c r="K285" s="2" t="s">
        <v>56</v>
      </c>
      <c r="L285" s="7" t="s">
        <v>73</v>
      </c>
      <c r="M285" s="4">
        <v>4.5999999999999996</v>
      </c>
      <c r="N285" s="5">
        <v>139</v>
      </c>
      <c r="O285" s="3">
        <v>45773</v>
      </c>
      <c r="P285" s="7" t="s">
        <v>2390</v>
      </c>
      <c r="Q285" s="7" t="s">
        <v>29</v>
      </c>
      <c r="R285" s="7" t="s">
        <v>30</v>
      </c>
      <c r="S285" s="7" t="s">
        <v>31</v>
      </c>
      <c r="T285" s="7"/>
      <c r="U285" s="11">
        <f t="shared" si="16"/>
        <v>9996</v>
      </c>
      <c r="V285" s="11">
        <f t="shared" si="17"/>
        <v>7998</v>
      </c>
      <c r="W285" s="11">
        <f t="shared" si="18"/>
        <v>1998</v>
      </c>
      <c r="X285" t="str">
        <f t="shared" si="19"/>
        <v>Completed</v>
      </c>
    </row>
    <row r="286" spans="1:24" ht="12.5" x14ac:dyDescent="0.25">
      <c r="A286" s="2" t="s">
        <v>1160</v>
      </c>
      <c r="B286" s="2" t="s">
        <v>1161</v>
      </c>
      <c r="C286" s="2" t="s">
        <v>1162</v>
      </c>
      <c r="D286" s="7" t="s">
        <v>1163</v>
      </c>
      <c r="E286" s="7" t="s">
        <v>247</v>
      </c>
      <c r="F286" s="7" t="s">
        <v>248</v>
      </c>
      <c r="G286" s="5">
        <v>3213</v>
      </c>
      <c r="H286" s="5">
        <v>10</v>
      </c>
      <c r="I286" s="5">
        <v>2892</v>
      </c>
      <c r="J286" s="5">
        <v>1</v>
      </c>
      <c r="K286" s="2" t="s">
        <v>261</v>
      </c>
      <c r="L286" s="7" t="s">
        <v>103</v>
      </c>
      <c r="M286" s="4">
        <v>4</v>
      </c>
      <c r="N286" s="5">
        <v>239</v>
      </c>
      <c r="O286" s="3">
        <v>45779</v>
      </c>
      <c r="P286" s="7" t="s">
        <v>2392</v>
      </c>
      <c r="Q286" s="7" t="s">
        <v>65</v>
      </c>
      <c r="R286" s="7" t="s">
        <v>58</v>
      </c>
      <c r="S286" s="7" t="s">
        <v>59</v>
      </c>
      <c r="T286" s="7"/>
      <c r="U286" s="11">
        <f t="shared" si="16"/>
        <v>3213</v>
      </c>
      <c r="V286" s="11">
        <f t="shared" si="17"/>
        <v>2892</v>
      </c>
      <c r="W286" s="11">
        <f t="shared" si="18"/>
        <v>321</v>
      </c>
      <c r="X286" t="str">
        <f t="shared" si="19"/>
        <v>Cancelled</v>
      </c>
    </row>
    <row r="287" spans="1:24" ht="12.5" x14ac:dyDescent="0.25">
      <c r="A287" s="2" t="s">
        <v>1164</v>
      </c>
      <c r="B287" s="2" t="s">
        <v>1165</v>
      </c>
      <c r="C287" s="2" t="s">
        <v>1166</v>
      </c>
      <c r="D287" s="7" t="s">
        <v>1167</v>
      </c>
      <c r="E287" s="7" t="s">
        <v>132</v>
      </c>
      <c r="F287" s="7" t="s">
        <v>38</v>
      </c>
      <c r="G287" s="5">
        <v>3859</v>
      </c>
      <c r="H287" s="5">
        <v>30</v>
      </c>
      <c r="I287" s="5">
        <v>2702</v>
      </c>
      <c r="J287" s="5">
        <v>1</v>
      </c>
      <c r="K287" s="2" t="s">
        <v>32</v>
      </c>
      <c r="L287" s="7" t="s">
        <v>27</v>
      </c>
      <c r="M287" s="4">
        <v>3.6</v>
      </c>
      <c r="N287" s="5">
        <v>59</v>
      </c>
      <c r="O287" s="3">
        <v>45858</v>
      </c>
      <c r="P287" s="7" t="s">
        <v>2390</v>
      </c>
      <c r="Q287" s="7" t="s">
        <v>65</v>
      </c>
      <c r="R287" s="7" t="s">
        <v>104</v>
      </c>
      <c r="S287" s="7" t="s">
        <v>105</v>
      </c>
      <c r="T287" s="7"/>
      <c r="U287" s="11">
        <f t="shared" si="16"/>
        <v>3859</v>
      </c>
      <c r="V287" s="11">
        <f t="shared" si="17"/>
        <v>2702</v>
      </c>
      <c r="W287" s="11">
        <f t="shared" si="18"/>
        <v>1157</v>
      </c>
      <c r="X287" t="str">
        <f t="shared" si="19"/>
        <v>Completed</v>
      </c>
    </row>
    <row r="288" spans="1:24" ht="12.5" x14ac:dyDescent="0.25">
      <c r="A288" s="2" t="s">
        <v>1168</v>
      </c>
      <c r="B288" s="2" t="s">
        <v>1169</v>
      </c>
      <c r="C288" s="2" t="s">
        <v>264</v>
      </c>
      <c r="D288" s="7" t="s">
        <v>1170</v>
      </c>
      <c r="E288" s="7" t="s">
        <v>208</v>
      </c>
      <c r="F288" s="7" t="s">
        <v>117</v>
      </c>
      <c r="G288" s="5">
        <v>1845</v>
      </c>
      <c r="H288" s="5">
        <v>10</v>
      </c>
      <c r="I288" s="5">
        <v>1661</v>
      </c>
      <c r="J288" s="5">
        <v>1</v>
      </c>
      <c r="K288" s="2">
        <v>40</v>
      </c>
      <c r="L288" s="7" t="s">
        <v>88</v>
      </c>
      <c r="M288" s="4">
        <v>3.5</v>
      </c>
      <c r="N288" s="5">
        <v>32</v>
      </c>
      <c r="O288" s="3">
        <v>45790</v>
      </c>
      <c r="P288" s="7" t="s">
        <v>2392</v>
      </c>
      <c r="Q288" s="7" t="s">
        <v>29</v>
      </c>
      <c r="R288" s="7" t="s">
        <v>66</v>
      </c>
      <c r="S288" s="7" t="s">
        <v>67</v>
      </c>
      <c r="T288" s="7"/>
      <c r="U288" s="11">
        <f t="shared" si="16"/>
        <v>1845</v>
      </c>
      <c r="V288" s="11">
        <f t="shared" si="17"/>
        <v>1661</v>
      </c>
      <c r="W288" s="11">
        <f t="shared" si="18"/>
        <v>184</v>
      </c>
      <c r="X288" t="str">
        <f t="shared" si="19"/>
        <v>Cancelled</v>
      </c>
    </row>
    <row r="289" spans="1:24" ht="12.5" x14ac:dyDescent="0.25">
      <c r="A289" s="2" t="s">
        <v>1171</v>
      </c>
      <c r="B289" s="2" t="s">
        <v>1062</v>
      </c>
      <c r="C289" s="2" t="s">
        <v>1172</v>
      </c>
      <c r="D289" s="7" t="s">
        <v>1173</v>
      </c>
      <c r="E289" s="7" t="s">
        <v>208</v>
      </c>
      <c r="F289" s="7" t="s">
        <v>117</v>
      </c>
      <c r="G289" s="5">
        <v>2740</v>
      </c>
      <c r="H289" s="5">
        <v>40</v>
      </c>
      <c r="I289" s="5">
        <v>1644</v>
      </c>
      <c r="J289" s="5">
        <v>1</v>
      </c>
      <c r="K289" s="2" t="s">
        <v>226</v>
      </c>
      <c r="L289" s="7" t="s">
        <v>103</v>
      </c>
      <c r="M289" s="4">
        <v>3.5</v>
      </c>
      <c r="N289" s="5">
        <v>185</v>
      </c>
      <c r="O289" s="3">
        <v>45813</v>
      </c>
      <c r="P289" s="7" t="s">
        <v>2391</v>
      </c>
      <c r="Q289" s="7" t="s">
        <v>78</v>
      </c>
      <c r="R289" s="7" t="s">
        <v>30</v>
      </c>
      <c r="S289" s="7" t="s">
        <v>31</v>
      </c>
      <c r="T289" s="7" t="s">
        <v>50</v>
      </c>
      <c r="U289" s="11">
        <f t="shared" si="16"/>
        <v>2740</v>
      </c>
      <c r="V289" s="11">
        <f t="shared" si="17"/>
        <v>1644</v>
      </c>
      <c r="W289" s="11">
        <f t="shared" si="18"/>
        <v>1096</v>
      </c>
      <c r="X289" t="str">
        <f t="shared" si="19"/>
        <v>Returned</v>
      </c>
    </row>
    <row r="290" spans="1:24" ht="12.5" x14ac:dyDescent="0.25">
      <c r="A290" s="2" t="s">
        <v>1174</v>
      </c>
      <c r="B290" s="2" t="s">
        <v>1175</v>
      </c>
      <c r="C290" s="2" t="s">
        <v>1176</v>
      </c>
      <c r="D290" s="7" t="s">
        <v>1177</v>
      </c>
      <c r="E290" s="7" t="s">
        <v>132</v>
      </c>
      <c r="F290" s="7" t="s">
        <v>38</v>
      </c>
      <c r="G290" s="5">
        <v>4098</v>
      </c>
      <c r="H290" s="5">
        <v>30</v>
      </c>
      <c r="I290" s="5">
        <v>2869</v>
      </c>
      <c r="J290" s="5">
        <v>3</v>
      </c>
      <c r="K290" s="2" t="s">
        <v>26</v>
      </c>
      <c r="L290" s="7" t="s">
        <v>64</v>
      </c>
      <c r="M290" s="4">
        <v>4.2</v>
      </c>
      <c r="N290" s="5">
        <v>227</v>
      </c>
      <c r="O290" s="3">
        <v>45801</v>
      </c>
      <c r="P290" s="7" t="s">
        <v>2391</v>
      </c>
      <c r="Q290" s="7" t="s">
        <v>65</v>
      </c>
      <c r="R290" s="7" t="s">
        <v>66</v>
      </c>
      <c r="S290" s="7" t="s">
        <v>67</v>
      </c>
      <c r="T290" s="7" t="s">
        <v>50</v>
      </c>
      <c r="U290" s="11">
        <f t="shared" si="16"/>
        <v>12294</v>
      </c>
      <c r="V290" s="11">
        <f t="shared" si="17"/>
        <v>8607</v>
      </c>
      <c r="W290" s="11">
        <f t="shared" si="18"/>
        <v>3687</v>
      </c>
      <c r="X290" t="str">
        <f t="shared" si="19"/>
        <v>Returned</v>
      </c>
    </row>
    <row r="291" spans="1:24" ht="12.5" x14ac:dyDescent="0.25">
      <c r="A291" s="2" t="s">
        <v>1178</v>
      </c>
      <c r="B291" s="2" t="s">
        <v>333</v>
      </c>
      <c r="C291" s="2" t="s">
        <v>1179</v>
      </c>
      <c r="D291" s="7" t="s">
        <v>1180</v>
      </c>
      <c r="E291" s="7" t="s">
        <v>116</v>
      </c>
      <c r="F291" s="7" t="s">
        <v>117</v>
      </c>
      <c r="G291" s="5">
        <v>957</v>
      </c>
      <c r="H291" s="5">
        <v>20</v>
      </c>
      <c r="I291" s="5">
        <v>766</v>
      </c>
      <c r="J291" s="5">
        <v>1</v>
      </c>
      <c r="K291" s="2">
        <v>44</v>
      </c>
      <c r="L291" s="7" t="s">
        <v>209</v>
      </c>
      <c r="M291" s="4">
        <v>3.6</v>
      </c>
      <c r="N291" s="5">
        <v>35</v>
      </c>
      <c r="O291" s="3">
        <v>45780</v>
      </c>
      <c r="P291" s="7" t="s">
        <v>2391</v>
      </c>
      <c r="Q291" s="7" t="s">
        <v>65</v>
      </c>
      <c r="R291" s="7" t="s">
        <v>58</v>
      </c>
      <c r="S291" s="7" t="s">
        <v>59</v>
      </c>
      <c r="T291" s="7"/>
      <c r="U291" s="11">
        <f t="shared" si="16"/>
        <v>957</v>
      </c>
      <c r="V291" s="11">
        <f t="shared" si="17"/>
        <v>766</v>
      </c>
      <c r="W291" s="11">
        <f t="shared" si="18"/>
        <v>191</v>
      </c>
      <c r="X291" t="str">
        <f t="shared" si="19"/>
        <v>Returned</v>
      </c>
    </row>
    <row r="292" spans="1:24" ht="12.5" x14ac:dyDescent="0.25">
      <c r="A292" s="2" t="s">
        <v>1181</v>
      </c>
      <c r="B292" s="2" t="s">
        <v>1182</v>
      </c>
      <c r="C292" s="2" t="s">
        <v>1183</v>
      </c>
      <c r="D292" s="7" t="s">
        <v>1184</v>
      </c>
      <c r="E292" s="7" t="s">
        <v>116</v>
      </c>
      <c r="F292" s="7" t="s">
        <v>117</v>
      </c>
      <c r="G292" s="5">
        <v>2519</v>
      </c>
      <c r="H292" s="5">
        <v>25</v>
      </c>
      <c r="I292" s="5">
        <v>1890</v>
      </c>
      <c r="J292" s="5">
        <v>2</v>
      </c>
      <c r="K292" s="2" t="s">
        <v>163</v>
      </c>
      <c r="L292" s="7" t="s">
        <v>88</v>
      </c>
      <c r="M292" s="4">
        <v>3.8</v>
      </c>
      <c r="N292" s="5">
        <v>49</v>
      </c>
      <c r="O292" s="3">
        <v>45825</v>
      </c>
      <c r="P292" s="7" t="s">
        <v>2392</v>
      </c>
      <c r="Q292" s="7" t="s">
        <v>29</v>
      </c>
      <c r="R292" s="7" t="s">
        <v>149</v>
      </c>
      <c r="S292" s="7" t="s">
        <v>150</v>
      </c>
      <c r="T292" s="7"/>
      <c r="U292" s="11">
        <f t="shared" si="16"/>
        <v>5038</v>
      </c>
      <c r="V292" s="11">
        <f t="shared" si="17"/>
        <v>3780</v>
      </c>
      <c r="W292" s="11">
        <f t="shared" si="18"/>
        <v>1258</v>
      </c>
      <c r="X292" t="str">
        <f t="shared" si="19"/>
        <v>Cancelled</v>
      </c>
    </row>
    <row r="293" spans="1:24" ht="12.5" x14ac:dyDescent="0.25">
      <c r="A293" s="2" t="s">
        <v>1185</v>
      </c>
      <c r="B293" s="2" t="s">
        <v>160</v>
      </c>
      <c r="C293" s="2" t="s">
        <v>1186</v>
      </c>
      <c r="D293" s="7" t="s">
        <v>1187</v>
      </c>
      <c r="E293" s="7" t="s">
        <v>147</v>
      </c>
      <c r="F293" s="7" t="s">
        <v>148</v>
      </c>
      <c r="G293" s="5">
        <v>3484</v>
      </c>
      <c r="H293" s="5">
        <v>30</v>
      </c>
      <c r="I293" s="5">
        <v>2439</v>
      </c>
      <c r="J293" s="5">
        <v>3</v>
      </c>
      <c r="K293" s="2" t="s">
        <v>261</v>
      </c>
      <c r="L293" s="7" t="s">
        <v>88</v>
      </c>
      <c r="M293" s="4">
        <v>4</v>
      </c>
      <c r="N293" s="5">
        <v>200</v>
      </c>
      <c r="O293" s="3">
        <v>45790</v>
      </c>
      <c r="P293" s="7" t="s">
        <v>2390</v>
      </c>
      <c r="Q293" s="7" t="s">
        <v>78</v>
      </c>
      <c r="R293" s="7" t="s">
        <v>66</v>
      </c>
      <c r="S293" s="7" t="s">
        <v>67</v>
      </c>
      <c r="T293" s="7"/>
      <c r="U293" s="11">
        <f t="shared" si="16"/>
        <v>10452</v>
      </c>
      <c r="V293" s="11">
        <f t="shared" si="17"/>
        <v>7317</v>
      </c>
      <c r="W293" s="11">
        <f t="shared" si="18"/>
        <v>3135</v>
      </c>
      <c r="X293" t="str">
        <f t="shared" si="19"/>
        <v>Completed</v>
      </c>
    </row>
    <row r="294" spans="1:24" ht="12.5" x14ac:dyDescent="0.25">
      <c r="A294" s="2" t="s">
        <v>1188</v>
      </c>
      <c r="B294" s="2" t="s">
        <v>1026</v>
      </c>
      <c r="C294" s="2" t="s">
        <v>1189</v>
      </c>
      <c r="D294" s="7" t="s">
        <v>1190</v>
      </c>
      <c r="E294" s="7" t="s">
        <v>24</v>
      </c>
      <c r="F294" s="7" t="s">
        <v>25</v>
      </c>
      <c r="G294" s="5">
        <v>1928</v>
      </c>
      <c r="H294" s="5">
        <v>15</v>
      </c>
      <c r="I294" s="5">
        <v>1639</v>
      </c>
      <c r="J294" s="5">
        <v>1</v>
      </c>
      <c r="K294" s="2">
        <v>44</v>
      </c>
      <c r="L294" s="7" t="s">
        <v>73</v>
      </c>
      <c r="M294" s="4">
        <v>4.4000000000000004</v>
      </c>
      <c r="N294" s="5">
        <v>39</v>
      </c>
      <c r="O294" s="3">
        <v>45791</v>
      </c>
      <c r="P294" s="7" t="s">
        <v>2391</v>
      </c>
      <c r="Q294" s="7" t="s">
        <v>29</v>
      </c>
      <c r="R294" s="7" t="s">
        <v>185</v>
      </c>
      <c r="S294" s="7" t="s">
        <v>186</v>
      </c>
      <c r="T294" s="7" t="s">
        <v>203</v>
      </c>
      <c r="U294" s="11">
        <f t="shared" si="16"/>
        <v>1928</v>
      </c>
      <c r="V294" s="11">
        <f t="shared" si="17"/>
        <v>1639</v>
      </c>
      <c r="W294" s="11">
        <f t="shared" si="18"/>
        <v>289</v>
      </c>
      <c r="X294" t="str">
        <f t="shared" si="19"/>
        <v>Returned</v>
      </c>
    </row>
    <row r="295" spans="1:24" ht="12.5" x14ac:dyDescent="0.25">
      <c r="A295" s="2" t="s">
        <v>1191</v>
      </c>
      <c r="B295" s="2" t="s">
        <v>1192</v>
      </c>
      <c r="C295" s="2" t="s">
        <v>1193</v>
      </c>
      <c r="D295" s="7" t="s">
        <v>1194</v>
      </c>
      <c r="E295" s="7" t="s">
        <v>147</v>
      </c>
      <c r="F295" s="7" t="s">
        <v>148</v>
      </c>
      <c r="G295" s="5">
        <v>1751</v>
      </c>
      <c r="H295" s="5">
        <v>25</v>
      </c>
      <c r="I295" s="5">
        <v>1314</v>
      </c>
      <c r="J295" s="5">
        <v>1</v>
      </c>
      <c r="K295" s="2" t="s">
        <v>72</v>
      </c>
      <c r="L295" s="7" t="s">
        <v>209</v>
      </c>
      <c r="M295" s="4">
        <v>3.5</v>
      </c>
      <c r="N295" s="5">
        <v>136</v>
      </c>
      <c r="O295" s="3">
        <v>45846</v>
      </c>
      <c r="P295" s="7" t="s">
        <v>2391</v>
      </c>
      <c r="Q295" s="7" t="s">
        <v>29</v>
      </c>
      <c r="R295" s="7" t="s">
        <v>66</v>
      </c>
      <c r="S295" s="7" t="s">
        <v>67</v>
      </c>
      <c r="T295" s="7" t="s">
        <v>134</v>
      </c>
      <c r="U295" s="11">
        <f t="shared" si="16"/>
        <v>1751</v>
      </c>
      <c r="V295" s="11">
        <f t="shared" si="17"/>
        <v>1314</v>
      </c>
      <c r="W295" s="11">
        <f t="shared" si="18"/>
        <v>437</v>
      </c>
      <c r="X295" t="str">
        <f t="shared" si="19"/>
        <v>Returned</v>
      </c>
    </row>
    <row r="296" spans="1:24" ht="12.5" x14ac:dyDescent="0.25">
      <c r="A296" s="2" t="s">
        <v>1195</v>
      </c>
      <c r="B296" s="2" t="s">
        <v>880</v>
      </c>
      <c r="C296" s="2" t="s">
        <v>1196</v>
      </c>
      <c r="D296" s="7" t="s">
        <v>1197</v>
      </c>
      <c r="E296" s="7" t="s">
        <v>24</v>
      </c>
      <c r="F296" s="7" t="s">
        <v>25</v>
      </c>
      <c r="G296" s="5">
        <v>1616</v>
      </c>
      <c r="H296" s="5">
        <v>35</v>
      </c>
      <c r="I296" s="5">
        <v>1051</v>
      </c>
      <c r="J296" s="5">
        <v>2</v>
      </c>
      <c r="K296" s="2">
        <v>40</v>
      </c>
      <c r="L296" s="7" t="s">
        <v>209</v>
      </c>
      <c r="M296" s="4">
        <v>3.7</v>
      </c>
      <c r="N296" s="5">
        <v>141</v>
      </c>
      <c r="O296" s="3">
        <v>45785</v>
      </c>
      <c r="P296" s="7" t="s">
        <v>2392</v>
      </c>
      <c r="Q296" s="7" t="s">
        <v>78</v>
      </c>
      <c r="R296" s="7" t="s">
        <v>185</v>
      </c>
      <c r="S296" s="7" t="s">
        <v>186</v>
      </c>
      <c r="T296" s="7"/>
      <c r="U296" s="11">
        <f t="shared" si="16"/>
        <v>3232</v>
      </c>
      <c r="V296" s="11">
        <f t="shared" si="17"/>
        <v>2102</v>
      </c>
      <c r="W296" s="11">
        <f t="shared" si="18"/>
        <v>1130</v>
      </c>
      <c r="X296" t="str">
        <f t="shared" si="19"/>
        <v>Cancelled</v>
      </c>
    </row>
    <row r="297" spans="1:24" ht="12.5" x14ac:dyDescent="0.25">
      <c r="A297" s="2" t="s">
        <v>1198</v>
      </c>
      <c r="B297" s="2" t="s">
        <v>1199</v>
      </c>
      <c r="C297" s="2" t="s">
        <v>1200</v>
      </c>
      <c r="D297" s="7" t="s">
        <v>1201</v>
      </c>
      <c r="E297" s="7" t="s">
        <v>24</v>
      </c>
      <c r="F297" s="7" t="s">
        <v>25</v>
      </c>
      <c r="G297" s="5">
        <v>2712</v>
      </c>
      <c r="H297" s="5">
        <v>25</v>
      </c>
      <c r="I297" s="5">
        <v>2034</v>
      </c>
      <c r="J297" s="5">
        <v>2</v>
      </c>
      <c r="K297" s="2">
        <v>40</v>
      </c>
      <c r="L297" s="7" t="s">
        <v>88</v>
      </c>
      <c r="M297" s="4">
        <v>4.2</v>
      </c>
      <c r="N297" s="5">
        <v>43</v>
      </c>
      <c r="O297" s="3">
        <v>45776</v>
      </c>
      <c r="P297" s="7" t="s">
        <v>2392</v>
      </c>
      <c r="Q297" s="7" t="s">
        <v>29</v>
      </c>
      <c r="R297" s="7" t="s">
        <v>30</v>
      </c>
      <c r="S297" s="7" t="s">
        <v>31</v>
      </c>
      <c r="T297" s="7"/>
      <c r="U297" s="11">
        <f t="shared" si="16"/>
        <v>5424</v>
      </c>
      <c r="V297" s="11">
        <f t="shared" si="17"/>
        <v>4068</v>
      </c>
      <c r="W297" s="11">
        <f t="shared" si="18"/>
        <v>1356</v>
      </c>
      <c r="X297" t="str">
        <f t="shared" si="19"/>
        <v>Cancelled</v>
      </c>
    </row>
    <row r="298" spans="1:24" ht="12.5" x14ac:dyDescent="0.25">
      <c r="A298" s="2" t="s">
        <v>1202</v>
      </c>
      <c r="B298" s="2" t="s">
        <v>518</v>
      </c>
      <c r="C298" s="2" t="s">
        <v>1203</v>
      </c>
      <c r="D298" s="7" t="s">
        <v>1204</v>
      </c>
      <c r="E298" s="7" t="s">
        <v>37</v>
      </c>
      <c r="F298" s="7" t="s">
        <v>38</v>
      </c>
      <c r="G298" s="5">
        <v>4042</v>
      </c>
      <c r="H298" s="5">
        <v>25</v>
      </c>
      <c r="I298" s="5">
        <v>3032</v>
      </c>
      <c r="J298" s="5">
        <v>1</v>
      </c>
      <c r="K298" s="2">
        <v>40</v>
      </c>
      <c r="L298" s="7" t="s">
        <v>103</v>
      </c>
      <c r="M298" s="4">
        <v>4.4000000000000004</v>
      </c>
      <c r="N298" s="5">
        <v>225</v>
      </c>
      <c r="O298" s="3">
        <v>45845</v>
      </c>
      <c r="P298" s="7" t="s">
        <v>2391</v>
      </c>
      <c r="Q298" s="7" t="s">
        <v>78</v>
      </c>
      <c r="R298" s="7" t="s">
        <v>185</v>
      </c>
      <c r="S298" s="7" t="s">
        <v>186</v>
      </c>
      <c r="T298" s="7" t="s">
        <v>50</v>
      </c>
      <c r="U298" s="11">
        <f t="shared" si="16"/>
        <v>4042</v>
      </c>
      <c r="V298" s="11">
        <f t="shared" si="17"/>
        <v>3032</v>
      </c>
      <c r="W298" s="11">
        <f t="shared" si="18"/>
        <v>1010</v>
      </c>
      <c r="X298" t="str">
        <f t="shared" si="19"/>
        <v>Returned</v>
      </c>
    </row>
    <row r="299" spans="1:24" ht="12.5" x14ac:dyDescent="0.25">
      <c r="A299" s="2" t="s">
        <v>1205</v>
      </c>
      <c r="B299" s="2" t="s">
        <v>1206</v>
      </c>
      <c r="C299" s="2" t="s">
        <v>1207</v>
      </c>
      <c r="D299" s="7" t="s">
        <v>1208</v>
      </c>
      <c r="E299" s="7" t="s">
        <v>122</v>
      </c>
      <c r="F299" s="7" t="s">
        <v>123</v>
      </c>
      <c r="G299" s="5">
        <v>4499</v>
      </c>
      <c r="H299" s="5">
        <v>20</v>
      </c>
      <c r="I299" s="5">
        <v>3600</v>
      </c>
      <c r="J299" s="5">
        <v>3</v>
      </c>
      <c r="K299" s="2" t="s">
        <v>72</v>
      </c>
      <c r="L299" s="7" t="s">
        <v>64</v>
      </c>
      <c r="M299" s="4">
        <v>3.6</v>
      </c>
      <c r="N299" s="5">
        <v>31</v>
      </c>
      <c r="O299" s="3">
        <v>45796</v>
      </c>
      <c r="P299" s="7" t="s">
        <v>2392</v>
      </c>
      <c r="Q299" s="7" t="s">
        <v>65</v>
      </c>
      <c r="R299" s="7" t="s">
        <v>110</v>
      </c>
      <c r="S299" s="7" t="s">
        <v>111</v>
      </c>
      <c r="T299" s="7"/>
      <c r="U299" s="11">
        <f t="shared" si="16"/>
        <v>13497</v>
      </c>
      <c r="V299" s="11">
        <f t="shared" si="17"/>
        <v>10800</v>
      </c>
      <c r="W299" s="11">
        <f t="shared" si="18"/>
        <v>2697</v>
      </c>
      <c r="X299" t="str">
        <f t="shared" si="19"/>
        <v>Cancelled</v>
      </c>
    </row>
    <row r="300" spans="1:24" ht="12.5" x14ac:dyDescent="0.25">
      <c r="A300" s="2" t="s">
        <v>1209</v>
      </c>
      <c r="B300" s="2" t="s">
        <v>901</v>
      </c>
      <c r="C300" s="2" t="s">
        <v>1210</v>
      </c>
      <c r="D300" s="7" t="s">
        <v>1211</v>
      </c>
      <c r="E300" s="7" t="s">
        <v>122</v>
      </c>
      <c r="F300" s="7" t="s">
        <v>123</v>
      </c>
      <c r="G300" s="5">
        <v>1869</v>
      </c>
      <c r="H300" s="5">
        <v>20</v>
      </c>
      <c r="I300" s="5">
        <v>1496</v>
      </c>
      <c r="J300" s="5">
        <v>3</v>
      </c>
      <c r="K300" s="2" t="s">
        <v>26</v>
      </c>
      <c r="L300" s="7" t="s">
        <v>168</v>
      </c>
      <c r="M300" s="4">
        <v>4.2</v>
      </c>
      <c r="N300" s="5">
        <v>216</v>
      </c>
      <c r="O300" s="3">
        <v>45857</v>
      </c>
      <c r="P300" s="7" t="s">
        <v>2390</v>
      </c>
      <c r="Q300" s="7" t="s">
        <v>78</v>
      </c>
      <c r="R300" s="7" t="s">
        <v>66</v>
      </c>
      <c r="S300" s="7" t="s">
        <v>67</v>
      </c>
      <c r="T300" s="7"/>
      <c r="U300" s="11">
        <f t="shared" si="16"/>
        <v>5607</v>
      </c>
      <c r="V300" s="11">
        <f t="shared" si="17"/>
        <v>4488</v>
      </c>
      <c r="W300" s="11">
        <f t="shared" si="18"/>
        <v>1119</v>
      </c>
      <c r="X300" t="str">
        <f t="shared" si="19"/>
        <v>Completed</v>
      </c>
    </row>
    <row r="301" spans="1:24" ht="12.5" x14ac:dyDescent="0.25">
      <c r="A301" s="2" t="s">
        <v>1212</v>
      </c>
      <c r="B301" s="2" t="s">
        <v>876</v>
      </c>
      <c r="C301" s="2" t="s">
        <v>1213</v>
      </c>
      <c r="D301" s="7" t="s">
        <v>1214</v>
      </c>
      <c r="E301" s="7" t="s">
        <v>48</v>
      </c>
      <c r="F301" s="7" t="s">
        <v>25</v>
      </c>
      <c r="G301" s="5">
        <v>4461</v>
      </c>
      <c r="H301" s="5">
        <v>35</v>
      </c>
      <c r="I301" s="5">
        <v>2900</v>
      </c>
      <c r="J301" s="5">
        <v>1</v>
      </c>
      <c r="K301" s="2">
        <v>44</v>
      </c>
      <c r="L301" s="7" t="s">
        <v>49</v>
      </c>
      <c r="M301" s="4">
        <v>3.9</v>
      </c>
      <c r="N301" s="5">
        <v>72</v>
      </c>
      <c r="O301" s="3">
        <v>45838</v>
      </c>
      <c r="P301" s="7" t="s">
        <v>2390</v>
      </c>
      <c r="Q301" s="7" t="s">
        <v>78</v>
      </c>
      <c r="R301" s="7" t="s">
        <v>30</v>
      </c>
      <c r="S301" s="7" t="s">
        <v>31</v>
      </c>
      <c r="T301" s="7"/>
      <c r="U301" s="11">
        <f t="shared" si="16"/>
        <v>4461</v>
      </c>
      <c r="V301" s="11">
        <f t="shared" si="17"/>
        <v>2900</v>
      </c>
      <c r="W301" s="11">
        <f t="shared" si="18"/>
        <v>1561</v>
      </c>
      <c r="X301" t="str">
        <f t="shared" si="19"/>
        <v>Completed</v>
      </c>
    </row>
    <row r="302" spans="1:24" ht="12.5" x14ac:dyDescent="0.25">
      <c r="A302" s="2" t="s">
        <v>1215</v>
      </c>
      <c r="B302" s="2" t="s">
        <v>1216</v>
      </c>
      <c r="C302" s="2" t="s">
        <v>1217</v>
      </c>
      <c r="D302" s="7" t="s">
        <v>1218</v>
      </c>
      <c r="E302" s="7" t="s">
        <v>132</v>
      </c>
      <c r="F302" s="7" t="s">
        <v>38</v>
      </c>
      <c r="G302" s="5">
        <v>2820</v>
      </c>
      <c r="H302" s="5">
        <v>35</v>
      </c>
      <c r="I302" s="5">
        <v>1833</v>
      </c>
      <c r="J302" s="5">
        <v>2</v>
      </c>
      <c r="K302" s="2" t="s">
        <v>32</v>
      </c>
      <c r="L302" s="7" t="s">
        <v>39</v>
      </c>
      <c r="M302" s="4">
        <v>4.5</v>
      </c>
      <c r="N302" s="5">
        <v>103</v>
      </c>
      <c r="O302" s="3">
        <v>45825</v>
      </c>
      <c r="P302" s="7" t="s">
        <v>2390</v>
      </c>
      <c r="Q302" s="7" t="s">
        <v>29</v>
      </c>
      <c r="R302" s="7" t="s">
        <v>110</v>
      </c>
      <c r="S302" s="7" t="s">
        <v>111</v>
      </c>
      <c r="T302" s="7"/>
      <c r="U302" s="11">
        <f t="shared" si="16"/>
        <v>5640</v>
      </c>
      <c r="V302" s="11">
        <f t="shared" si="17"/>
        <v>3666</v>
      </c>
      <c r="W302" s="11">
        <f t="shared" si="18"/>
        <v>1974</v>
      </c>
      <c r="X302" t="str">
        <f t="shared" si="19"/>
        <v>Completed</v>
      </c>
    </row>
    <row r="303" spans="1:24" ht="12.5" x14ac:dyDescent="0.25">
      <c r="A303" s="2" t="s">
        <v>1219</v>
      </c>
      <c r="B303" s="2" t="s">
        <v>287</v>
      </c>
      <c r="C303" s="2" t="s">
        <v>1220</v>
      </c>
      <c r="D303" s="7" t="s">
        <v>1221</v>
      </c>
      <c r="E303" s="7" t="s">
        <v>208</v>
      </c>
      <c r="F303" s="7" t="s">
        <v>117</v>
      </c>
      <c r="G303" s="5">
        <v>2080</v>
      </c>
      <c r="H303" s="5">
        <v>25</v>
      </c>
      <c r="I303" s="5">
        <v>1560</v>
      </c>
      <c r="J303" s="5">
        <v>1</v>
      </c>
      <c r="K303" s="2" t="s">
        <v>72</v>
      </c>
      <c r="L303" s="7" t="s">
        <v>133</v>
      </c>
      <c r="M303" s="4">
        <v>4</v>
      </c>
      <c r="N303" s="5">
        <v>181</v>
      </c>
      <c r="O303" s="3">
        <v>45837</v>
      </c>
      <c r="P303" s="7" t="s">
        <v>2390</v>
      </c>
      <c r="Q303" s="7" t="s">
        <v>65</v>
      </c>
      <c r="R303" s="7" t="s">
        <v>89</v>
      </c>
      <c r="S303" s="7" t="s">
        <v>90</v>
      </c>
      <c r="T303" s="7"/>
      <c r="U303" s="11">
        <f t="shared" si="16"/>
        <v>2080</v>
      </c>
      <c r="V303" s="11">
        <f t="shared" si="17"/>
        <v>1560</v>
      </c>
      <c r="W303" s="11">
        <f t="shared" si="18"/>
        <v>520</v>
      </c>
      <c r="X303" t="str">
        <f t="shared" si="19"/>
        <v>Completed</v>
      </c>
    </row>
    <row r="304" spans="1:24" ht="12.5" x14ac:dyDescent="0.25">
      <c r="A304" s="2" t="s">
        <v>1222</v>
      </c>
      <c r="B304" s="2" t="s">
        <v>1223</v>
      </c>
      <c r="C304" s="2" t="s">
        <v>1224</v>
      </c>
      <c r="D304" s="7" t="s">
        <v>1225</v>
      </c>
      <c r="E304" s="7" t="s">
        <v>24</v>
      </c>
      <c r="F304" s="7" t="s">
        <v>25</v>
      </c>
      <c r="G304" s="5">
        <v>2905</v>
      </c>
      <c r="H304" s="5">
        <v>35</v>
      </c>
      <c r="I304" s="5">
        <v>1889</v>
      </c>
      <c r="J304" s="5">
        <v>1</v>
      </c>
      <c r="K304" s="2" t="s">
        <v>32</v>
      </c>
      <c r="L304" s="7" t="s">
        <v>209</v>
      </c>
      <c r="M304" s="4">
        <v>4.3</v>
      </c>
      <c r="N304" s="5">
        <v>172</v>
      </c>
      <c r="O304" s="3">
        <v>45852</v>
      </c>
      <c r="P304" s="7" t="s">
        <v>2391</v>
      </c>
      <c r="Q304" s="7" t="s">
        <v>78</v>
      </c>
      <c r="R304" s="7" t="s">
        <v>66</v>
      </c>
      <c r="S304" s="7" t="s">
        <v>67</v>
      </c>
      <c r="T304" s="7" t="s">
        <v>43</v>
      </c>
      <c r="U304" s="11">
        <f t="shared" si="16"/>
        <v>2905</v>
      </c>
      <c r="V304" s="11">
        <f t="shared" si="17"/>
        <v>1889</v>
      </c>
      <c r="W304" s="11">
        <f t="shared" si="18"/>
        <v>1016</v>
      </c>
      <c r="X304" t="str">
        <f t="shared" si="19"/>
        <v>Returned</v>
      </c>
    </row>
    <row r="305" spans="1:24" ht="12.5" x14ac:dyDescent="0.25">
      <c r="A305" s="2" t="s">
        <v>1226</v>
      </c>
      <c r="B305" s="2" t="s">
        <v>1227</v>
      </c>
      <c r="C305" s="2" t="s">
        <v>1228</v>
      </c>
      <c r="D305" s="7" t="s">
        <v>1229</v>
      </c>
      <c r="E305" s="7" t="s">
        <v>208</v>
      </c>
      <c r="F305" s="7" t="s">
        <v>117</v>
      </c>
      <c r="G305" s="5">
        <v>3008</v>
      </c>
      <c r="H305" s="5">
        <v>15</v>
      </c>
      <c r="I305" s="5">
        <v>2557</v>
      </c>
      <c r="J305" s="5">
        <v>3</v>
      </c>
      <c r="K305" s="2" t="s">
        <v>261</v>
      </c>
      <c r="L305" s="7" t="s">
        <v>73</v>
      </c>
      <c r="M305" s="4">
        <v>4.9000000000000004</v>
      </c>
      <c r="N305" s="5">
        <v>177</v>
      </c>
      <c r="O305" s="3">
        <v>45771</v>
      </c>
      <c r="P305" s="7" t="s">
        <v>2390</v>
      </c>
      <c r="Q305" s="7" t="s">
        <v>29</v>
      </c>
      <c r="R305" s="7" t="s">
        <v>149</v>
      </c>
      <c r="S305" s="7" t="s">
        <v>150</v>
      </c>
      <c r="T305" s="7"/>
      <c r="U305" s="11">
        <f t="shared" si="16"/>
        <v>9024</v>
      </c>
      <c r="V305" s="11">
        <f t="shared" si="17"/>
        <v>7671</v>
      </c>
      <c r="W305" s="11">
        <f t="shared" si="18"/>
        <v>1353</v>
      </c>
      <c r="X305" t="str">
        <f t="shared" si="19"/>
        <v>Completed</v>
      </c>
    </row>
    <row r="306" spans="1:24" ht="12.5" x14ac:dyDescent="0.25">
      <c r="A306" s="2" t="s">
        <v>1230</v>
      </c>
      <c r="B306" s="2" t="s">
        <v>460</v>
      </c>
      <c r="C306" s="2" t="s">
        <v>1231</v>
      </c>
      <c r="D306" s="7" t="s">
        <v>1232</v>
      </c>
      <c r="E306" s="7" t="s">
        <v>147</v>
      </c>
      <c r="F306" s="7" t="s">
        <v>148</v>
      </c>
      <c r="G306" s="5">
        <v>3869</v>
      </c>
      <c r="H306" s="5">
        <v>35</v>
      </c>
      <c r="I306" s="5">
        <v>2515</v>
      </c>
      <c r="J306" s="5">
        <v>2</v>
      </c>
      <c r="K306" s="2">
        <v>44</v>
      </c>
      <c r="L306" s="7" t="s">
        <v>168</v>
      </c>
      <c r="M306" s="4">
        <v>4.4000000000000004</v>
      </c>
      <c r="N306" s="5">
        <v>165</v>
      </c>
      <c r="O306" s="3">
        <v>45780</v>
      </c>
      <c r="P306" s="7" t="s">
        <v>2391</v>
      </c>
      <c r="Q306" s="7" t="s">
        <v>65</v>
      </c>
      <c r="R306" s="7" t="s">
        <v>185</v>
      </c>
      <c r="S306" s="7" t="s">
        <v>186</v>
      </c>
      <c r="T306" s="7" t="s">
        <v>50</v>
      </c>
      <c r="U306" s="11">
        <f t="shared" si="16"/>
        <v>7738</v>
      </c>
      <c r="V306" s="11">
        <f t="shared" si="17"/>
        <v>5030</v>
      </c>
      <c r="W306" s="11">
        <f t="shared" si="18"/>
        <v>2708</v>
      </c>
      <c r="X306" t="str">
        <f t="shared" si="19"/>
        <v>Returned</v>
      </c>
    </row>
    <row r="307" spans="1:24" ht="12.5" x14ac:dyDescent="0.25">
      <c r="A307" s="2" t="s">
        <v>1233</v>
      </c>
      <c r="B307" s="2" t="s">
        <v>491</v>
      </c>
      <c r="C307" s="2" t="s">
        <v>241</v>
      </c>
      <c r="D307" s="7" t="s">
        <v>1234</v>
      </c>
      <c r="E307" s="7" t="s">
        <v>48</v>
      </c>
      <c r="F307" s="7" t="s">
        <v>25</v>
      </c>
      <c r="G307" s="5">
        <v>4538</v>
      </c>
      <c r="H307" s="5">
        <v>40</v>
      </c>
      <c r="I307" s="5">
        <v>2723</v>
      </c>
      <c r="J307" s="5">
        <v>2</v>
      </c>
      <c r="K307" s="2">
        <v>40</v>
      </c>
      <c r="L307" s="7" t="s">
        <v>73</v>
      </c>
      <c r="M307" s="4">
        <v>4.5999999999999996</v>
      </c>
      <c r="N307" s="5">
        <v>154</v>
      </c>
      <c r="O307" s="3">
        <v>45812</v>
      </c>
      <c r="P307" s="7" t="s">
        <v>2392</v>
      </c>
      <c r="Q307" s="7" t="s">
        <v>78</v>
      </c>
      <c r="R307" s="7" t="s">
        <v>149</v>
      </c>
      <c r="S307" s="7" t="s">
        <v>150</v>
      </c>
      <c r="T307" s="7"/>
      <c r="U307" s="11">
        <f t="shared" si="16"/>
        <v>9076</v>
      </c>
      <c r="V307" s="11">
        <f t="shared" si="17"/>
        <v>5446</v>
      </c>
      <c r="W307" s="11">
        <f t="shared" si="18"/>
        <v>3630</v>
      </c>
      <c r="X307" t="str">
        <f t="shared" si="19"/>
        <v>Cancelled</v>
      </c>
    </row>
    <row r="308" spans="1:24" ht="12.5" x14ac:dyDescent="0.25">
      <c r="A308" s="2" t="s">
        <v>1235</v>
      </c>
      <c r="B308" s="2" t="s">
        <v>1236</v>
      </c>
      <c r="C308" s="2" t="s">
        <v>1237</v>
      </c>
      <c r="D308" s="7" t="s">
        <v>1238</v>
      </c>
      <c r="E308" s="7" t="s">
        <v>55</v>
      </c>
      <c r="F308" s="7" t="s">
        <v>38</v>
      </c>
      <c r="G308" s="5">
        <v>3658</v>
      </c>
      <c r="H308" s="5">
        <v>35</v>
      </c>
      <c r="I308" s="5">
        <v>2378</v>
      </c>
      <c r="J308" s="5">
        <v>1</v>
      </c>
      <c r="K308" s="2" t="s">
        <v>226</v>
      </c>
      <c r="L308" s="7" t="s">
        <v>103</v>
      </c>
      <c r="M308" s="4">
        <v>3.7</v>
      </c>
      <c r="N308" s="5">
        <v>238</v>
      </c>
      <c r="O308" s="3">
        <v>45841</v>
      </c>
      <c r="P308" s="7" t="s">
        <v>2391</v>
      </c>
      <c r="Q308" s="7" t="s">
        <v>78</v>
      </c>
      <c r="R308" s="7" t="s">
        <v>149</v>
      </c>
      <c r="S308" s="7" t="s">
        <v>150</v>
      </c>
      <c r="T308" s="7" t="s">
        <v>203</v>
      </c>
      <c r="U308" s="11">
        <f t="shared" si="16"/>
        <v>3658</v>
      </c>
      <c r="V308" s="11">
        <f t="shared" si="17"/>
        <v>2378</v>
      </c>
      <c r="W308" s="11">
        <f t="shared" si="18"/>
        <v>1280</v>
      </c>
      <c r="X308" t="str">
        <f t="shared" si="19"/>
        <v>Returned</v>
      </c>
    </row>
    <row r="309" spans="1:24" ht="12.5" x14ac:dyDescent="0.25">
      <c r="A309" s="2" t="s">
        <v>1239</v>
      </c>
      <c r="B309" s="2" t="s">
        <v>1240</v>
      </c>
      <c r="C309" s="2" t="s">
        <v>1241</v>
      </c>
      <c r="D309" s="7" t="s">
        <v>1242</v>
      </c>
      <c r="E309" s="7" t="s">
        <v>24</v>
      </c>
      <c r="F309" s="7" t="s">
        <v>25</v>
      </c>
      <c r="G309" s="5">
        <v>796</v>
      </c>
      <c r="H309" s="5">
        <v>30</v>
      </c>
      <c r="I309" s="5">
        <v>558</v>
      </c>
      <c r="J309" s="5">
        <v>3</v>
      </c>
      <c r="K309" s="2" t="s">
        <v>56</v>
      </c>
      <c r="L309" s="7" t="s">
        <v>103</v>
      </c>
      <c r="M309" s="4">
        <v>4.5</v>
      </c>
      <c r="N309" s="5">
        <v>211</v>
      </c>
      <c r="O309" s="3">
        <v>45792</v>
      </c>
      <c r="P309" s="7" t="s">
        <v>2390</v>
      </c>
      <c r="Q309" s="7" t="s">
        <v>65</v>
      </c>
      <c r="R309" s="7" t="s">
        <v>66</v>
      </c>
      <c r="S309" s="7" t="s">
        <v>67</v>
      </c>
      <c r="T309" s="7"/>
      <c r="U309" s="11">
        <f t="shared" si="16"/>
        <v>2388</v>
      </c>
      <c r="V309" s="11">
        <f t="shared" si="17"/>
        <v>1674</v>
      </c>
      <c r="W309" s="11">
        <f t="shared" si="18"/>
        <v>714</v>
      </c>
      <c r="X309" t="str">
        <f t="shared" si="19"/>
        <v>Completed</v>
      </c>
    </row>
    <row r="310" spans="1:24" ht="12.5" x14ac:dyDescent="0.25">
      <c r="A310" s="2" t="s">
        <v>1243</v>
      </c>
      <c r="B310" s="2" t="s">
        <v>1244</v>
      </c>
      <c r="C310" s="2" t="s">
        <v>1245</v>
      </c>
      <c r="D310" s="7" t="s">
        <v>1246</v>
      </c>
      <c r="E310" s="7" t="s">
        <v>116</v>
      </c>
      <c r="F310" s="7" t="s">
        <v>117</v>
      </c>
      <c r="G310" s="5">
        <v>3146</v>
      </c>
      <c r="H310" s="5">
        <v>20</v>
      </c>
      <c r="I310" s="5">
        <v>2517</v>
      </c>
      <c r="J310" s="5">
        <v>2</v>
      </c>
      <c r="K310" s="2" t="s">
        <v>163</v>
      </c>
      <c r="L310" s="7" t="s">
        <v>64</v>
      </c>
      <c r="M310" s="4">
        <v>4.4000000000000004</v>
      </c>
      <c r="N310" s="5">
        <v>262</v>
      </c>
      <c r="O310" s="3">
        <v>45834</v>
      </c>
      <c r="P310" s="7" t="s">
        <v>2390</v>
      </c>
      <c r="Q310" s="7" t="s">
        <v>65</v>
      </c>
      <c r="R310" s="7" t="s">
        <v>149</v>
      </c>
      <c r="S310" s="7" t="s">
        <v>150</v>
      </c>
      <c r="T310" s="7"/>
      <c r="U310" s="11">
        <f t="shared" si="16"/>
        <v>6292</v>
      </c>
      <c r="V310" s="11">
        <f t="shared" si="17"/>
        <v>5034</v>
      </c>
      <c r="W310" s="11">
        <f t="shared" si="18"/>
        <v>1258</v>
      </c>
      <c r="X310" t="str">
        <f t="shared" si="19"/>
        <v>Completed</v>
      </c>
    </row>
    <row r="311" spans="1:24" ht="12.5" x14ac:dyDescent="0.25">
      <c r="A311" s="2" t="s">
        <v>1247</v>
      </c>
      <c r="B311" s="2" t="s">
        <v>1223</v>
      </c>
      <c r="C311" s="2" t="s">
        <v>1248</v>
      </c>
      <c r="D311" s="7" t="s">
        <v>1249</v>
      </c>
      <c r="E311" s="7" t="s">
        <v>132</v>
      </c>
      <c r="F311" s="7" t="s">
        <v>38</v>
      </c>
      <c r="G311" s="5">
        <v>3866</v>
      </c>
      <c r="H311" s="5">
        <v>40</v>
      </c>
      <c r="I311" s="5">
        <v>2320</v>
      </c>
      <c r="J311" s="5">
        <v>1</v>
      </c>
      <c r="K311" s="2" t="s">
        <v>163</v>
      </c>
      <c r="L311" s="7" t="s">
        <v>103</v>
      </c>
      <c r="M311" s="4">
        <v>4.5</v>
      </c>
      <c r="N311" s="5">
        <v>250</v>
      </c>
      <c r="O311" s="3">
        <v>45847</v>
      </c>
      <c r="P311" s="7" t="s">
        <v>2390</v>
      </c>
      <c r="Q311" s="7" t="s">
        <v>29</v>
      </c>
      <c r="R311" s="7" t="s">
        <v>30</v>
      </c>
      <c r="S311" s="7" t="s">
        <v>31</v>
      </c>
      <c r="T311" s="7"/>
      <c r="U311" s="11">
        <f t="shared" si="16"/>
        <v>3866</v>
      </c>
      <c r="V311" s="11">
        <f t="shared" si="17"/>
        <v>2320</v>
      </c>
      <c r="W311" s="11">
        <f t="shared" si="18"/>
        <v>1546</v>
      </c>
      <c r="X311" t="str">
        <f t="shared" si="19"/>
        <v>Completed</v>
      </c>
    </row>
    <row r="312" spans="1:24" ht="12.5" x14ac:dyDescent="0.25">
      <c r="A312" s="2" t="s">
        <v>1250</v>
      </c>
      <c r="B312" s="2" t="s">
        <v>802</v>
      </c>
      <c r="C312" s="2" t="s">
        <v>1251</v>
      </c>
      <c r="D312" s="7" t="s">
        <v>1252</v>
      </c>
      <c r="E312" s="7" t="s">
        <v>37</v>
      </c>
      <c r="F312" s="7" t="s">
        <v>38</v>
      </c>
      <c r="G312" s="5">
        <v>3093</v>
      </c>
      <c r="H312" s="5">
        <v>20</v>
      </c>
      <c r="I312" s="5">
        <v>2475</v>
      </c>
      <c r="J312" s="5">
        <v>1</v>
      </c>
      <c r="K312" s="2">
        <v>44</v>
      </c>
      <c r="L312" s="7" t="s">
        <v>49</v>
      </c>
      <c r="M312" s="4">
        <v>3.9</v>
      </c>
      <c r="N312" s="5">
        <v>182</v>
      </c>
      <c r="O312" s="3">
        <v>45855</v>
      </c>
      <c r="P312" s="7" t="s">
        <v>2392</v>
      </c>
      <c r="Q312" s="7" t="s">
        <v>78</v>
      </c>
      <c r="R312" s="7" t="s">
        <v>83</v>
      </c>
      <c r="S312" s="7" t="s">
        <v>83</v>
      </c>
      <c r="T312" s="7"/>
      <c r="U312" s="11">
        <f t="shared" si="16"/>
        <v>3093</v>
      </c>
      <c r="V312" s="11">
        <f t="shared" si="17"/>
        <v>2475</v>
      </c>
      <c r="W312" s="11">
        <f t="shared" si="18"/>
        <v>618</v>
      </c>
      <c r="X312" t="str">
        <f t="shared" si="19"/>
        <v>Cancelled</v>
      </c>
    </row>
    <row r="313" spans="1:24" ht="12.5" x14ac:dyDescent="0.25">
      <c r="A313" s="2" t="s">
        <v>1253</v>
      </c>
      <c r="B313" s="2" t="s">
        <v>1254</v>
      </c>
      <c r="C313" s="2" t="s">
        <v>1255</v>
      </c>
      <c r="D313" s="7" t="s">
        <v>1256</v>
      </c>
      <c r="E313" s="7" t="s">
        <v>48</v>
      </c>
      <c r="F313" s="7" t="s">
        <v>25</v>
      </c>
      <c r="G313" s="5">
        <v>2872</v>
      </c>
      <c r="H313" s="5">
        <v>40</v>
      </c>
      <c r="I313" s="5">
        <v>1724</v>
      </c>
      <c r="J313" s="5">
        <v>3</v>
      </c>
      <c r="K313" s="2" t="s">
        <v>72</v>
      </c>
      <c r="L313" s="7" t="s">
        <v>88</v>
      </c>
      <c r="M313" s="4">
        <v>4.7</v>
      </c>
      <c r="N313" s="5">
        <v>216</v>
      </c>
      <c r="O313" s="3">
        <v>45847</v>
      </c>
      <c r="P313" s="7" t="s">
        <v>2391</v>
      </c>
      <c r="Q313" s="7" t="s">
        <v>65</v>
      </c>
      <c r="R313" s="7" t="s">
        <v>110</v>
      </c>
      <c r="S313" s="7" t="s">
        <v>111</v>
      </c>
      <c r="T313" s="7" t="s">
        <v>203</v>
      </c>
      <c r="U313" s="11">
        <f t="shared" si="16"/>
        <v>8616</v>
      </c>
      <c r="V313" s="11">
        <f t="shared" si="17"/>
        <v>5172</v>
      </c>
      <c r="W313" s="11">
        <f t="shared" si="18"/>
        <v>3444</v>
      </c>
      <c r="X313" t="str">
        <f t="shared" si="19"/>
        <v>Returned</v>
      </c>
    </row>
    <row r="314" spans="1:24" ht="12.5" x14ac:dyDescent="0.25">
      <c r="A314" s="2" t="s">
        <v>1257</v>
      </c>
      <c r="B314" s="2" t="s">
        <v>1258</v>
      </c>
      <c r="C314" s="2" t="s">
        <v>1259</v>
      </c>
      <c r="D314" s="7" t="s">
        <v>1260</v>
      </c>
      <c r="E314" s="7" t="s">
        <v>116</v>
      </c>
      <c r="F314" s="7" t="s">
        <v>117</v>
      </c>
      <c r="G314" s="5">
        <v>4552</v>
      </c>
      <c r="H314" s="5">
        <v>30</v>
      </c>
      <c r="I314" s="5">
        <v>3187</v>
      </c>
      <c r="J314" s="5">
        <v>3</v>
      </c>
      <c r="K314" s="2" t="s">
        <v>56</v>
      </c>
      <c r="L314" s="7" t="s">
        <v>168</v>
      </c>
      <c r="M314" s="4">
        <v>4.3</v>
      </c>
      <c r="N314" s="5">
        <v>216</v>
      </c>
      <c r="O314" s="3">
        <v>45773</v>
      </c>
      <c r="P314" s="7" t="s">
        <v>2392</v>
      </c>
      <c r="Q314" s="7" t="s">
        <v>29</v>
      </c>
      <c r="R314" s="7" t="s">
        <v>30</v>
      </c>
      <c r="S314" s="7" t="s">
        <v>31</v>
      </c>
      <c r="T314" s="7"/>
      <c r="U314" s="11">
        <f t="shared" si="16"/>
        <v>13656</v>
      </c>
      <c r="V314" s="11">
        <f t="shared" si="17"/>
        <v>9561</v>
      </c>
      <c r="W314" s="11">
        <f t="shared" si="18"/>
        <v>4095</v>
      </c>
      <c r="X314" t="str">
        <f t="shared" si="19"/>
        <v>Cancelled</v>
      </c>
    </row>
    <row r="315" spans="1:24" ht="12.5" x14ac:dyDescent="0.25">
      <c r="A315" s="2" t="s">
        <v>1261</v>
      </c>
      <c r="B315" s="2" t="s">
        <v>34</v>
      </c>
      <c r="C315" s="2" t="s">
        <v>1262</v>
      </c>
      <c r="D315" s="7" t="s">
        <v>1263</v>
      </c>
      <c r="E315" s="7" t="s">
        <v>147</v>
      </c>
      <c r="F315" s="7" t="s">
        <v>148</v>
      </c>
      <c r="G315" s="5">
        <v>1099</v>
      </c>
      <c r="H315" s="5">
        <v>10</v>
      </c>
      <c r="I315" s="5">
        <v>990</v>
      </c>
      <c r="J315" s="5">
        <v>2</v>
      </c>
      <c r="K315" s="2">
        <v>40</v>
      </c>
      <c r="L315" s="7" t="s">
        <v>103</v>
      </c>
      <c r="M315" s="4">
        <v>3.8</v>
      </c>
      <c r="N315" s="5">
        <v>254</v>
      </c>
      <c r="O315" s="3">
        <v>45830</v>
      </c>
      <c r="P315" s="7" t="s">
        <v>2391</v>
      </c>
      <c r="Q315" s="7" t="s">
        <v>78</v>
      </c>
      <c r="R315" s="7" t="s">
        <v>149</v>
      </c>
      <c r="S315" s="7" t="s">
        <v>150</v>
      </c>
      <c r="T315" s="7" t="s">
        <v>134</v>
      </c>
      <c r="U315" s="11">
        <f t="shared" si="16"/>
        <v>2198</v>
      </c>
      <c r="V315" s="11">
        <f t="shared" si="17"/>
        <v>1980</v>
      </c>
      <c r="W315" s="11">
        <f t="shared" si="18"/>
        <v>218</v>
      </c>
      <c r="X315" t="str">
        <f t="shared" si="19"/>
        <v>Returned</v>
      </c>
    </row>
    <row r="316" spans="1:24" ht="12.5" x14ac:dyDescent="0.25">
      <c r="A316" s="2" t="s">
        <v>1264</v>
      </c>
      <c r="B316" s="2" t="s">
        <v>1265</v>
      </c>
      <c r="C316" s="2" t="s">
        <v>1266</v>
      </c>
      <c r="D316" s="7" t="s">
        <v>1267</v>
      </c>
      <c r="E316" s="7" t="s">
        <v>37</v>
      </c>
      <c r="F316" s="7" t="s">
        <v>38</v>
      </c>
      <c r="G316" s="5">
        <v>2014</v>
      </c>
      <c r="H316" s="5">
        <v>30</v>
      </c>
      <c r="I316" s="5">
        <v>1410</v>
      </c>
      <c r="J316" s="5">
        <v>1</v>
      </c>
      <c r="K316" s="2" t="s">
        <v>261</v>
      </c>
      <c r="L316" s="7" t="s">
        <v>168</v>
      </c>
      <c r="M316" s="4">
        <v>4.0999999999999996</v>
      </c>
      <c r="N316" s="5">
        <v>243</v>
      </c>
      <c r="O316" s="3">
        <v>45837</v>
      </c>
      <c r="P316" s="7" t="s">
        <v>2392</v>
      </c>
      <c r="Q316" s="7" t="s">
        <v>29</v>
      </c>
      <c r="R316" s="7" t="s">
        <v>30</v>
      </c>
      <c r="S316" s="7" t="s">
        <v>31</v>
      </c>
      <c r="T316" s="7"/>
      <c r="U316" s="11">
        <f t="shared" si="16"/>
        <v>2014</v>
      </c>
      <c r="V316" s="11">
        <f t="shared" si="17"/>
        <v>1410</v>
      </c>
      <c r="W316" s="11">
        <f t="shared" si="18"/>
        <v>604</v>
      </c>
      <c r="X316" t="str">
        <f t="shared" si="19"/>
        <v>Cancelled</v>
      </c>
    </row>
    <row r="317" spans="1:24" ht="12.5" x14ac:dyDescent="0.25">
      <c r="A317" s="2" t="s">
        <v>1268</v>
      </c>
      <c r="B317" s="2" t="s">
        <v>1269</v>
      </c>
      <c r="C317" s="2" t="s">
        <v>1270</v>
      </c>
      <c r="D317" s="7" t="s">
        <v>1271</v>
      </c>
      <c r="E317" s="7" t="s">
        <v>24</v>
      </c>
      <c r="F317" s="7" t="s">
        <v>25</v>
      </c>
      <c r="G317" s="5">
        <v>4605</v>
      </c>
      <c r="H317" s="5">
        <v>15</v>
      </c>
      <c r="I317" s="5">
        <v>3915</v>
      </c>
      <c r="J317" s="5">
        <v>2</v>
      </c>
      <c r="K317" s="2" t="s">
        <v>261</v>
      </c>
      <c r="L317" s="7" t="s">
        <v>88</v>
      </c>
      <c r="M317" s="4">
        <v>4.0999999999999996</v>
      </c>
      <c r="N317" s="5">
        <v>40</v>
      </c>
      <c r="O317" s="3">
        <v>45848</v>
      </c>
      <c r="P317" s="7" t="s">
        <v>2390</v>
      </c>
      <c r="Q317" s="7" t="s">
        <v>65</v>
      </c>
      <c r="R317" s="7" t="s">
        <v>110</v>
      </c>
      <c r="S317" s="7" t="s">
        <v>111</v>
      </c>
      <c r="T317" s="7"/>
      <c r="U317" s="11">
        <f t="shared" si="16"/>
        <v>9210</v>
      </c>
      <c r="V317" s="11">
        <f t="shared" si="17"/>
        <v>7830</v>
      </c>
      <c r="W317" s="11">
        <f t="shared" si="18"/>
        <v>1380</v>
      </c>
      <c r="X317" t="str">
        <f t="shared" si="19"/>
        <v>Completed</v>
      </c>
    </row>
    <row r="318" spans="1:24" ht="12.5" x14ac:dyDescent="0.25">
      <c r="A318" s="2" t="s">
        <v>1272</v>
      </c>
      <c r="B318" s="2" t="s">
        <v>1273</v>
      </c>
      <c r="C318" s="2" t="s">
        <v>1274</v>
      </c>
      <c r="D318" s="7" t="s">
        <v>1275</v>
      </c>
      <c r="E318" s="7" t="s">
        <v>208</v>
      </c>
      <c r="F318" s="7" t="s">
        <v>117</v>
      </c>
      <c r="G318" s="5">
        <v>2449</v>
      </c>
      <c r="H318" s="5">
        <v>30</v>
      </c>
      <c r="I318" s="5">
        <v>1715</v>
      </c>
      <c r="J318" s="5">
        <v>3</v>
      </c>
      <c r="K318" s="2" t="s">
        <v>261</v>
      </c>
      <c r="L318" s="7" t="s">
        <v>209</v>
      </c>
      <c r="M318" s="4">
        <v>3.6</v>
      </c>
      <c r="N318" s="5">
        <v>255</v>
      </c>
      <c r="O318" s="3">
        <v>45834</v>
      </c>
      <c r="P318" s="7" t="s">
        <v>2392</v>
      </c>
      <c r="Q318" s="7" t="s">
        <v>78</v>
      </c>
      <c r="R318" s="7" t="s">
        <v>30</v>
      </c>
      <c r="S318" s="7" t="s">
        <v>31</v>
      </c>
      <c r="T318" s="7"/>
      <c r="U318" s="11">
        <f t="shared" si="16"/>
        <v>7347</v>
      </c>
      <c r="V318" s="11">
        <f t="shared" si="17"/>
        <v>5145</v>
      </c>
      <c r="W318" s="11">
        <f t="shared" si="18"/>
        <v>2202</v>
      </c>
      <c r="X318" t="str">
        <f t="shared" si="19"/>
        <v>Cancelled</v>
      </c>
    </row>
    <row r="319" spans="1:24" ht="12.5" x14ac:dyDescent="0.25">
      <c r="A319" s="2" t="s">
        <v>1276</v>
      </c>
      <c r="B319" s="2" t="s">
        <v>1277</v>
      </c>
      <c r="C319" s="2" t="s">
        <v>1278</v>
      </c>
      <c r="D319" s="7" t="s">
        <v>1279</v>
      </c>
      <c r="E319" s="7" t="s">
        <v>132</v>
      </c>
      <c r="F319" s="7" t="s">
        <v>38</v>
      </c>
      <c r="G319" s="5">
        <v>3269</v>
      </c>
      <c r="H319" s="5">
        <v>10</v>
      </c>
      <c r="I319" s="5">
        <v>2943</v>
      </c>
      <c r="J319" s="5">
        <v>2</v>
      </c>
      <c r="K319" s="2" t="s">
        <v>56</v>
      </c>
      <c r="L319" s="7" t="s">
        <v>103</v>
      </c>
      <c r="M319" s="4">
        <v>4</v>
      </c>
      <c r="N319" s="5">
        <v>143</v>
      </c>
      <c r="O319" s="3">
        <v>45807</v>
      </c>
      <c r="P319" s="7" t="s">
        <v>2390</v>
      </c>
      <c r="Q319" s="7" t="s">
        <v>78</v>
      </c>
      <c r="R319" s="7" t="s">
        <v>185</v>
      </c>
      <c r="S319" s="7" t="s">
        <v>186</v>
      </c>
      <c r="T319" s="7"/>
      <c r="U319" s="11">
        <f t="shared" si="16"/>
        <v>6538</v>
      </c>
      <c r="V319" s="11">
        <f t="shared" si="17"/>
        <v>5886</v>
      </c>
      <c r="W319" s="11">
        <f t="shared" si="18"/>
        <v>652</v>
      </c>
      <c r="X319" t="str">
        <f t="shared" si="19"/>
        <v>Completed</v>
      </c>
    </row>
    <row r="320" spans="1:24" ht="12.5" x14ac:dyDescent="0.25">
      <c r="A320" s="2" t="s">
        <v>1280</v>
      </c>
      <c r="B320" s="2" t="s">
        <v>1236</v>
      </c>
      <c r="C320" s="2" t="s">
        <v>1281</v>
      </c>
      <c r="D320" s="7" t="s">
        <v>1282</v>
      </c>
      <c r="E320" s="7" t="s">
        <v>116</v>
      </c>
      <c r="F320" s="7" t="s">
        <v>117</v>
      </c>
      <c r="G320" s="5">
        <v>3039</v>
      </c>
      <c r="H320" s="5">
        <v>25</v>
      </c>
      <c r="I320" s="5">
        <v>2280</v>
      </c>
      <c r="J320" s="5">
        <v>1</v>
      </c>
      <c r="K320" s="2">
        <v>42</v>
      </c>
      <c r="L320" s="7" t="s">
        <v>64</v>
      </c>
      <c r="M320" s="4">
        <v>4.3</v>
      </c>
      <c r="N320" s="5">
        <v>194</v>
      </c>
      <c r="O320" s="3">
        <v>45816</v>
      </c>
      <c r="P320" s="7" t="s">
        <v>2390</v>
      </c>
      <c r="Q320" s="7" t="s">
        <v>78</v>
      </c>
      <c r="R320" s="7" t="s">
        <v>185</v>
      </c>
      <c r="S320" s="7" t="s">
        <v>186</v>
      </c>
      <c r="T320" s="7"/>
      <c r="U320" s="11">
        <f t="shared" si="16"/>
        <v>3039</v>
      </c>
      <c r="V320" s="11">
        <f t="shared" si="17"/>
        <v>2280</v>
      </c>
      <c r="W320" s="11">
        <f t="shared" si="18"/>
        <v>759</v>
      </c>
      <c r="X320" t="str">
        <f t="shared" si="19"/>
        <v>Completed</v>
      </c>
    </row>
    <row r="321" spans="1:24" ht="12.5" x14ac:dyDescent="0.25">
      <c r="A321" s="2" t="s">
        <v>1283</v>
      </c>
      <c r="B321" s="2" t="s">
        <v>1284</v>
      </c>
      <c r="C321" s="2" t="s">
        <v>1285</v>
      </c>
      <c r="D321" s="7" t="s">
        <v>1286</v>
      </c>
      <c r="E321" s="7" t="s">
        <v>132</v>
      </c>
      <c r="F321" s="7" t="s">
        <v>38</v>
      </c>
      <c r="G321" s="5">
        <v>1391</v>
      </c>
      <c r="H321" s="5">
        <v>10</v>
      </c>
      <c r="I321" s="5">
        <v>1252</v>
      </c>
      <c r="J321" s="5">
        <v>1</v>
      </c>
      <c r="K321" s="2">
        <v>42</v>
      </c>
      <c r="L321" s="7" t="s">
        <v>209</v>
      </c>
      <c r="M321" s="4">
        <v>4.3</v>
      </c>
      <c r="N321" s="5">
        <v>58</v>
      </c>
      <c r="O321" s="3">
        <v>45852</v>
      </c>
      <c r="P321" s="7" t="s">
        <v>2391</v>
      </c>
      <c r="Q321" s="7" t="s">
        <v>29</v>
      </c>
      <c r="R321" s="7" t="s">
        <v>104</v>
      </c>
      <c r="S321" s="7" t="s">
        <v>105</v>
      </c>
      <c r="T321" s="7"/>
      <c r="U321" s="11">
        <f t="shared" si="16"/>
        <v>1391</v>
      </c>
      <c r="V321" s="11">
        <f t="shared" si="17"/>
        <v>1252</v>
      </c>
      <c r="W321" s="11">
        <f t="shared" si="18"/>
        <v>139</v>
      </c>
      <c r="X321" t="str">
        <f t="shared" si="19"/>
        <v>Returned</v>
      </c>
    </row>
    <row r="322" spans="1:24" ht="12.5" x14ac:dyDescent="0.25">
      <c r="A322" s="2" t="s">
        <v>1287</v>
      </c>
      <c r="B322" s="2" t="s">
        <v>1288</v>
      </c>
      <c r="C322" s="2" t="s">
        <v>1289</v>
      </c>
      <c r="D322" s="7" t="s">
        <v>1290</v>
      </c>
      <c r="E322" s="7" t="s">
        <v>208</v>
      </c>
      <c r="F322" s="7" t="s">
        <v>117</v>
      </c>
      <c r="G322" s="5">
        <v>2541</v>
      </c>
      <c r="H322" s="5">
        <v>10</v>
      </c>
      <c r="I322" s="5">
        <v>2287</v>
      </c>
      <c r="J322" s="5">
        <v>1</v>
      </c>
      <c r="K322" s="2" t="s">
        <v>261</v>
      </c>
      <c r="L322" s="7" t="s">
        <v>133</v>
      </c>
      <c r="M322" s="4">
        <v>3.6</v>
      </c>
      <c r="N322" s="5">
        <v>205</v>
      </c>
      <c r="O322" s="3">
        <v>45797</v>
      </c>
      <c r="P322" s="7" t="s">
        <v>2391</v>
      </c>
      <c r="Q322" s="7" t="s">
        <v>65</v>
      </c>
      <c r="R322" s="7" t="s">
        <v>66</v>
      </c>
      <c r="S322" s="7" t="s">
        <v>67</v>
      </c>
      <c r="T322" s="7" t="s">
        <v>50</v>
      </c>
      <c r="U322" s="11">
        <f t="shared" ref="U322:U385" si="20">G322*J322</f>
        <v>2541</v>
      </c>
      <c r="V322" s="11">
        <f t="shared" ref="V322:V385" si="21">I322*J322</f>
        <v>2287</v>
      </c>
      <c r="W322" s="11">
        <f t="shared" ref="W322:W385" si="22">(G322-I322)*J322</f>
        <v>254</v>
      </c>
      <c r="X322" t="str">
        <f t="shared" ref="X322:X385" si="23">IF(P322="DELIVERED","Completed",IF(P322="RETURNED","Returned","Cancelled"))</f>
        <v>Returned</v>
      </c>
    </row>
    <row r="323" spans="1:24" ht="12.5" x14ac:dyDescent="0.25">
      <c r="A323" s="2" t="s">
        <v>1291</v>
      </c>
      <c r="B323" s="2" t="s">
        <v>1292</v>
      </c>
      <c r="C323" s="2" t="s">
        <v>1293</v>
      </c>
      <c r="D323" s="7" t="s">
        <v>1294</v>
      </c>
      <c r="E323" s="7" t="s">
        <v>48</v>
      </c>
      <c r="F323" s="7" t="s">
        <v>25</v>
      </c>
      <c r="G323" s="5">
        <v>4987</v>
      </c>
      <c r="H323" s="5">
        <v>20</v>
      </c>
      <c r="I323" s="5">
        <v>3990</v>
      </c>
      <c r="J323" s="5">
        <v>3</v>
      </c>
      <c r="K323" s="2" t="s">
        <v>26</v>
      </c>
      <c r="L323" s="7" t="s">
        <v>168</v>
      </c>
      <c r="M323" s="4">
        <v>4.0999999999999996</v>
      </c>
      <c r="N323" s="5">
        <v>19</v>
      </c>
      <c r="O323" s="3">
        <v>45843</v>
      </c>
      <c r="P323" s="7" t="s">
        <v>2390</v>
      </c>
      <c r="Q323" s="7" t="s">
        <v>65</v>
      </c>
      <c r="R323" s="7" t="s">
        <v>58</v>
      </c>
      <c r="S323" s="7" t="s">
        <v>59</v>
      </c>
      <c r="T323" s="7"/>
      <c r="U323" s="11">
        <f t="shared" si="20"/>
        <v>14961</v>
      </c>
      <c r="V323" s="11">
        <f t="shared" si="21"/>
        <v>11970</v>
      </c>
      <c r="W323" s="11">
        <f t="shared" si="22"/>
        <v>2991</v>
      </c>
      <c r="X323" t="str">
        <f t="shared" si="23"/>
        <v>Completed</v>
      </c>
    </row>
    <row r="324" spans="1:24" ht="12.5" x14ac:dyDescent="0.25">
      <c r="A324" s="2" t="s">
        <v>1295</v>
      </c>
      <c r="B324" s="2" t="s">
        <v>152</v>
      </c>
      <c r="C324" s="2" t="s">
        <v>1296</v>
      </c>
      <c r="D324" s="7" t="s">
        <v>1297</v>
      </c>
      <c r="E324" s="7" t="s">
        <v>116</v>
      </c>
      <c r="F324" s="7" t="s">
        <v>117</v>
      </c>
      <c r="G324" s="5">
        <v>4266</v>
      </c>
      <c r="H324" s="5">
        <v>15</v>
      </c>
      <c r="I324" s="5">
        <v>3627</v>
      </c>
      <c r="J324" s="5">
        <v>1</v>
      </c>
      <c r="K324" s="2">
        <v>40</v>
      </c>
      <c r="L324" s="7" t="s">
        <v>73</v>
      </c>
      <c r="M324" s="4">
        <v>4.4000000000000004</v>
      </c>
      <c r="N324" s="5">
        <v>187</v>
      </c>
      <c r="O324" s="3">
        <v>45846</v>
      </c>
      <c r="P324" s="7" t="s">
        <v>2391</v>
      </c>
      <c r="Q324" s="7" t="s">
        <v>78</v>
      </c>
      <c r="R324" s="7" t="s">
        <v>89</v>
      </c>
      <c r="S324" s="7" t="s">
        <v>90</v>
      </c>
      <c r="T324" s="7" t="s">
        <v>203</v>
      </c>
      <c r="U324" s="11">
        <f t="shared" si="20"/>
        <v>4266</v>
      </c>
      <c r="V324" s="11">
        <f t="shared" si="21"/>
        <v>3627</v>
      </c>
      <c r="W324" s="11">
        <f t="shared" si="22"/>
        <v>639</v>
      </c>
      <c r="X324" t="str">
        <f t="shared" si="23"/>
        <v>Returned</v>
      </c>
    </row>
    <row r="325" spans="1:24" ht="12.5" x14ac:dyDescent="0.25">
      <c r="A325" s="2" t="s">
        <v>1298</v>
      </c>
      <c r="B325" s="2" t="s">
        <v>1018</v>
      </c>
      <c r="C325" s="2" t="s">
        <v>1299</v>
      </c>
      <c r="D325" s="7" t="s">
        <v>1300</v>
      </c>
      <c r="E325" s="7" t="s">
        <v>24</v>
      </c>
      <c r="F325" s="7" t="s">
        <v>25</v>
      </c>
      <c r="G325" s="5">
        <v>3300</v>
      </c>
      <c r="H325" s="5">
        <v>40</v>
      </c>
      <c r="I325" s="5">
        <v>1980</v>
      </c>
      <c r="J325" s="5">
        <v>3</v>
      </c>
      <c r="K325" s="2" t="s">
        <v>163</v>
      </c>
      <c r="L325" s="7" t="s">
        <v>39</v>
      </c>
      <c r="M325" s="4">
        <v>4.3</v>
      </c>
      <c r="N325" s="5">
        <v>219</v>
      </c>
      <c r="O325" s="3">
        <v>45785</v>
      </c>
      <c r="P325" s="7" t="s">
        <v>2390</v>
      </c>
      <c r="Q325" s="7" t="s">
        <v>78</v>
      </c>
      <c r="R325" s="7" t="s">
        <v>83</v>
      </c>
      <c r="S325" s="7" t="s">
        <v>83</v>
      </c>
      <c r="T325" s="7"/>
      <c r="U325" s="11">
        <f t="shared" si="20"/>
        <v>9900</v>
      </c>
      <c r="V325" s="11">
        <f t="shared" si="21"/>
        <v>5940</v>
      </c>
      <c r="W325" s="11">
        <f t="shared" si="22"/>
        <v>3960</v>
      </c>
      <c r="X325" t="str">
        <f t="shared" si="23"/>
        <v>Completed</v>
      </c>
    </row>
    <row r="326" spans="1:24" ht="12.5" x14ac:dyDescent="0.25">
      <c r="A326" s="2" t="s">
        <v>1301</v>
      </c>
      <c r="B326" s="2" t="s">
        <v>791</v>
      </c>
      <c r="C326" s="2" t="s">
        <v>1302</v>
      </c>
      <c r="D326" s="7" t="s">
        <v>1303</v>
      </c>
      <c r="E326" s="7" t="s">
        <v>24</v>
      </c>
      <c r="F326" s="7" t="s">
        <v>25</v>
      </c>
      <c r="G326" s="5">
        <v>3283</v>
      </c>
      <c r="H326" s="5">
        <v>10</v>
      </c>
      <c r="I326" s="5">
        <v>2955</v>
      </c>
      <c r="J326" s="5">
        <v>2</v>
      </c>
      <c r="K326" s="2" t="s">
        <v>56</v>
      </c>
      <c r="L326" s="7" t="s">
        <v>168</v>
      </c>
      <c r="M326" s="4">
        <v>3.6</v>
      </c>
      <c r="N326" s="5">
        <v>255</v>
      </c>
      <c r="O326" s="3">
        <v>45837</v>
      </c>
      <c r="P326" s="7" t="s">
        <v>2390</v>
      </c>
      <c r="Q326" s="7" t="s">
        <v>29</v>
      </c>
      <c r="R326" s="7" t="s">
        <v>66</v>
      </c>
      <c r="S326" s="7" t="s">
        <v>67</v>
      </c>
      <c r="T326" s="7"/>
      <c r="U326" s="11">
        <f t="shared" si="20"/>
        <v>6566</v>
      </c>
      <c r="V326" s="11">
        <f t="shared" si="21"/>
        <v>5910</v>
      </c>
      <c r="W326" s="11">
        <f t="shared" si="22"/>
        <v>656</v>
      </c>
      <c r="X326" t="str">
        <f t="shared" si="23"/>
        <v>Completed</v>
      </c>
    </row>
    <row r="327" spans="1:24" ht="12.5" x14ac:dyDescent="0.25">
      <c r="A327" s="2" t="s">
        <v>1304</v>
      </c>
      <c r="B327" s="2" t="s">
        <v>1305</v>
      </c>
      <c r="C327" s="2" t="s">
        <v>1306</v>
      </c>
      <c r="D327" s="7" t="s">
        <v>1307</v>
      </c>
      <c r="E327" s="7" t="s">
        <v>147</v>
      </c>
      <c r="F327" s="7" t="s">
        <v>148</v>
      </c>
      <c r="G327" s="5">
        <v>2978</v>
      </c>
      <c r="H327" s="5">
        <v>30</v>
      </c>
      <c r="I327" s="5">
        <v>2085</v>
      </c>
      <c r="J327" s="5">
        <v>2</v>
      </c>
      <c r="K327" s="2" t="s">
        <v>72</v>
      </c>
      <c r="L327" s="7" t="s">
        <v>133</v>
      </c>
      <c r="M327" s="4">
        <v>4.8</v>
      </c>
      <c r="N327" s="5">
        <v>299</v>
      </c>
      <c r="O327" s="3">
        <v>45810</v>
      </c>
      <c r="P327" s="7" t="s">
        <v>2392</v>
      </c>
      <c r="Q327" s="7" t="s">
        <v>29</v>
      </c>
      <c r="R327" s="7" t="s">
        <v>41</v>
      </c>
      <c r="S327" s="7" t="s">
        <v>42</v>
      </c>
      <c r="T327" s="7"/>
      <c r="U327" s="11">
        <f t="shared" si="20"/>
        <v>5956</v>
      </c>
      <c r="V327" s="11">
        <f t="shared" si="21"/>
        <v>4170</v>
      </c>
      <c r="W327" s="11">
        <f t="shared" si="22"/>
        <v>1786</v>
      </c>
      <c r="X327" t="str">
        <f t="shared" si="23"/>
        <v>Cancelled</v>
      </c>
    </row>
    <row r="328" spans="1:24" ht="12.5" x14ac:dyDescent="0.25">
      <c r="A328" s="2" t="s">
        <v>1308</v>
      </c>
      <c r="B328" s="2" t="s">
        <v>400</v>
      </c>
      <c r="C328" s="2" t="s">
        <v>1309</v>
      </c>
      <c r="D328" s="7" t="s">
        <v>1310</v>
      </c>
      <c r="E328" s="7" t="s">
        <v>247</v>
      </c>
      <c r="F328" s="7" t="s">
        <v>248</v>
      </c>
      <c r="G328" s="5">
        <v>3578</v>
      </c>
      <c r="H328" s="5">
        <v>20</v>
      </c>
      <c r="I328" s="5">
        <v>2863</v>
      </c>
      <c r="J328" s="5">
        <v>2</v>
      </c>
      <c r="K328" s="2" t="s">
        <v>163</v>
      </c>
      <c r="L328" s="7" t="s">
        <v>168</v>
      </c>
      <c r="M328" s="4">
        <v>4.7</v>
      </c>
      <c r="N328" s="5">
        <v>158</v>
      </c>
      <c r="O328" s="3">
        <v>45772</v>
      </c>
      <c r="P328" s="7" t="s">
        <v>2391</v>
      </c>
      <c r="Q328" s="7" t="s">
        <v>65</v>
      </c>
      <c r="R328" s="7" t="s">
        <v>89</v>
      </c>
      <c r="S328" s="7" t="s">
        <v>90</v>
      </c>
      <c r="T328" s="7" t="s">
        <v>203</v>
      </c>
      <c r="U328" s="11">
        <f t="shared" si="20"/>
        <v>7156</v>
      </c>
      <c r="V328" s="11">
        <f t="shared" si="21"/>
        <v>5726</v>
      </c>
      <c r="W328" s="11">
        <f t="shared" si="22"/>
        <v>1430</v>
      </c>
      <c r="X328" t="str">
        <f t="shared" si="23"/>
        <v>Returned</v>
      </c>
    </row>
    <row r="329" spans="1:24" ht="12.5" x14ac:dyDescent="0.25">
      <c r="A329" s="2" t="s">
        <v>1311</v>
      </c>
      <c r="B329" s="2" t="s">
        <v>75</v>
      </c>
      <c r="C329" s="2" t="s">
        <v>1312</v>
      </c>
      <c r="D329" s="7" t="s">
        <v>1313</v>
      </c>
      <c r="E329" s="7" t="s">
        <v>208</v>
      </c>
      <c r="F329" s="7" t="s">
        <v>117</v>
      </c>
      <c r="G329" s="5">
        <v>4285</v>
      </c>
      <c r="H329" s="5">
        <v>35</v>
      </c>
      <c r="I329" s="5">
        <v>2786</v>
      </c>
      <c r="J329" s="5">
        <v>1</v>
      </c>
      <c r="K329" s="2" t="s">
        <v>26</v>
      </c>
      <c r="L329" s="7" t="s">
        <v>49</v>
      </c>
      <c r="M329" s="4">
        <v>4.5</v>
      </c>
      <c r="N329" s="5">
        <v>274</v>
      </c>
      <c r="O329" s="3">
        <v>45845</v>
      </c>
      <c r="P329" s="7" t="s">
        <v>2390</v>
      </c>
      <c r="Q329" s="7" t="s">
        <v>29</v>
      </c>
      <c r="R329" s="7" t="s">
        <v>41</v>
      </c>
      <c r="S329" s="7" t="s">
        <v>42</v>
      </c>
      <c r="T329" s="7"/>
      <c r="U329" s="11">
        <f t="shared" si="20"/>
        <v>4285</v>
      </c>
      <c r="V329" s="11">
        <f t="shared" si="21"/>
        <v>2786</v>
      </c>
      <c r="W329" s="11">
        <f t="shared" si="22"/>
        <v>1499</v>
      </c>
      <c r="X329" t="str">
        <f t="shared" si="23"/>
        <v>Completed</v>
      </c>
    </row>
    <row r="330" spans="1:24" ht="12.5" x14ac:dyDescent="0.25">
      <c r="A330" s="2" t="s">
        <v>1314</v>
      </c>
      <c r="B330" s="2" t="s">
        <v>839</v>
      </c>
      <c r="C330" s="2" t="s">
        <v>1315</v>
      </c>
      <c r="D330" s="7" t="s">
        <v>1316</v>
      </c>
      <c r="E330" s="7" t="s">
        <v>24</v>
      </c>
      <c r="F330" s="7" t="s">
        <v>25</v>
      </c>
      <c r="G330" s="5">
        <v>3115</v>
      </c>
      <c r="H330" s="5">
        <v>10</v>
      </c>
      <c r="I330" s="5">
        <v>2804</v>
      </c>
      <c r="J330" s="5">
        <v>1</v>
      </c>
      <c r="K330" s="2" t="s">
        <v>72</v>
      </c>
      <c r="L330" s="7" t="s">
        <v>168</v>
      </c>
      <c r="M330" s="4">
        <v>3.6</v>
      </c>
      <c r="N330" s="5">
        <v>288</v>
      </c>
      <c r="O330" s="3">
        <v>45828</v>
      </c>
      <c r="P330" s="7" t="s">
        <v>2390</v>
      </c>
      <c r="Q330" s="7" t="s">
        <v>29</v>
      </c>
      <c r="R330" s="7" t="s">
        <v>104</v>
      </c>
      <c r="S330" s="7" t="s">
        <v>105</v>
      </c>
      <c r="T330" s="7"/>
      <c r="U330" s="11">
        <f t="shared" si="20"/>
        <v>3115</v>
      </c>
      <c r="V330" s="11">
        <f t="shared" si="21"/>
        <v>2804</v>
      </c>
      <c r="W330" s="11">
        <f t="shared" si="22"/>
        <v>311</v>
      </c>
      <c r="X330" t="str">
        <f t="shared" si="23"/>
        <v>Completed</v>
      </c>
    </row>
    <row r="331" spans="1:24" ht="12.5" x14ac:dyDescent="0.25">
      <c r="A331" s="2" t="s">
        <v>1317</v>
      </c>
      <c r="B331" s="2" t="s">
        <v>1318</v>
      </c>
      <c r="C331" s="2" t="s">
        <v>1319</v>
      </c>
      <c r="D331" s="7" t="s">
        <v>1320</v>
      </c>
      <c r="E331" s="7" t="s">
        <v>48</v>
      </c>
      <c r="F331" s="7" t="s">
        <v>25</v>
      </c>
      <c r="G331" s="5">
        <v>2076</v>
      </c>
      <c r="H331" s="5">
        <v>10</v>
      </c>
      <c r="I331" s="5">
        <v>1869</v>
      </c>
      <c r="J331" s="5">
        <v>3</v>
      </c>
      <c r="K331" s="2">
        <v>44</v>
      </c>
      <c r="L331" s="7" t="s">
        <v>88</v>
      </c>
      <c r="M331" s="4">
        <v>4</v>
      </c>
      <c r="N331" s="5">
        <v>248</v>
      </c>
      <c r="O331" s="3">
        <v>45778</v>
      </c>
      <c r="P331" s="7" t="s">
        <v>2391</v>
      </c>
      <c r="Q331" s="7" t="s">
        <v>29</v>
      </c>
      <c r="R331" s="7" t="s">
        <v>185</v>
      </c>
      <c r="S331" s="7" t="s">
        <v>186</v>
      </c>
      <c r="T331" s="7" t="s">
        <v>203</v>
      </c>
      <c r="U331" s="11">
        <f t="shared" si="20"/>
        <v>6228</v>
      </c>
      <c r="V331" s="11">
        <f t="shared" si="21"/>
        <v>5607</v>
      </c>
      <c r="W331" s="11">
        <f t="shared" si="22"/>
        <v>621</v>
      </c>
      <c r="X331" t="str">
        <f t="shared" si="23"/>
        <v>Returned</v>
      </c>
    </row>
    <row r="332" spans="1:24" ht="12.5" x14ac:dyDescent="0.25">
      <c r="A332" s="2" t="s">
        <v>1321</v>
      </c>
      <c r="B332" s="2" t="s">
        <v>271</v>
      </c>
      <c r="C332" s="2" t="s">
        <v>1322</v>
      </c>
      <c r="D332" s="7" t="s">
        <v>1323</v>
      </c>
      <c r="E332" s="7" t="s">
        <v>48</v>
      </c>
      <c r="F332" s="7" t="s">
        <v>25</v>
      </c>
      <c r="G332" s="5">
        <v>4851</v>
      </c>
      <c r="H332" s="5">
        <v>40</v>
      </c>
      <c r="I332" s="5">
        <v>2911</v>
      </c>
      <c r="J332" s="5">
        <v>2</v>
      </c>
      <c r="K332" s="2" t="s">
        <v>163</v>
      </c>
      <c r="L332" s="7" t="s">
        <v>73</v>
      </c>
      <c r="M332" s="4">
        <v>4.9000000000000004</v>
      </c>
      <c r="N332" s="5">
        <v>145</v>
      </c>
      <c r="O332" s="3">
        <v>45779</v>
      </c>
      <c r="P332" s="7" t="s">
        <v>2390</v>
      </c>
      <c r="Q332" s="7" t="s">
        <v>65</v>
      </c>
      <c r="R332" s="7" t="s">
        <v>58</v>
      </c>
      <c r="S332" s="7" t="s">
        <v>59</v>
      </c>
      <c r="T332" s="7"/>
      <c r="U332" s="11">
        <f t="shared" si="20"/>
        <v>9702</v>
      </c>
      <c r="V332" s="11">
        <f t="shared" si="21"/>
        <v>5822</v>
      </c>
      <c r="W332" s="11">
        <f t="shared" si="22"/>
        <v>3880</v>
      </c>
      <c r="X332" t="str">
        <f t="shared" si="23"/>
        <v>Completed</v>
      </c>
    </row>
    <row r="333" spans="1:24" ht="12.5" x14ac:dyDescent="0.25">
      <c r="A333" s="2" t="s">
        <v>1324</v>
      </c>
      <c r="B333" s="2" t="s">
        <v>1325</v>
      </c>
      <c r="C333" s="2" t="s">
        <v>1326</v>
      </c>
      <c r="D333" s="7" t="s">
        <v>1327</v>
      </c>
      <c r="E333" s="7" t="s">
        <v>48</v>
      </c>
      <c r="F333" s="7" t="s">
        <v>25</v>
      </c>
      <c r="G333" s="5">
        <v>3223</v>
      </c>
      <c r="H333" s="5">
        <v>20</v>
      </c>
      <c r="I333" s="5">
        <v>2579</v>
      </c>
      <c r="J333" s="5">
        <v>1</v>
      </c>
      <c r="K333" s="2" t="s">
        <v>56</v>
      </c>
      <c r="L333" s="7" t="s">
        <v>64</v>
      </c>
      <c r="M333" s="4">
        <v>4.5999999999999996</v>
      </c>
      <c r="N333" s="5">
        <v>284</v>
      </c>
      <c r="O333" s="3">
        <v>45770</v>
      </c>
      <c r="P333" s="7" t="s">
        <v>2392</v>
      </c>
      <c r="Q333" s="7" t="s">
        <v>78</v>
      </c>
      <c r="R333" s="7" t="s">
        <v>58</v>
      </c>
      <c r="S333" s="7" t="s">
        <v>59</v>
      </c>
      <c r="T333" s="7"/>
      <c r="U333" s="11">
        <f t="shared" si="20"/>
        <v>3223</v>
      </c>
      <c r="V333" s="11">
        <f t="shared" si="21"/>
        <v>2579</v>
      </c>
      <c r="W333" s="11">
        <f t="shared" si="22"/>
        <v>644</v>
      </c>
      <c r="X333" t="str">
        <f t="shared" si="23"/>
        <v>Cancelled</v>
      </c>
    </row>
    <row r="334" spans="1:24" ht="12.5" x14ac:dyDescent="0.25">
      <c r="A334" s="2" t="s">
        <v>1328</v>
      </c>
      <c r="B334" s="2" t="s">
        <v>456</v>
      </c>
      <c r="C334" s="2" t="s">
        <v>1329</v>
      </c>
      <c r="D334" s="7" t="s">
        <v>1330</v>
      </c>
      <c r="E334" s="7" t="s">
        <v>55</v>
      </c>
      <c r="F334" s="7" t="s">
        <v>38</v>
      </c>
      <c r="G334" s="5">
        <v>3210</v>
      </c>
      <c r="H334" s="5">
        <v>25</v>
      </c>
      <c r="I334" s="5">
        <v>2408</v>
      </c>
      <c r="J334" s="5">
        <v>2</v>
      </c>
      <c r="K334" s="2">
        <v>44</v>
      </c>
      <c r="L334" s="7" t="s">
        <v>168</v>
      </c>
      <c r="M334" s="4">
        <v>4.0999999999999996</v>
      </c>
      <c r="N334" s="5">
        <v>192</v>
      </c>
      <c r="O334" s="3">
        <v>45797</v>
      </c>
      <c r="P334" s="7" t="s">
        <v>2390</v>
      </c>
      <c r="Q334" s="7" t="s">
        <v>29</v>
      </c>
      <c r="R334" s="7" t="s">
        <v>104</v>
      </c>
      <c r="S334" s="7" t="s">
        <v>105</v>
      </c>
      <c r="T334" s="7"/>
      <c r="U334" s="11">
        <f t="shared" si="20"/>
        <v>6420</v>
      </c>
      <c r="V334" s="11">
        <f t="shared" si="21"/>
        <v>4816</v>
      </c>
      <c r="W334" s="11">
        <f t="shared" si="22"/>
        <v>1604</v>
      </c>
      <c r="X334" t="str">
        <f t="shared" si="23"/>
        <v>Completed</v>
      </c>
    </row>
    <row r="335" spans="1:24" ht="12.5" x14ac:dyDescent="0.25">
      <c r="A335" s="2" t="s">
        <v>1331</v>
      </c>
      <c r="B335" s="2" t="s">
        <v>1332</v>
      </c>
      <c r="C335" s="2" t="s">
        <v>1333</v>
      </c>
      <c r="D335" s="7" t="s">
        <v>1334</v>
      </c>
      <c r="E335" s="7" t="s">
        <v>208</v>
      </c>
      <c r="F335" s="7" t="s">
        <v>117</v>
      </c>
      <c r="G335" s="5">
        <v>4572</v>
      </c>
      <c r="H335" s="5">
        <v>15</v>
      </c>
      <c r="I335" s="5">
        <v>3887</v>
      </c>
      <c r="J335" s="5">
        <v>3</v>
      </c>
      <c r="K335" s="2" t="s">
        <v>26</v>
      </c>
      <c r="L335" s="7" t="s">
        <v>103</v>
      </c>
      <c r="M335" s="4">
        <v>4.2</v>
      </c>
      <c r="N335" s="5">
        <v>11</v>
      </c>
      <c r="O335" s="3">
        <v>45798</v>
      </c>
      <c r="P335" s="7" t="s">
        <v>2390</v>
      </c>
      <c r="Q335" s="7" t="s">
        <v>29</v>
      </c>
      <c r="R335" s="7" t="s">
        <v>89</v>
      </c>
      <c r="S335" s="7" t="s">
        <v>90</v>
      </c>
      <c r="T335" s="7"/>
      <c r="U335" s="11">
        <f t="shared" si="20"/>
        <v>13716</v>
      </c>
      <c r="V335" s="11">
        <f t="shared" si="21"/>
        <v>11661</v>
      </c>
      <c r="W335" s="11">
        <f t="shared" si="22"/>
        <v>2055</v>
      </c>
      <c r="X335" t="str">
        <f t="shared" si="23"/>
        <v>Completed</v>
      </c>
    </row>
    <row r="336" spans="1:24" ht="12.5" x14ac:dyDescent="0.25">
      <c r="A336" s="2" t="s">
        <v>1335</v>
      </c>
      <c r="B336" s="2" t="s">
        <v>1336</v>
      </c>
      <c r="C336" s="2" t="s">
        <v>1337</v>
      </c>
      <c r="D336" s="7" t="s">
        <v>1338</v>
      </c>
      <c r="E336" s="7" t="s">
        <v>132</v>
      </c>
      <c r="F336" s="7" t="s">
        <v>38</v>
      </c>
      <c r="G336" s="5">
        <v>3145</v>
      </c>
      <c r="H336" s="5">
        <v>20</v>
      </c>
      <c r="I336" s="5">
        <v>2516</v>
      </c>
      <c r="J336" s="5">
        <v>3</v>
      </c>
      <c r="K336" s="2" t="s">
        <v>72</v>
      </c>
      <c r="L336" s="7" t="s">
        <v>209</v>
      </c>
      <c r="M336" s="4">
        <v>3.6</v>
      </c>
      <c r="N336" s="5">
        <v>132</v>
      </c>
      <c r="O336" s="3">
        <v>45843</v>
      </c>
      <c r="P336" s="7" t="s">
        <v>2392</v>
      </c>
      <c r="Q336" s="7" t="s">
        <v>65</v>
      </c>
      <c r="R336" s="7" t="s">
        <v>89</v>
      </c>
      <c r="S336" s="7" t="s">
        <v>90</v>
      </c>
      <c r="T336" s="7"/>
      <c r="U336" s="11">
        <f t="shared" si="20"/>
        <v>9435</v>
      </c>
      <c r="V336" s="11">
        <f t="shared" si="21"/>
        <v>7548</v>
      </c>
      <c r="W336" s="11">
        <f t="shared" si="22"/>
        <v>1887</v>
      </c>
      <c r="X336" t="str">
        <f t="shared" si="23"/>
        <v>Cancelled</v>
      </c>
    </row>
    <row r="337" spans="1:24" ht="12.5" x14ac:dyDescent="0.25">
      <c r="A337" s="2" t="s">
        <v>1339</v>
      </c>
      <c r="B337" s="2" t="s">
        <v>436</v>
      </c>
      <c r="C337" s="2" t="s">
        <v>1340</v>
      </c>
      <c r="D337" s="7" t="s">
        <v>1341</v>
      </c>
      <c r="E337" s="7" t="s">
        <v>37</v>
      </c>
      <c r="F337" s="7" t="s">
        <v>38</v>
      </c>
      <c r="G337" s="5">
        <v>4846</v>
      </c>
      <c r="H337" s="5">
        <v>30</v>
      </c>
      <c r="I337" s="5">
        <v>3393</v>
      </c>
      <c r="J337" s="5">
        <v>2</v>
      </c>
      <c r="K337" s="2" t="s">
        <v>32</v>
      </c>
      <c r="L337" s="7" t="s">
        <v>39</v>
      </c>
      <c r="M337" s="4">
        <v>4.3</v>
      </c>
      <c r="N337" s="5">
        <v>261</v>
      </c>
      <c r="O337" s="3">
        <v>45804</v>
      </c>
      <c r="P337" s="7" t="s">
        <v>2390</v>
      </c>
      <c r="Q337" s="7" t="s">
        <v>29</v>
      </c>
      <c r="R337" s="7" t="s">
        <v>104</v>
      </c>
      <c r="S337" s="7" t="s">
        <v>105</v>
      </c>
      <c r="T337" s="7"/>
      <c r="U337" s="11">
        <f t="shared" si="20"/>
        <v>9692</v>
      </c>
      <c r="V337" s="11">
        <f t="shared" si="21"/>
        <v>6786</v>
      </c>
      <c r="W337" s="11">
        <f t="shared" si="22"/>
        <v>2906</v>
      </c>
      <c r="X337" t="str">
        <f t="shared" si="23"/>
        <v>Completed</v>
      </c>
    </row>
    <row r="338" spans="1:24" ht="12.5" x14ac:dyDescent="0.25">
      <c r="A338" s="2" t="s">
        <v>1342</v>
      </c>
      <c r="B338" s="2" t="s">
        <v>61</v>
      </c>
      <c r="C338" s="2" t="s">
        <v>1343</v>
      </c>
      <c r="D338" s="7" t="s">
        <v>1344</v>
      </c>
      <c r="E338" s="7" t="s">
        <v>122</v>
      </c>
      <c r="F338" s="7" t="s">
        <v>123</v>
      </c>
      <c r="G338" s="5">
        <v>4938</v>
      </c>
      <c r="H338" s="5">
        <v>25</v>
      </c>
      <c r="I338" s="5">
        <v>3704</v>
      </c>
      <c r="J338" s="5">
        <v>1</v>
      </c>
      <c r="K338" s="2" t="s">
        <v>32</v>
      </c>
      <c r="L338" s="7" t="s">
        <v>133</v>
      </c>
      <c r="M338" s="4">
        <v>4.3</v>
      </c>
      <c r="N338" s="5">
        <v>10</v>
      </c>
      <c r="O338" s="3">
        <v>45844</v>
      </c>
      <c r="P338" s="7" t="s">
        <v>2390</v>
      </c>
      <c r="Q338" s="7" t="s">
        <v>78</v>
      </c>
      <c r="R338" s="7" t="s">
        <v>83</v>
      </c>
      <c r="S338" s="7" t="s">
        <v>83</v>
      </c>
      <c r="T338" s="7"/>
      <c r="U338" s="11">
        <f t="shared" si="20"/>
        <v>4938</v>
      </c>
      <c r="V338" s="11">
        <f t="shared" si="21"/>
        <v>3704</v>
      </c>
      <c r="W338" s="11">
        <f t="shared" si="22"/>
        <v>1234</v>
      </c>
      <c r="X338" t="str">
        <f t="shared" si="23"/>
        <v>Completed</v>
      </c>
    </row>
    <row r="339" spans="1:24" ht="12.5" x14ac:dyDescent="0.25">
      <c r="A339" s="2" t="s">
        <v>1345</v>
      </c>
      <c r="B339" s="2" t="s">
        <v>263</v>
      </c>
      <c r="C339" s="2" t="s">
        <v>1346</v>
      </c>
      <c r="D339" s="7" t="s">
        <v>1347</v>
      </c>
      <c r="E339" s="7" t="s">
        <v>24</v>
      </c>
      <c r="F339" s="7" t="s">
        <v>25</v>
      </c>
      <c r="G339" s="5">
        <v>4175</v>
      </c>
      <c r="H339" s="5">
        <v>25</v>
      </c>
      <c r="I339" s="5">
        <v>3132</v>
      </c>
      <c r="J339" s="5">
        <v>1</v>
      </c>
      <c r="K339" s="2" t="s">
        <v>261</v>
      </c>
      <c r="L339" s="7" t="s">
        <v>88</v>
      </c>
      <c r="M339" s="4">
        <v>3.6</v>
      </c>
      <c r="N339" s="5">
        <v>184</v>
      </c>
      <c r="O339" s="3">
        <v>45839</v>
      </c>
      <c r="P339" s="7" t="s">
        <v>2390</v>
      </c>
      <c r="Q339" s="7" t="s">
        <v>78</v>
      </c>
      <c r="R339" s="7" t="s">
        <v>149</v>
      </c>
      <c r="S339" s="7" t="s">
        <v>150</v>
      </c>
      <c r="T339" s="7"/>
      <c r="U339" s="11">
        <f t="shared" si="20"/>
        <v>4175</v>
      </c>
      <c r="V339" s="11">
        <f t="shared" si="21"/>
        <v>3132</v>
      </c>
      <c r="W339" s="11">
        <f t="shared" si="22"/>
        <v>1043</v>
      </c>
      <c r="X339" t="str">
        <f t="shared" si="23"/>
        <v>Completed</v>
      </c>
    </row>
    <row r="340" spans="1:24" ht="12.5" x14ac:dyDescent="0.25">
      <c r="A340" s="2" t="s">
        <v>1348</v>
      </c>
      <c r="B340" s="2" t="s">
        <v>1018</v>
      </c>
      <c r="C340" s="2" t="s">
        <v>1349</v>
      </c>
      <c r="D340" s="7" t="s">
        <v>1350</v>
      </c>
      <c r="E340" s="7" t="s">
        <v>247</v>
      </c>
      <c r="F340" s="7" t="s">
        <v>248</v>
      </c>
      <c r="G340" s="5">
        <v>3082</v>
      </c>
      <c r="H340" s="5">
        <v>25</v>
      </c>
      <c r="I340" s="5">
        <v>2312</v>
      </c>
      <c r="J340" s="5">
        <v>1</v>
      </c>
      <c r="K340" s="2" t="s">
        <v>226</v>
      </c>
      <c r="L340" s="7" t="s">
        <v>49</v>
      </c>
      <c r="M340" s="4">
        <v>4.7</v>
      </c>
      <c r="N340" s="5">
        <v>93</v>
      </c>
      <c r="O340" s="3">
        <v>45826</v>
      </c>
      <c r="P340" s="7" t="s">
        <v>2390</v>
      </c>
      <c r="Q340" s="7" t="s">
        <v>65</v>
      </c>
      <c r="R340" s="7" t="s">
        <v>89</v>
      </c>
      <c r="S340" s="7" t="s">
        <v>90</v>
      </c>
      <c r="T340" s="7"/>
      <c r="U340" s="11">
        <f t="shared" si="20"/>
        <v>3082</v>
      </c>
      <c r="V340" s="11">
        <f t="shared" si="21"/>
        <v>2312</v>
      </c>
      <c r="W340" s="11">
        <f t="shared" si="22"/>
        <v>770</v>
      </c>
      <c r="X340" t="str">
        <f t="shared" si="23"/>
        <v>Completed</v>
      </c>
    </row>
    <row r="341" spans="1:24" ht="12.5" x14ac:dyDescent="0.25">
      <c r="A341" s="2" t="s">
        <v>1351</v>
      </c>
      <c r="B341" s="2" t="s">
        <v>1352</v>
      </c>
      <c r="C341" s="2" t="s">
        <v>1353</v>
      </c>
      <c r="D341" s="7" t="s">
        <v>1354</v>
      </c>
      <c r="E341" s="7" t="s">
        <v>208</v>
      </c>
      <c r="F341" s="7" t="s">
        <v>117</v>
      </c>
      <c r="G341" s="5">
        <v>1376</v>
      </c>
      <c r="H341" s="5">
        <v>20</v>
      </c>
      <c r="I341" s="5">
        <v>1101</v>
      </c>
      <c r="J341" s="5">
        <v>2</v>
      </c>
      <c r="K341" s="2" t="s">
        <v>226</v>
      </c>
      <c r="L341" s="7" t="s">
        <v>64</v>
      </c>
      <c r="M341" s="4">
        <v>3.7</v>
      </c>
      <c r="N341" s="5">
        <v>16</v>
      </c>
      <c r="O341" s="3">
        <v>45830</v>
      </c>
      <c r="P341" s="7" t="s">
        <v>2392</v>
      </c>
      <c r="Q341" s="7" t="s">
        <v>65</v>
      </c>
      <c r="R341" s="7" t="s">
        <v>83</v>
      </c>
      <c r="S341" s="7" t="s">
        <v>83</v>
      </c>
      <c r="T341" s="7"/>
      <c r="U341" s="11">
        <f t="shared" si="20"/>
        <v>2752</v>
      </c>
      <c r="V341" s="11">
        <f t="shared" si="21"/>
        <v>2202</v>
      </c>
      <c r="W341" s="11">
        <f t="shared" si="22"/>
        <v>550</v>
      </c>
      <c r="X341" t="str">
        <f t="shared" si="23"/>
        <v>Cancelled</v>
      </c>
    </row>
    <row r="342" spans="1:24" ht="12.5" x14ac:dyDescent="0.25">
      <c r="A342" s="2" t="s">
        <v>1355</v>
      </c>
      <c r="B342" s="2" t="s">
        <v>215</v>
      </c>
      <c r="C342" s="2" t="s">
        <v>1356</v>
      </c>
      <c r="D342" s="7" t="s">
        <v>1357</v>
      </c>
      <c r="E342" s="7" t="s">
        <v>147</v>
      </c>
      <c r="F342" s="7" t="s">
        <v>148</v>
      </c>
      <c r="G342" s="5">
        <v>954</v>
      </c>
      <c r="H342" s="5">
        <v>15</v>
      </c>
      <c r="I342" s="5">
        <v>811</v>
      </c>
      <c r="J342" s="5">
        <v>3</v>
      </c>
      <c r="K342" s="2" t="s">
        <v>261</v>
      </c>
      <c r="L342" s="7" t="s">
        <v>103</v>
      </c>
      <c r="M342" s="4">
        <v>4.2</v>
      </c>
      <c r="N342" s="5">
        <v>198</v>
      </c>
      <c r="O342" s="3">
        <v>45821</v>
      </c>
      <c r="P342" s="7" t="s">
        <v>2391</v>
      </c>
      <c r="Q342" s="7" t="s">
        <v>65</v>
      </c>
      <c r="R342" s="7" t="s">
        <v>110</v>
      </c>
      <c r="S342" s="7" t="s">
        <v>111</v>
      </c>
      <c r="T342" s="7"/>
      <c r="U342" s="11">
        <f t="shared" si="20"/>
        <v>2862</v>
      </c>
      <c r="V342" s="11">
        <f t="shared" si="21"/>
        <v>2433</v>
      </c>
      <c r="W342" s="11">
        <f t="shared" si="22"/>
        <v>429</v>
      </c>
      <c r="X342" t="str">
        <f t="shared" si="23"/>
        <v>Returned</v>
      </c>
    </row>
    <row r="343" spans="1:24" ht="12.5" x14ac:dyDescent="0.25">
      <c r="A343" s="2" t="s">
        <v>1358</v>
      </c>
      <c r="B343" s="2" t="s">
        <v>1359</v>
      </c>
      <c r="C343" s="2" t="s">
        <v>1360</v>
      </c>
      <c r="D343" s="7" t="s">
        <v>1361</v>
      </c>
      <c r="E343" s="7" t="s">
        <v>122</v>
      </c>
      <c r="F343" s="7" t="s">
        <v>123</v>
      </c>
      <c r="G343" s="5">
        <v>2580</v>
      </c>
      <c r="H343" s="5">
        <v>10</v>
      </c>
      <c r="I343" s="5">
        <v>2322</v>
      </c>
      <c r="J343" s="5">
        <v>2</v>
      </c>
      <c r="K343" s="2" t="s">
        <v>261</v>
      </c>
      <c r="L343" s="7" t="s">
        <v>73</v>
      </c>
      <c r="M343" s="4">
        <v>3.8</v>
      </c>
      <c r="N343" s="5">
        <v>207</v>
      </c>
      <c r="O343" s="3">
        <v>45841</v>
      </c>
      <c r="P343" s="7" t="s">
        <v>2391</v>
      </c>
      <c r="Q343" s="7" t="s">
        <v>78</v>
      </c>
      <c r="R343" s="7" t="s">
        <v>89</v>
      </c>
      <c r="S343" s="7" t="s">
        <v>90</v>
      </c>
      <c r="T343" s="7"/>
      <c r="U343" s="11">
        <f t="shared" si="20"/>
        <v>5160</v>
      </c>
      <c r="V343" s="11">
        <f t="shared" si="21"/>
        <v>4644</v>
      </c>
      <c r="W343" s="11">
        <f t="shared" si="22"/>
        <v>516</v>
      </c>
      <c r="X343" t="str">
        <f t="shared" si="23"/>
        <v>Returned</v>
      </c>
    </row>
    <row r="344" spans="1:24" ht="12.5" x14ac:dyDescent="0.25">
      <c r="A344" s="2" t="s">
        <v>1362</v>
      </c>
      <c r="B344" s="2" t="s">
        <v>1363</v>
      </c>
      <c r="C344" s="2" t="s">
        <v>1364</v>
      </c>
      <c r="D344" s="7" t="s">
        <v>1365</v>
      </c>
      <c r="E344" s="7" t="s">
        <v>208</v>
      </c>
      <c r="F344" s="7" t="s">
        <v>117</v>
      </c>
      <c r="G344" s="5">
        <v>3283</v>
      </c>
      <c r="H344" s="5">
        <v>10</v>
      </c>
      <c r="I344" s="5">
        <v>2955</v>
      </c>
      <c r="J344" s="5">
        <v>3</v>
      </c>
      <c r="K344" s="2">
        <v>44</v>
      </c>
      <c r="L344" s="7" t="s">
        <v>133</v>
      </c>
      <c r="M344" s="4">
        <v>4.9000000000000004</v>
      </c>
      <c r="N344" s="5">
        <v>128</v>
      </c>
      <c r="O344" s="3">
        <v>45810</v>
      </c>
      <c r="P344" s="7" t="s">
        <v>2391</v>
      </c>
      <c r="Q344" s="7" t="s">
        <v>29</v>
      </c>
      <c r="R344" s="7" t="s">
        <v>185</v>
      </c>
      <c r="S344" s="7" t="s">
        <v>186</v>
      </c>
      <c r="T344" s="7"/>
      <c r="U344" s="11">
        <f t="shared" si="20"/>
        <v>9849</v>
      </c>
      <c r="V344" s="11">
        <f t="shared" si="21"/>
        <v>8865</v>
      </c>
      <c r="W344" s="11">
        <f t="shared" si="22"/>
        <v>984</v>
      </c>
      <c r="X344" t="str">
        <f t="shared" si="23"/>
        <v>Returned</v>
      </c>
    </row>
    <row r="345" spans="1:24" ht="12.5" x14ac:dyDescent="0.25">
      <c r="A345" s="2" t="s">
        <v>1366</v>
      </c>
      <c r="B345" s="2" t="s">
        <v>1367</v>
      </c>
      <c r="C345" s="2" t="s">
        <v>1368</v>
      </c>
      <c r="D345" s="7" t="s">
        <v>1369</v>
      </c>
      <c r="E345" s="7" t="s">
        <v>116</v>
      </c>
      <c r="F345" s="7" t="s">
        <v>117</v>
      </c>
      <c r="G345" s="5">
        <v>2832</v>
      </c>
      <c r="H345" s="5">
        <v>35</v>
      </c>
      <c r="I345" s="5">
        <v>1841</v>
      </c>
      <c r="J345" s="5">
        <v>1</v>
      </c>
      <c r="K345" s="2" t="s">
        <v>72</v>
      </c>
      <c r="L345" s="7" t="s">
        <v>168</v>
      </c>
      <c r="M345" s="4">
        <v>3.8</v>
      </c>
      <c r="N345" s="5">
        <v>129</v>
      </c>
      <c r="O345" s="3">
        <v>45784</v>
      </c>
      <c r="P345" s="7" t="s">
        <v>2392</v>
      </c>
      <c r="Q345" s="7" t="s">
        <v>78</v>
      </c>
      <c r="R345" s="7" t="s">
        <v>149</v>
      </c>
      <c r="S345" s="7" t="s">
        <v>150</v>
      </c>
      <c r="T345" s="7"/>
      <c r="U345" s="11">
        <f t="shared" si="20"/>
        <v>2832</v>
      </c>
      <c r="V345" s="11">
        <f t="shared" si="21"/>
        <v>1841</v>
      </c>
      <c r="W345" s="11">
        <f t="shared" si="22"/>
        <v>991</v>
      </c>
      <c r="X345" t="str">
        <f t="shared" si="23"/>
        <v>Cancelled</v>
      </c>
    </row>
    <row r="346" spans="1:24" ht="12.5" x14ac:dyDescent="0.25">
      <c r="A346" s="2" t="s">
        <v>1370</v>
      </c>
      <c r="B346" s="2" t="s">
        <v>850</v>
      </c>
      <c r="C346" s="2" t="s">
        <v>1371</v>
      </c>
      <c r="D346" s="7" t="s">
        <v>1372</v>
      </c>
      <c r="E346" s="7" t="s">
        <v>122</v>
      </c>
      <c r="F346" s="7" t="s">
        <v>123</v>
      </c>
      <c r="G346" s="5">
        <v>4167</v>
      </c>
      <c r="H346" s="5">
        <v>30</v>
      </c>
      <c r="I346" s="5">
        <v>2917</v>
      </c>
      <c r="J346" s="5">
        <v>3</v>
      </c>
      <c r="K346" s="2">
        <v>44</v>
      </c>
      <c r="L346" s="7" t="s">
        <v>64</v>
      </c>
      <c r="M346" s="4">
        <v>4.0999999999999996</v>
      </c>
      <c r="N346" s="5">
        <v>41</v>
      </c>
      <c r="O346" s="3">
        <v>45824</v>
      </c>
      <c r="P346" s="7" t="s">
        <v>2391</v>
      </c>
      <c r="Q346" s="7" t="s">
        <v>65</v>
      </c>
      <c r="R346" s="7" t="s">
        <v>149</v>
      </c>
      <c r="S346" s="7" t="s">
        <v>150</v>
      </c>
      <c r="T346" s="7" t="s">
        <v>134</v>
      </c>
      <c r="U346" s="11">
        <f t="shared" si="20"/>
        <v>12501</v>
      </c>
      <c r="V346" s="11">
        <f t="shared" si="21"/>
        <v>8751</v>
      </c>
      <c r="W346" s="11">
        <f t="shared" si="22"/>
        <v>3750</v>
      </c>
      <c r="X346" t="str">
        <f t="shared" si="23"/>
        <v>Returned</v>
      </c>
    </row>
    <row r="347" spans="1:24" ht="12.5" x14ac:dyDescent="0.25">
      <c r="A347" s="2" t="s">
        <v>1373</v>
      </c>
      <c r="B347" s="2" t="s">
        <v>1374</v>
      </c>
      <c r="C347" s="2" t="s">
        <v>1375</v>
      </c>
      <c r="D347" s="7" t="s">
        <v>1376</v>
      </c>
      <c r="E347" s="7" t="s">
        <v>247</v>
      </c>
      <c r="F347" s="7" t="s">
        <v>248</v>
      </c>
      <c r="G347" s="5">
        <v>4271</v>
      </c>
      <c r="H347" s="5">
        <v>10</v>
      </c>
      <c r="I347" s="5">
        <v>3844</v>
      </c>
      <c r="J347" s="5">
        <v>2</v>
      </c>
      <c r="K347" s="2" t="s">
        <v>26</v>
      </c>
      <c r="L347" s="7" t="s">
        <v>27</v>
      </c>
      <c r="M347" s="4">
        <v>4.5999999999999996</v>
      </c>
      <c r="N347" s="5">
        <v>41</v>
      </c>
      <c r="O347" s="3">
        <v>45803</v>
      </c>
      <c r="P347" s="7" t="s">
        <v>2391</v>
      </c>
      <c r="Q347" s="7" t="s">
        <v>78</v>
      </c>
      <c r="R347" s="7" t="s">
        <v>149</v>
      </c>
      <c r="S347" s="7" t="s">
        <v>150</v>
      </c>
      <c r="T347" s="7" t="s">
        <v>43</v>
      </c>
      <c r="U347" s="11">
        <f t="shared" si="20"/>
        <v>8542</v>
      </c>
      <c r="V347" s="11">
        <f t="shared" si="21"/>
        <v>7688</v>
      </c>
      <c r="W347" s="11">
        <f t="shared" si="22"/>
        <v>854</v>
      </c>
      <c r="X347" t="str">
        <f t="shared" si="23"/>
        <v>Returned</v>
      </c>
    </row>
    <row r="348" spans="1:24" ht="12.5" x14ac:dyDescent="0.25">
      <c r="A348" s="2" t="s">
        <v>1377</v>
      </c>
      <c r="B348" s="2" t="s">
        <v>1378</v>
      </c>
      <c r="C348" s="2" t="s">
        <v>1379</v>
      </c>
      <c r="D348" s="7" t="s">
        <v>1380</v>
      </c>
      <c r="E348" s="7" t="s">
        <v>48</v>
      </c>
      <c r="F348" s="7" t="s">
        <v>25</v>
      </c>
      <c r="G348" s="5">
        <v>1963</v>
      </c>
      <c r="H348" s="5">
        <v>20</v>
      </c>
      <c r="I348" s="5">
        <v>1571</v>
      </c>
      <c r="J348" s="5">
        <v>1</v>
      </c>
      <c r="K348" s="2">
        <v>40</v>
      </c>
      <c r="L348" s="7" t="s">
        <v>27</v>
      </c>
      <c r="M348" s="4">
        <v>4.0999999999999996</v>
      </c>
      <c r="N348" s="5">
        <v>176</v>
      </c>
      <c r="O348" s="3">
        <v>45800</v>
      </c>
      <c r="P348" s="7" t="s">
        <v>2392</v>
      </c>
      <c r="Q348" s="7" t="s">
        <v>65</v>
      </c>
      <c r="R348" s="7" t="s">
        <v>30</v>
      </c>
      <c r="S348" s="7" t="s">
        <v>31</v>
      </c>
      <c r="T348" s="7"/>
      <c r="U348" s="11">
        <f t="shared" si="20"/>
        <v>1963</v>
      </c>
      <c r="V348" s="11">
        <f t="shared" si="21"/>
        <v>1571</v>
      </c>
      <c r="W348" s="11">
        <f t="shared" si="22"/>
        <v>392</v>
      </c>
      <c r="X348" t="str">
        <f t="shared" si="23"/>
        <v>Cancelled</v>
      </c>
    </row>
    <row r="349" spans="1:24" ht="12.5" x14ac:dyDescent="0.25">
      <c r="A349" s="2" t="s">
        <v>1381</v>
      </c>
      <c r="B349" s="2" t="s">
        <v>1140</v>
      </c>
      <c r="C349" s="2" t="s">
        <v>1382</v>
      </c>
      <c r="D349" s="7" t="s">
        <v>1383</v>
      </c>
      <c r="E349" s="7" t="s">
        <v>37</v>
      </c>
      <c r="F349" s="7" t="s">
        <v>38</v>
      </c>
      <c r="G349" s="5">
        <v>4941</v>
      </c>
      <c r="H349" s="5">
        <v>30</v>
      </c>
      <c r="I349" s="5">
        <v>3459</v>
      </c>
      <c r="J349" s="5">
        <v>1</v>
      </c>
      <c r="K349" s="2" t="s">
        <v>56</v>
      </c>
      <c r="L349" s="7" t="s">
        <v>103</v>
      </c>
      <c r="M349" s="4">
        <v>4.0999999999999996</v>
      </c>
      <c r="N349" s="5">
        <v>89</v>
      </c>
      <c r="O349" s="3">
        <v>45845</v>
      </c>
      <c r="P349" s="7" t="s">
        <v>2391</v>
      </c>
      <c r="Q349" s="7" t="s">
        <v>78</v>
      </c>
      <c r="R349" s="7" t="s">
        <v>41</v>
      </c>
      <c r="S349" s="7" t="s">
        <v>42</v>
      </c>
      <c r="T349" s="7" t="s">
        <v>134</v>
      </c>
      <c r="U349" s="11">
        <f t="shared" si="20"/>
        <v>4941</v>
      </c>
      <c r="V349" s="11">
        <f t="shared" si="21"/>
        <v>3459</v>
      </c>
      <c r="W349" s="11">
        <f t="shared" si="22"/>
        <v>1482</v>
      </c>
      <c r="X349" t="str">
        <f t="shared" si="23"/>
        <v>Returned</v>
      </c>
    </row>
    <row r="350" spans="1:24" ht="12.5" x14ac:dyDescent="0.25">
      <c r="A350" s="2" t="s">
        <v>1384</v>
      </c>
      <c r="B350" s="2" t="s">
        <v>1385</v>
      </c>
      <c r="C350" s="2" t="s">
        <v>1386</v>
      </c>
      <c r="D350" s="7" t="s">
        <v>1387</v>
      </c>
      <c r="E350" s="7" t="s">
        <v>247</v>
      </c>
      <c r="F350" s="7" t="s">
        <v>248</v>
      </c>
      <c r="G350" s="5">
        <v>1055</v>
      </c>
      <c r="H350" s="5">
        <v>20</v>
      </c>
      <c r="I350" s="5">
        <v>844</v>
      </c>
      <c r="J350" s="5">
        <v>2</v>
      </c>
      <c r="K350" s="2" t="s">
        <v>56</v>
      </c>
      <c r="L350" s="7" t="s">
        <v>49</v>
      </c>
      <c r="M350" s="4">
        <v>4.4000000000000004</v>
      </c>
      <c r="N350" s="5">
        <v>74</v>
      </c>
      <c r="O350" s="3">
        <v>45858</v>
      </c>
      <c r="P350" s="7" t="s">
        <v>2392</v>
      </c>
      <c r="Q350" s="7" t="s">
        <v>29</v>
      </c>
      <c r="R350" s="7" t="s">
        <v>149</v>
      </c>
      <c r="S350" s="7" t="s">
        <v>150</v>
      </c>
      <c r="T350" s="7"/>
      <c r="U350" s="11">
        <f t="shared" si="20"/>
        <v>2110</v>
      </c>
      <c r="V350" s="11">
        <f t="shared" si="21"/>
        <v>1688</v>
      </c>
      <c r="W350" s="11">
        <f t="shared" si="22"/>
        <v>422</v>
      </c>
      <c r="X350" t="str">
        <f t="shared" si="23"/>
        <v>Cancelled</v>
      </c>
    </row>
    <row r="351" spans="1:24" ht="12.5" x14ac:dyDescent="0.25">
      <c r="A351" s="2" t="s">
        <v>1388</v>
      </c>
      <c r="B351" s="2" t="s">
        <v>1389</v>
      </c>
      <c r="C351" s="2" t="s">
        <v>1390</v>
      </c>
      <c r="D351" s="7" t="s">
        <v>1391</v>
      </c>
      <c r="E351" s="7" t="s">
        <v>132</v>
      </c>
      <c r="F351" s="7" t="s">
        <v>38</v>
      </c>
      <c r="G351" s="5">
        <v>2105</v>
      </c>
      <c r="H351" s="5">
        <v>35</v>
      </c>
      <c r="I351" s="5">
        <v>1369</v>
      </c>
      <c r="J351" s="5">
        <v>1</v>
      </c>
      <c r="K351" s="2">
        <v>40</v>
      </c>
      <c r="L351" s="7" t="s">
        <v>64</v>
      </c>
      <c r="M351" s="4">
        <v>4.9000000000000004</v>
      </c>
      <c r="N351" s="5">
        <v>22</v>
      </c>
      <c r="O351" s="3">
        <v>45833</v>
      </c>
      <c r="P351" s="7" t="s">
        <v>2392</v>
      </c>
      <c r="Q351" s="7" t="s">
        <v>65</v>
      </c>
      <c r="R351" s="7" t="s">
        <v>30</v>
      </c>
      <c r="S351" s="7" t="s">
        <v>31</v>
      </c>
      <c r="T351" s="7"/>
      <c r="U351" s="11">
        <f t="shared" si="20"/>
        <v>2105</v>
      </c>
      <c r="V351" s="11">
        <f t="shared" si="21"/>
        <v>1369</v>
      </c>
      <c r="W351" s="11">
        <f t="shared" si="22"/>
        <v>736</v>
      </c>
      <c r="X351" t="str">
        <f t="shared" si="23"/>
        <v>Cancelled</v>
      </c>
    </row>
    <row r="352" spans="1:24" ht="12.5" x14ac:dyDescent="0.25">
      <c r="A352" s="2" t="s">
        <v>1392</v>
      </c>
      <c r="B352" s="2" t="s">
        <v>858</v>
      </c>
      <c r="C352" s="2" t="s">
        <v>1393</v>
      </c>
      <c r="D352" s="7" t="s">
        <v>1394</v>
      </c>
      <c r="E352" s="7" t="s">
        <v>116</v>
      </c>
      <c r="F352" s="7" t="s">
        <v>117</v>
      </c>
      <c r="G352" s="5">
        <v>2487</v>
      </c>
      <c r="H352" s="5">
        <v>30</v>
      </c>
      <c r="I352" s="5">
        <v>1741</v>
      </c>
      <c r="J352" s="5">
        <v>1</v>
      </c>
      <c r="K352" s="2" t="s">
        <v>226</v>
      </c>
      <c r="L352" s="7" t="s">
        <v>168</v>
      </c>
      <c r="M352" s="4">
        <v>4.3</v>
      </c>
      <c r="N352" s="5">
        <v>198</v>
      </c>
      <c r="O352" s="3">
        <v>45835</v>
      </c>
      <c r="P352" s="7" t="s">
        <v>2392</v>
      </c>
      <c r="Q352" s="7" t="s">
        <v>78</v>
      </c>
      <c r="R352" s="7" t="s">
        <v>30</v>
      </c>
      <c r="S352" s="7" t="s">
        <v>31</v>
      </c>
      <c r="T352" s="7"/>
      <c r="U352" s="11">
        <f t="shared" si="20"/>
        <v>2487</v>
      </c>
      <c r="V352" s="11">
        <f t="shared" si="21"/>
        <v>1741</v>
      </c>
      <c r="W352" s="11">
        <f t="shared" si="22"/>
        <v>746</v>
      </c>
      <c r="X352" t="str">
        <f t="shared" si="23"/>
        <v>Cancelled</v>
      </c>
    </row>
    <row r="353" spans="1:24" ht="12.5" x14ac:dyDescent="0.25">
      <c r="A353" s="2" t="s">
        <v>1395</v>
      </c>
      <c r="B353" s="2" t="s">
        <v>1396</v>
      </c>
      <c r="C353" s="2" t="s">
        <v>1397</v>
      </c>
      <c r="D353" s="7" t="s">
        <v>1398</v>
      </c>
      <c r="E353" s="7" t="s">
        <v>247</v>
      </c>
      <c r="F353" s="7" t="s">
        <v>248</v>
      </c>
      <c r="G353" s="5">
        <v>3435</v>
      </c>
      <c r="H353" s="5">
        <v>35</v>
      </c>
      <c r="I353" s="5">
        <v>2233</v>
      </c>
      <c r="J353" s="5">
        <v>2</v>
      </c>
      <c r="K353" s="2">
        <v>42</v>
      </c>
      <c r="L353" s="7" t="s">
        <v>103</v>
      </c>
      <c r="M353" s="4">
        <v>3.5</v>
      </c>
      <c r="N353" s="5">
        <v>123</v>
      </c>
      <c r="O353" s="3">
        <v>45827</v>
      </c>
      <c r="P353" s="7" t="s">
        <v>2392</v>
      </c>
      <c r="Q353" s="7" t="s">
        <v>65</v>
      </c>
      <c r="R353" s="7" t="s">
        <v>30</v>
      </c>
      <c r="S353" s="7" t="s">
        <v>31</v>
      </c>
      <c r="T353" s="7"/>
      <c r="U353" s="11">
        <f t="shared" si="20"/>
        <v>6870</v>
      </c>
      <c r="V353" s="11">
        <f t="shared" si="21"/>
        <v>4466</v>
      </c>
      <c r="W353" s="11">
        <f t="shared" si="22"/>
        <v>2404</v>
      </c>
      <c r="X353" t="str">
        <f t="shared" si="23"/>
        <v>Cancelled</v>
      </c>
    </row>
    <row r="354" spans="1:24" ht="12.5" x14ac:dyDescent="0.25">
      <c r="A354" s="2" t="s">
        <v>1399</v>
      </c>
      <c r="B354" s="2" t="s">
        <v>258</v>
      </c>
      <c r="C354" s="2" t="s">
        <v>1400</v>
      </c>
      <c r="D354" s="7" t="s">
        <v>1401</v>
      </c>
      <c r="E354" s="7" t="s">
        <v>24</v>
      </c>
      <c r="F354" s="7" t="s">
        <v>25</v>
      </c>
      <c r="G354" s="5">
        <v>671</v>
      </c>
      <c r="H354" s="5">
        <v>15</v>
      </c>
      <c r="I354" s="5">
        <v>571</v>
      </c>
      <c r="J354" s="5">
        <v>1</v>
      </c>
      <c r="K354" s="2" t="s">
        <v>226</v>
      </c>
      <c r="L354" s="7" t="s">
        <v>27</v>
      </c>
      <c r="M354" s="4">
        <v>3.6</v>
      </c>
      <c r="N354" s="5">
        <v>78</v>
      </c>
      <c r="O354" s="3">
        <v>45856</v>
      </c>
      <c r="P354" s="7" t="s">
        <v>2392</v>
      </c>
      <c r="Q354" s="7" t="s">
        <v>65</v>
      </c>
      <c r="R354" s="7" t="s">
        <v>149</v>
      </c>
      <c r="S354" s="7" t="s">
        <v>150</v>
      </c>
      <c r="T354" s="7"/>
      <c r="U354" s="11">
        <f t="shared" si="20"/>
        <v>671</v>
      </c>
      <c r="V354" s="11">
        <f t="shared" si="21"/>
        <v>571</v>
      </c>
      <c r="W354" s="11">
        <f t="shared" si="22"/>
        <v>100</v>
      </c>
      <c r="X354" t="str">
        <f t="shared" si="23"/>
        <v>Cancelled</v>
      </c>
    </row>
    <row r="355" spans="1:24" ht="12.5" x14ac:dyDescent="0.25">
      <c r="A355" s="2" t="s">
        <v>1402</v>
      </c>
      <c r="B355" s="2" t="s">
        <v>917</v>
      </c>
      <c r="C355" s="2" t="s">
        <v>1403</v>
      </c>
      <c r="D355" s="7" t="s">
        <v>1404</v>
      </c>
      <c r="E355" s="7" t="s">
        <v>147</v>
      </c>
      <c r="F355" s="7" t="s">
        <v>148</v>
      </c>
      <c r="G355" s="5">
        <v>4216</v>
      </c>
      <c r="H355" s="5">
        <v>15</v>
      </c>
      <c r="I355" s="5">
        <v>3584</v>
      </c>
      <c r="J355" s="5">
        <v>1</v>
      </c>
      <c r="K355" s="2" t="s">
        <v>26</v>
      </c>
      <c r="L355" s="7" t="s">
        <v>73</v>
      </c>
      <c r="M355" s="4">
        <v>4.3</v>
      </c>
      <c r="N355" s="5">
        <v>43</v>
      </c>
      <c r="O355" s="3">
        <v>45792</v>
      </c>
      <c r="P355" s="7" t="s">
        <v>2391</v>
      </c>
      <c r="Q355" s="7" t="s">
        <v>65</v>
      </c>
      <c r="R355" s="7" t="s">
        <v>66</v>
      </c>
      <c r="S355" s="7" t="s">
        <v>67</v>
      </c>
      <c r="T355" s="7" t="s">
        <v>43</v>
      </c>
      <c r="U355" s="11">
        <f t="shared" si="20"/>
        <v>4216</v>
      </c>
      <c r="V355" s="11">
        <f t="shared" si="21"/>
        <v>3584</v>
      </c>
      <c r="W355" s="11">
        <f t="shared" si="22"/>
        <v>632</v>
      </c>
      <c r="X355" t="str">
        <f t="shared" si="23"/>
        <v>Returned</v>
      </c>
    </row>
    <row r="356" spans="1:24" ht="12.5" x14ac:dyDescent="0.25">
      <c r="A356" s="2" t="s">
        <v>1405</v>
      </c>
      <c r="B356" s="2" t="s">
        <v>713</v>
      </c>
      <c r="C356" s="2" t="s">
        <v>1406</v>
      </c>
      <c r="D356" s="7" t="s">
        <v>1407</v>
      </c>
      <c r="E356" s="7" t="s">
        <v>116</v>
      </c>
      <c r="F356" s="7" t="s">
        <v>117</v>
      </c>
      <c r="G356" s="5">
        <v>1776</v>
      </c>
      <c r="H356" s="5">
        <v>10</v>
      </c>
      <c r="I356" s="5">
        <v>1599</v>
      </c>
      <c r="J356" s="5">
        <v>1</v>
      </c>
      <c r="K356" s="2" t="s">
        <v>163</v>
      </c>
      <c r="L356" s="7" t="s">
        <v>73</v>
      </c>
      <c r="M356" s="4">
        <v>3.9</v>
      </c>
      <c r="N356" s="5">
        <v>271</v>
      </c>
      <c r="O356" s="3">
        <v>45784</v>
      </c>
      <c r="P356" s="7" t="s">
        <v>2392</v>
      </c>
      <c r="Q356" s="7" t="s">
        <v>29</v>
      </c>
      <c r="R356" s="7" t="s">
        <v>41</v>
      </c>
      <c r="S356" s="7" t="s">
        <v>42</v>
      </c>
      <c r="T356" s="7"/>
      <c r="U356" s="11">
        <f t="shared" si="20"/>
        <v>1776</v>
      </c>
      <c r="V356" s="11">
        <f t="shared" si="21"/>
        <v>1599</v>
      </c>
      <c r="W356" s="11">
        <f t="shared" si="22"/>
        <v>177</v>
      </c>
      <c r="X356" t="str">
        <f t="shared" si="23"/>
        <v>Cancelled</v>
      </c>
    </row>
    <row r="357" spans="1:24" ht="12.5" x14ac:dyDescent="0.25">
      <c r="A357" s="2" t="s">
        <v>1408</v>
      </c>
      <c r="B357" s="2" t="s">
        <v>1409</v>
      </c>
      <c r="C357" s="2" t="s">
        <v>571</v>
      </c>
      <c r="D357" s="7" t="s">
        <v>1410</v>
      </c>
      <c r="E357" s="7" t="s">
        <v>147</v>
      </c>
      <c r="F357" s="7" t="s">
        <v>148</v>
      </c>
      <c r="G357" s="5">
        <v>2213</v>
      </c>
      <c r="H357" s="5">
        <v>40</v>
      </c>
      <c r="I357" s="5">
        <v>1328</v>
      </c>
      <c r="J357" s="5">
        <v>1</v>
      </c>
      <c r="K357" s="2">
        <v>40</v>
      </c>
      <c r="L357" s="7" t="s">
        <v>133</v>
      </c>
      <c r="M357" s="4">
        <v>3.8</v>
      </c>
      <c r="N357" s="5">
        <v>234</v>
      </c>
      <c r="O357" s="3">
        <v>45839</v>
      </c>
      <c r="P357" s="7" t="s">
        <v>2391</v>
      </c>
      <c r="Q357" s="7" t="s">
        <v>78</v>
      </c>
      <c r="R357" s="7" t="s">
        <v>110</v>
      </c>
      <c r="S357" s="7" t="s">
        <v>111</v>
      </c>
      <c r="T357" s="7" t="s">
        <v>134</v>
      </c>
      <c r="U357" s="11">
        <f t="shared" si="20"/>
        <v>2213</v>
      </c>
      <c r="V357" s="11">
        <f t="shared" si="21"/>
        <v>1328</v>
      </c>
      <c r="W357" s="11">
        <f t="shared" si="22"/>
        <v>885</v>
      </c>
      <c r="X357" t="str">
        <f t="shared" si="23"/>
        <v>Returned</v>
      </c>
    </row>
    <row r="358" spans="1:24" ht="12.5" x14ac:dyDescent="0.25">
      <c r="A358" s="2" t="s">
        <v>1411</v>
      </c>
      <c r="B358" s="2" t="s">
        <v>1412</v>
      </c>
      <c r="C358" s="2" t="s">
        <v>1413</v>
      </c>
      <c r="D358" s="7" t="s">
        <v>1414</v>
      </c>
      <c r="E358" s="7" t="s">
        <v>122</v>
      </c>
      <c r="F358" s="7" t="s">
        <v>123</v>
      </c>
      <c r="G358" s="5">
        <v>3573</v>
      </c>
      <c r="H358" s="5">
        <v>10</v>
      </c>
      <c r="I358" s="5">
        <v>3216</v>
      </c>
      <c r="J358" s="5">
        <v>1</v>
      </c>
      <c r="K358" s="2">
        <v>42</v>
      </c>
      <c r="L358" s="7" t="s">
        <v>39</v>
      </c>
      <c r="M358" s="4">
        <v>4.4000000000000004</v>
      </c>
      <c r="N358" s="5">
        <v>182</v>
      </c>
      <c r="O358" s="3">
        <v>45836</v>
      </c>
      <c r="P358" s="7" t="s">
        <v>2391</v>
      </c>
      <c r="Q358" s="7" t="s">
        <v>78</v>
      </c>
      <c r="R358" s="7" t="s">
        <v>41</v>
      </c>
      <c r="S358" s="7" t="s">
        <v>42</v>
      </c>
      <c r="T358" s="7" t="s">
        <v>134</v>
      </c>
      <c r="U358" s="11">
        <f t="shared" si="20"/>
        <v>3573</v>
      </c>
      <c r="V358" s="11">
        <f t="shared" si="21"/>
        <v>3216</v>
      </c>
      <c r="W358" s="11">
        <f t="shared" si="22"/>
        <v>357</v>
      </c>
      <c r="X358" t="str">
        <f t="shared" si="23"/>
        <v>Returned</v>
      </c>
    </row>
    <row r="359" spans="1:24" ht="12.5" x14ac:dyDescent="0.25">
      <c r="A359" s="2" t="s">
        <v>1415</v>
      </c>
      <c r="B359" s="2" t="s">
        <v>61</v>
      </c>
      <c r="C359" s="2" t="s">
        <v>1416</v>
      </c>
      <c r="D359" s="7" t="s">
        <v>1417</v>
      </c>
      <c r="E359" s="7" t="s">
        <v>247</v>
      </c>
      <c r="F359" s="7" t="s">
        <v>248</v>
      </c>
      <c r="G359" s="5">
        <v>3798</v>
      </c>
      <c r="H359" s="5">
        <v>30</v>
      </c>
      <c r="I359" s="5">
        <v>2659</v>
      </c>
      <c r="J359" s="5">
        <v>2</v>
      </c>
      <c r="K359" s="2" t="s">
        <v>72</v>
      </c>
      <c r="L359" s="7" t="s">
        <v>88</v>
      </c>
      <c r="M359" s="4">
        <v>4.3</v>
      </c>
      <c r="N359" s="5">
        <v>199</v>
      </c>
      <c r="O359" s="3">
        <v>45840</v>
      </c>
      <c r="P359" s="7" t="s">
        <v>2392</v>
      </c>
      <c r="Q359" s="7" t="s">
        <v>65</v>
      </c>
      <c r="R359" s="7" t="s">
        <v>83</v>
      </c>
      <c r="S359" s="7" t="s">
        <v>83</v>
      </c>
      <c r="T359" s="7"/>
      <c r="U359" s="11">
        <f t="shared" si="20"/>
        <v>7596</v>
      </c>
      <c r="V359" s="11">
        <f t="shared" si="21"/>
        <v>5318</v>
      </c>
      <c r="W359" s="11">
        <f t="shared" si="22"/>
        <v>2278</v>
      </c>
      <c r="X359" t="str">
        <f t="shared" si="23"/>
        <v>Cancelled</v>
      </c>
    </row>
    <row r="360" spans="1:24" ht="12.5" x14ac:dyDescent="0.25">
      <c r="A360" s="2" t="s">
        <v>1418</v>
      </c>
      <c r="B360" s="2" t="s">
        <v>205</v>
      </c>
      <c r="C360" s="2" t="s">
        <v>1419</v>
      </c>
      <c r="D360" s="7" t="s">
        <v>1420</v>
      </c>
      <c r="E360" s="7" t="s">
        <v>122</v>
      </c>
      <c r="F360" s="7" t="s">
        <v>123</v>
      </c>
      <c r="G360" s="5">
        <v>4281</v>
      </c>
      <c r="H360" s="5">
        <v>35</v>
      </c>
      <c r="I360" s="5">
        <v>2783</v>
      </c>
      <c r="J360" s="5">
        <v>3</v>
      </c>
      <c r="K360" s="2" t="s">
        <v>226</v>
      </c>
      <c r="L360" s="7" t="s">
        <v>39</v>
      </c>
      <c r="M360" s="4">
        <v>3.6</v>
      </c>
      <c r="N360" s="5">
        <v>11</v>
      </c>
      <c r="O360" s="3">
        <v>45838</v>
      </c>
      <c r="P360" s="7" t="s">
        <v>2391</v>
      </c>
      <c r="Q360" s="7" t="s">
        <v>29</v>
      </c>
      <c r="R360" s="7" t="s">
        <v>89</v>
      </c>
      <c r="S360" s="7" t="s">
        <v>90</v>
      </c>
      <c r="T360" s="7" t="s">
        <v>43</v>
      </c>
      <c r="U360" s="11">
        <f t="shared" si="20"/>
        <v>12843</v>
      </c>
      <c r="V360" s="11">
        <f t="shared" si="21"/>
        <v>8349</v>
      </c>
      <c r="W360" s="11">
        <f t="shared" si="22"/>
        <v>4494</v>
      </c>
      <c r="X360" t="str">
        <f t="shared" si="23"/>
        <v>Returned</v>
      </c>
    </row>
    <row r="361" spans="1:24" ht="12.5" x14ac:dyDescent="0.25">
      <c r="A361" s="2" t="s">
        <v>1421</v>
      </c>
      <c r="B361" s="2" t="s">
        <v>271</v>
      </c>
      <c r="C361" s="2" t="s">
        <v>1422</v>
      </c>
      <c r="D361" s="7" t="s">
        <v>1423</v>
      </c>
      <c r="E361" s="7" t="s">
        <v>37</v>
      </c>
      <c r="F361" s="7" t="s">
        <v>38</v>
      </c>
      <c r="G361" s="5">
        <v>3265</v>
      </c>
      <c r="H361" s="5">
        <v>15</v>
      </c>
      <c r="I361" s="5">
        <v>2776</v>
      </c>
      <c r="J361" s="5">
        <v>1</v>
      </c>
      <c r="K361" s="2" t="s">
        <v>226</v>
      </c>
      <c r="L361" s="7" t="s">
        <v>73</v>
      </c>
      <c r="M361" s="4">
        <v>4.5999999999999996</v>
      </c>
      <c r="N361" s="5">
        <v>37</v>
      </c>
      <c r="O361" s="3">
        <v>45852</v>
      </c>
      <c r="P361" s="7" t="s">
        <v>2391</v>
      </c>
      <c r="Q361" s="7" t="s">
        <v>29</v>
      </c>
      <c r="R361" s="7" t="s">
        <v>41</v>
      </c>
      <c r="S361" s="7" t="s">
        <v>42</v>
      </c>
      <c r="T361" s="7" t="s">
        <v>134</v>
      </c>
      <c r="U361" s="11">
        <f t="shared" si="20"/>
        <v>3265</v>
      </c>
      <c r="V361" s="11">
        <f t="shared" si="21"/>
        <v>2776</v>
      </c>
      <c r="W361" s="11">
        <f t="shared" si="22"/>
        <v>489</v>
      </c>
      <c r="X361" t="str">
        <f t="shared" si="23"/>
        <v>Returned</v>
      </c>
    </row>
    <row r="362" spans="1:24" ht="12.5" x14ac:dyDescent="0.25">
      <c r="A362" s="2" t="s">
        <v>1424</v>
      </c>
      <c r="B362" s="2" t="s">
        <v>1425</v>
      </c>
      <c r="C362" s="2" t="s">
        <v>1426</v>
      </c>
      <c r="D362" s="7" t="s">
        <v>1427</v>
      </c>
      <c r="E362" s="7" t="s">
        <v>247</v>
      </c>
      <c r="F362" s="7" t="s">
        <v>248</v>
      </c>
      <c r="G362" s="5">
        <v>1118</v>
      </c>
      <c r="H362" s="5">
        <v>30</v>
      </c>
      <c r="I362" s="5">
        <v>783</v>
      </c>
      <c r="J362" s="5">
        <v>3</v>
      </c>
      <c r="K362" s="2">
        <v>44</v>
      </c>
      <c r="L362" s="7" t="s">
        <v>64</v>
      </c>
      <c r="M362" s="4">
        <v>4.9000000000000004</v>
      </c>
      <c r="N362" s="5">
        <v>53</v>
      </c>
      <c r="O362" s="3">
        <v>45858</v>
      </c>
      <c r="P362" s="7" t="s">
        <v>2390</v>
      </c>
      <c r="Q362" s="7" t="s">
        <v>29</v>
      </c>
      <c r="R362" s="7" t="s">
        <v>104</v>
      </c>
      <c r="S362" s="7" t="s">
        <v>105</v>
      </c>
      <c r="T362" s="7"/>
      <c r="U362" s="11">
        <f t="shared" si="20"/>
        <v>3354</v>
      </c>
      <c r="V362" s="11">
        <f t="shared" si="21"/>
        <v>2349</v>
      </c>
      <c r="W362" s="11">
        <f t="shared" si="22"/>
        <v>1005</v>
      </c>
      <c r="X362" t="str">
        <f t="shared" si="23"/>
        <v>Completed</v>
      </c>
    </row>
    <row r="363" spans="1:24" ht="12.5" x14ac:dyDescent="0.25">
      <c r="A363" s="2" t="s">
        <v>1428</v>
      </c>
      <c r="B363" s="2" t="s">
        <v>1385</v>
      </c>
      <c r="C363" s="2" t="s">
        <v>1429</v>
      </c>
      <c r="D363" s="7" t="s">
        <v>1430</v>
      </c>
      <c r="E363" s="7" t="s">
        <v>48</v>
      </c>
      <c r="F363" s="7" t="s">
        <v>25</v>
      </c>
      <c r="G363" s="5">
        <v>4659</v>
      </c>
      <c r="H363" s="5">
        <v>25</v>
      </c>
      <c r="I363" s="5">
        <v>3495</v>
      </c>
      <c r="J363" s="5">
        <v>1</v>
      </c>
      <c r="K363" s="2">
        <v>44</v>
      </c>
      <c r="L363" s="7" t="s">
        <v>88</v>
      </c>
      <c r="M363" s="4">
        <v>4.2</v>
      </c>
      <c r="N363" s="5">
        <v>13</v>
      </c>
      <c r="O363" s="3">
        <v>45783</v>
      </c>
      <c r="P363" s="7" t="s">
        <v>2392</v>
      </c>
      <c r="Q363" s="7" t="s">
        <v>29</v>
      </c>
      <c r="R363" s="7" t="s">
        <v>58</v>
      </c>
      <c r="S363" s="7" t="s">
        <v>59</v>
      </c>
      <c r="T363" s="7"/>
      <c r="U363" s="11">
        <f t="shared" si="20"/>
        <v>4659</v>
      </c>
      <c r="V363" s="11">
        <f t="shared" si="21"/>
        <v>3495</v>
      </c>
      <c r="W363" s="11">
        <f t="shared" si="22"/>
        <v>1164</v>
      </c>
      <c r="X363" t="str">
        <f t="shared" si="23"/>
        <v>Cancelled</v>
      </c>
    </row>
    <row r="364" spans="1:24" ht="12.5" x14ac:dyDescent="0.25">
      <c r="A364" s="2" t="s">
        <v>1431</v>
      </c>
      <c r="B364" s="2" t="s">
        <v>1432</v>
      </c>
      <c r="C364" s="2" t="s">
        <v>1433</v>
      </c>
      <c r="D364" s="7" t="s">
        <v>1434</v>
      </c>
      <c r="E364" s="7" t="s">
        <v>37</v>
      </c>
      <c r="F364" s="7" t="s">
        <v>38</v>
      </c>
      <c r="G364" s="5">
        <v>866</v>
      </c>
      <c r="H364" s="5">
        <v>40</v>
      </c>
      <c r="I364" s="5">
        <v>520</v>
      </c>
      <c r="J364" s="5">
        <v>2</v>
      </c>
      <c r="K364" s="2" t="s">
        <v>163</v>
      </c>
      <c r="L364" s="7" t="s">
        <v>39</v>
      </c>
      <c r="M364" s="4">
        <v>4.2</v>
      </c>
      <c r="N364" s="5">
        <v>294</v>
      </c>
      <c r="O364" s="3">
        <v>45829</v>
      </c>
      <c r="P364" s="7" t="s">
        <v>2391</v>
      </c>
      <c r="Q364" s="7" t="s">
        <v>29</v>
      </c>
      <c r="R364" s="7" t="s">
        <v>66</v>
      </c>
      <c r="S364" s="7" t="s">
        <v>67</v>
      </c>
      <c r="T364" s="7" t="s">
        <v>203</v>
      </c>
      <c r="U364" s="11">
        <f t="shared" si="20"/>
        <v>1732</v>
      </c>
      <c r="V364" s="11">
        <f t="shared" si="21"/>
        <v>1040</v>
      </c>
      <c r="W364" s="11">
        <f t="shared" si="22"/>
        <v>692</v>
      </c>
      <c r="X364" t="str">
        <f t="shared" si="23"/>
        <v>Returned</v>
      </c>
    </row>
    <row r="365" spans="1:24" ht="12.5" x14ac:dyDescent="0.25">
      <c r="A365" s="2" t="s">
        <v>1435</v>
      </c>
      <c r="B365" s="2" t="s">
        <v>369</v>
      </c>
      <c r="C365" s="2" t="s">
        <v>1436</v>
      </c>
      <c r="D365" s="7" t="s">
        <v>1437</v>
      </c>
      <c r="E365" s="7" t="s">
        <v>24</v>
      </c>
      <c r="F365" s="7" t="s">
        <v>25</v>
      </c>
      <c r="G365" s="5">
        <v>777</v>
      </c>
      <c r="H365" s="5">
        <v>15</v>
      </c>
      <c r="I365" s="5">
        <v>661</v>
      </c>
      <c r="J365" s="5">
        <v>1</v>
      </c>
      <c r="K365" s="2" t="s">
        <v>163</v>
      </c>
      <c r="L365" s="7" t="s">
        <v>133</v>
      </c>
      <c r="M365" s="4">
        <v>3.7</v>
      </c>
      <c r="N365" s="5">
        <v>198</v>
      </c>
      <c r="O365" s="3">
        <v>45792</v>
      </c>
      <c r="P365" s="7" t="s">
        <v>2391</v>
      </c>
      <c r="Q365" s="7" t="s">
        <v>78</v>
      </c>
      <c r="R365" s="7" t="s">
        <v>89</v>
      </c>
      <c r="S365" s="7" t="s">
        <v>90</v>
      </c>
      <c r="T365" s="7" t="s">
        <v>203</v>
      </c>
      <c r="U365" s="11">
        <f t="shared" si="20"/>
        <v>777</v>
      </c>
      <c r="V365" s="11">
        <f t="shared" si="21"/>
        <v>661</v>
      </c>
      <c r="W365" s="11">
        <f t="shared" si="22"/>
        <v>116</v>
      </c>
      <c r="X365" t="str">
        <f t="shared" si="23"/>
        <v>Returned</v>
      </c>
    </row>
    <row r="366" spans="1:24" ht="12.5" x14ac:dyDescent="0.25">
      <c r="A366" s="2" t="s">
        <v>1438</v>
      </c>
      <c r="B366" s="2" t="s">
        <v>1439</v>
      </c>
      <c r="C366" s="2" t="s">
        <v>1440</v>
      </c>
      <c r="D366" s="7" t="s">
        <v>1441</v>
      </c>
      <c r="E366" s="7" t="s">
        <v>247</v>
      </c>
      <c r="F366" s="7" t="s">
        <v>248</v>
      </c>
      <c r="G366" s="5">
        <v>1091</v>
      </c>
      <c r="H366" s="5">
        <v>30</v>
      </c>
      <c r="I366" s="5">
        <v>764</v>
      </c>
      <c r="J366" s="5">
        <v>3</v>
      </c>
      <c r="K366" s="2" t="s">
        <v>226</v>
      </c>
      <c r="L366" s="7" t="s">
        <v>209</v>
      </c>
      <c r="M366" s="4">
        <v>3.6</v>
      </c>
      <c r="N366" s="5">
        <v>274</v>
      </c>
      <c r="O366" s="3">
        <v>45813</v>
      </c>
      <c r="P366" s="7" t="s">
        <v>2392</v>
      </c>
      <c r="Q366" s="7" t="s">
        <v>65</v>
      </c>
      <c r="R366" s="7" t="s">
        <v>89</v>
      </c>
      <c r="S366" s="7" t="s">
        <v>90</v>
      </c>
      <c r="T366" s="7"/>
      <c r="U366" s="11">
        <f t="shared" si="20"/>
        <v>3273</v>
      </c>
      <c r="V366" s="11">
        <f t="shared" si="21"/>
        <v>2292</v>
      </c>
      <c r="W366" s="11">
        <f t="shared" si="22"/>
        <v>981</v>
      </c>
      <c r="X366" t="str">
        <f t="shared" si="23"/>
        <v>Cancelled</v>
      </c>
    </row>
    <row r="367" spans="1:24" ht="12.5" x14ac:dyDescent="0.25">
      <c r="A367" s="2" t="s">
        <v>1442</v>
      </c>
      <c r="B367" s="2" t="s">
        <v>483</v>
      </c>
      <c r="C367" s="2" t="s">
        <v>1443</v>
      </c>
      <c r="D367" s="7" t="s">
        <v>1444</v>
      </c>
      <c r="E367" s="7" t="s">
        <v>37</v>
      </c>
      <c r="F367" s="7" t="s">
        <v>38</v>
      </c>
      <c r="G367" s="5">
        <v>2783</v>
      </c>
      <c r="H367" s="5">
        <v>30</v>
      </c>
      <c r="I367" s="5">
        <v>1949</v>
      </c>
      <c r="J367" s="5">
        <v>1</v>
      </c>
      <c r="K367" s="2" t="s">
        <v>226</v>
      </c>
      <c r="L367" s="7" t="s">
        <v>88</v>
      </c>
      <c r="M367" s="4">
        <v>5</v>
      </c>
      <c r="N367" s="5">
        <v>236</v>
      </c>
      <c r="O367" s="3">
        <v>45799</v>
      </c>
      <c r="P367" s="7" t="s">
        <v>2392</v>
      </c>
      <c r="Q367" s="7" t="s">
        <v>29</v>
      </c>
      <c r="R367" s="7" t="s">
        <v>185</v>
      </c>
      <c r="S367" s="7" t="s">
        <v>186</v>
      </c>
      <c r="T367" s="7"/>
      <c r="U367" s="11">
        <f t="shared" si="20"/>
        <v>2783</v>
      </c>
      <c r="V367" s="11">
        <f t="shared" si="21"/>
        <v>1949</v>
      </c>
      <c r="W367" s="11">
        <f t="shared" si="22"/>
        <v>834</v>
      </c>
      <c r="X367" t="str">
        <f t="shared" si="23"/>
        <v>Cancelled</v>
      </c>
    </row>
    <row r="368" spans="1:24" ht="12.5" x14ac:dyDescent="0.25">
      <c r="A368" s="2" t="s">
        <v>1445</v>
      </c>
      <c r="B368" s="2" t="s">
        <v>862</v>
      </c>
      <c r="C368" s="2" t="s">
        <v>296</v>
      </c>
      <c r="D368" s="7" t="s">
        <v>1446</v>
      </c>
      <c r="E368" s="7" t="s">
        <v>24</v>
      </c>
      <c r="F368" s="7" t="s">
        <v>25</v>
      </c>
      <c r="G368" s="5">
        <v>700</v>
      </c>
      <c r="H368" s="5">
        <v>25</v>
      </c>
      <c r="I368" s="5">
        <v>525</v>
      </c>
      <c r="J368" s="5">
        <v>3</v>
      </c>
      <c r="K368" s="2" t="s">
        <v>56</v>
      </c>
      <c r="L368" s="7" t="s">
        <v>73</v>
      </c>
      <c r="M368" s="4">
        <v>3.8</v>
      </c>
      <c r="N368" s="5">
        <v>286</v>
      </c>
      <c r="O368" s="3">
        <v>45826</v>
      </c>
      <c r="P368" s="7" t="s">
        <v>2392</v>
      </c>
      <c r="Q368" s="7" t="s">
        <v>65</v>
      </c>
      <c r="R368" s="7" t="s">
        <v>185</v>
      </c>
      <c r="S368" s="7" t="s">
        <v>186</v>
      </c>
      <c r="T368" s="7"/>
      <c r="U368" s="11">
        <f t="shared" si="20"/>
        <v>2100</v>
      </c>
      <c r="V368" s="11">
        <f t="shared" si="21"/>
        <v>1575</v>
      </c>
      <c r="W368" s="11">
        <f t="shared" si="22"/>
        <v>525</v>
      </c>
      <c r="X368" t="str">
        <f t="shared" si="23"/>
        <v>Cancelled</v>
      </c>
    </row>
    <row r="369" spans="1:24" ht="12.5" x14ac:dyDescent="0.25">
      <c r="A369" s="2" t="s">
        <v>1447</v>
      </c>
      <c r="B369" s="2" t="s">
        <v>1378</v>
      </c>
      <c r="C369" s="2" t="s">
        <v>1448</v>
      </c>
      <c r="D369" s="7" t="s">
        <v>1449</v>
      </c>
      <c r="E369" s="7" t="s">
        <v>37</v>
      </c>
      <c r="F369" s="7" t="s">
        <v>38</v>
      </c>
      <c r="G369" s="5">
        <v>1092</v>
      </c>
      <c r="H369" s="5">
        <v>30</v>
      </c>
      <c r="I369" s="5">
        <v>765</v>
      </c>
      <c r="J369" s="5">
        <v>2</v>
      </c>
      <c r="K369" s="2" t="s">
        <v>56</v>
      </c>
      <c r="L369" s="7" t="s">
        <v>64</v>
      </c>
      <c r="M369" s="4">
        <v>4.3</v>
      </c>
      <c r="N369" s="5">
        <v>74</v>
      </c>
      <c r="O369" s="3">
        <v>45806</v>
      </c>
      <c r="P369" s="7" t="s">
        <v>2391</v>
      </c>
      <c r="Q369" s="7" t="s">
        <v>65</v>
      </c>
      <c r="R369" s="7" t="s">
        <v>30</v>
      </c>
      <c r="S369" s="7" t="s">
        <v>31</v>
      </c>
      <c r="T369" s="7" t="s">
        <v>203</v>
      </c>
      <c r="U369" s="11">
        <f t="shared" si="20"/>
        <v>2184</v>
      </c>
      <c r="V369" s="11">
        <f t="shared" si="21"/>
        <v>1530</v>
      </c>
      <c r="W369" s="11">
        <f t="shared" si="22"/>
        <v>654</v>
      </c>
      <c r="X369" t="str">
        <f t="shared" si="23"/>
        <v>Returned</v>
      </c>
    </row>
    <row r="370" spans="1:24" ht="12.5" x14ac:dyDescent="0.25">
      <c r="A370" s="2" t="s">
        <v>1450</v>
      </c>
      <c r="B370" s="2" t="s">
        <v>1136</v>
      </c>
      <c r="C370" s="2" t="s">
        <v>1451</v>
      </c>
      <c r="D370" s="7" t="s">
        <v>1452</v>
      </c>
      <c r="E370" s="7" t="s">
        <v>132</v>
      </c>
      <c r="F370" s="7" t="s">
        <v>38</v>
      </c>
      <c r="G370" s="5">
        <v>1608</v>
      </c>
      <c r="H370" s="5">
        <v>40</v>
      </c>
      <c r="I370" s="5">
        <v>965</v>
      </c>
      <c r="J370" s="5">
        <v>1</v>
      </c>
      <c r="K370" s="2" t="s">
        <v>72</v>
      </c>
      <c r="L370" s="7" t="s">
        <v>133</v>
      </c>
      <c r="M370" s="4">
        <v>3.7</v>
      </c>
      <c r="N370" s="5">
        <v>172</v>
      </c>
      <c r="O370" s="3">
        <v>45793</v>
      </c>
      <c r="P370" s="7" t="s">
        <v>2391</v>
      </c>
      <c r="Q370" s="7" t="s">
        <v>29</v>
      </c>
      <c r="R370" s="7" t="s">
        <v>58</v>
      </c>
      <c r="S370" s="7" t="s">
        <v>59</v>
      </c>
      <c r="T370" s="7" t="s">
        <v>203</v>
      </c>
      <c r="U370" s="11">
        <f t="shared" si="20"/>
        <v>1608</v>
      </c>
      <c r="V370" s="11">
        <f t="shared" si="21"/>
        <v>965</v>
      </c>
      <c r="W370" s="11">
        <f t="shared" si="22"/>
        <v>643</v>
      </c>
      <c r="X370" t="str">
        <f t="shared" si="23"/>
        <v>Returned</v>
      </c>
    </row>
    <row r="371" spans="1:24" ht="12.5" x14ac:dyDescent="0.25">
      <c r="A371" s="2" t="s">
        <v>1453</v>
      </c>
      <c r="B371" s="2" t="s">
        <v>1000</v>
      </c>
      <c r="C371" s="2" t="s">
        <v>1454</v>
      </c>
      <c r="D371" s="7" t="s">
        <v>1455</v>
      </c>
      <c r="E371" s="7" t="s">
        <v>48</v>
      </c>
      <c r="F371" s="7" t="s">
        <v>25</v>
      </c>
      <c r="G371" s="5">
        <v>1317</v>
      </c>
      <c r="H371" s="5">
        <v>10</v>
      </c>
      <c r="I371" s="5">
        <v>1186</v>
      </c>
      <c r="J371" s="5">
        <v>1</v>
      </c>
      <c r="K371" s="2">
        <v>44</v>
      </c>
      <c r="L371" s="7" t="s">
        <v>39</v>
      </c>
      <c r="M371" s="4">
        <v>4.9000000000000004</v>
      </c>
      <c r="N371" s="5">
        <v>139</v>
      </c>
      <c r="O371" s="3">
        <v>45843</v>
      </c>
      <c r="P371" s="7" t="s">
        <v>2390</v>
      </c>
      <c r="Q371" s="7" t="s">
        <v>65</v>
      </c>
      <c r="R371" s="7" t="s">
        <v>83</v>
      </c>
      <c r="S371" s="7" t="s">
        <v>83</v>
      </c>
      <c r="T371" s="7"/>
      <c r="U371" s="11">
        <f t="shared" si="20"/>
        <v>1317</v>
      </c>
      <c r="V371" s="11">
        <f t="shared" si="21"/>
        <v>1186</v>
      </c>
      <c r="W371" s="11">
        <f t="shared" si="22"/>
        <v>131</v>
      </c>
      <c r="X371" t="str">
        <f t="shared" si="23"/>
        <v>Completed</v>
      </c>
    </row>
    <row r="372" spans="1:24" ht="12.5" x14ac:dyDescent="0.25">
      <c r="A372" s="2" t="s">
        <v>1456</v>
      </c>
      <c r="B372" s="2" t="s">
        <v>1132</v>
      </c>
      <c r="C372" s="2" t="s">
        <v>1457</v>
      </c>
      <c r="D372" s="7" t="s">
        <v>1458</v>
      </c>
      <c r="E372" s="7" t="s">
        <v>116</v>
      </c>
      <c r="F372" s="7" t="s">
        <v>117</v>
      </c>
      <c r="G372" s="5">
        <v>868</v>
      </c>
      <c r="H372" s="5">
        <v>40</v>
      </c>
      <c r="I372" s="5">
        <v>521</v>
      </c>
      <c r="J372" s="5">
        <v>3</v>
      </c>
      <c r="K372" s="2" t="s">
        <v>261</v>
      </c>
      <c r="L372" s="7" t="s">
        <v>103</v>
      </c>
      <c r="M372" s="4">
        <v>4.2</v>
      </c>
      <c r="N372" s="5">
        <v>112</v>
      </c>
      <c r="O372" s="3">
        <v>45850</v>
      </c>
      <c r="P372" s="7" t="s">
        <v>2391</v>
      </c>
      <c r="Q372" s="7" t="s">
        <v>65</v>
      </c>
      <c r="R372" s="7" t="s">
        <v>30</v>
      </c>
      <c r="S372" s="7" t="s">
        <v>31</v>
      </c>
      <c r="T372" s="7" t="s">
        <v>203</v>
      </c>
      <c r="U372" s="11">
        <f t="shared" si="20"/>
        <v>2604</v>
      </c>
      <c r="V372" s="11">
        <f t="shared" si="21"/>
        <v>1563</v>
      </c>
      <c r="W372" s="11">
        <f t="shared" si="22"/>
        <v>1041</v>
      </c>
      <c r="X372" t="str">
        <f t="shared" si="23"/>
        <v>Returned</v>
      </c>
    </row>
    <row r="373" spans="1:24" ht="12.5" x14ac:dyDescent="0.25">
      <c r="A373" s="2" t="s">
        <v>1459</v>
      </c>
      <c r="B373" s="2" t="s">
        <v>1460</v>
      </c>
      <c r="C373" s="2" t="s">
        <v>997</v>
      </c>
      <c r="D373" s="7" t="s">
        <v>1461</v>
      </c>
      <c r="E373" s="7" t="s">
        <v>55</v>
      </c>
      <c r="F373" s="7" t="s">
        <v>38</v>
      </c>
      <c r="G373" s="5">
        <v>2872</v>
      </c>
      <c r="H373" s="5">
        <v>35</v>
      </c>
      <c r="I373" s="5">
        <v>1867</v>
      </c>
      <c r="J373" s="5">
        <v>1</v>
      </c>
      <c r="K373" s="2" t="s">
        <v>226</v>
      </c>
      <c r="L373" s="7" t="s">
        <v>168</v>
      </c>
      <c r="M373" s="4">
        <v>4.9000000000000004</v>
      </c>
      <c r="N373" s="5">
        <v>215</v>
      </c>
      <c r="O373" s="3">
        <v>45771</v>
      </c>
      <c r="P373" s="7" t="s">
        <v>2391</v>
      </c>
      <c r="Q373" s="7" t="s">
        <v>78</v>
      </c>
      <c r="R373" s="7" t="s">
        <v>185</v>
      </c>
      <c r="S373" s="7" t="s">
        <v>186</v>
      </c>
      <c r="T373" s="7"/>
      <c r="U373" s="11">
        <f t="shared" si="20"/>
        <v>2872</v>
      </c>
      <c r="V373" s="11">
        <f t="shared" si="21"/>
        <v>1867</v>
      </c>
      <c r="W373" s="11">
        <f t="shared" si="22"/>
        <v>1005</v>
      </c>
      <c r="X373" t="str">
        <f t="shared" si="23"/>
        <v>Returned</v>
      </c>
    </row>
    <row r="374" spans="1:24" ht="12.5" x14ac:dyDescent="0.25">
      <c r="A374" s="2" t="s">
        <v>1462</v>
      </c>
      <c r="B374" s="2" t="s">
        <v>765</v>
      </c>
      <c r="C374" s="2" t="s">
        <v>1463</v>
      </c>
      <c r="D374" s="7" t="s">
        <v>1464</v>
      </c>
      <c r="E374" s="7" t="s">
        <v>37</v>
      </c>
      <c r="F374" s="7" t="s">
        <v>38</v>
      </c>
      <c r="G374" s="5">
        <v>4146</v>
      </c>
      <c r="H374" s="5">
        <v>15</v>
      </c>
      <c r="I374" s="5">
        <v>3525</v>
      </c>
      <c r="J374" s="5">
        <v>2</v>
      </c>
      <c r="K374" s="2">
        <v>44</v>
      </c>
      <c r="L374" s="7" t="s">
        <v>73</v>
      </c>
      <c r="M374" s="4">
        <v>4.7</v>
      </c>
      <c r="N374" s="5">
        <v>50</v>
      </c>
      <c r="O374" s="3">
        <v>45845</v>
      </c>
      <c r="P374" s="7" t="s">
        <v>2392</v>
      </c>
      <c r="Q374" s="7" t="s">
        <v>29</v>
      </c>
      <c r="R374" s="7" t="s">
        <v>89</v>
      </c>
      <c r="S374" s="7" t="s">
        <v>90</v>
      </c>
      <c r="T374" s="7"/>
      <c r="U374" s="11">
        <f t="shared" si="20"/>
        <v>8292</v>
      </c>
      <c r="V374" s="11">
        <f t="shared" si="21"/>
        <v>7050</v>
      </c>
      <c r="W374" s="11">
        <f t="shared" si="22"/>
        <v>1242</v>
      </c>
      <c r="X374" t="str">
        <f t="shared" si="23"/>
        <v>Cancelled</v>
      </c>
    </row>
    <row r="375" spans="1:24" ht="12.5" x14ac:dyDescent="0.25">
      <c r="A375" s="2" t="s">
        <v>1465</v>
      </c>
      <c r="B375" s="2" t="s">
        <v>1318</v>
      </c>
      <c r="C375" s="2" t="s">
        <v>1466</v>
      </c>
      <c r="D375" s="7" t="s">
        <v>1467</v>
      </c>
      <c r="E375" s="7" t="s">
        <v>48</v>
      </c>
      <c r="F375" s="7" t="s">
        <v>25</v>
      </c>
      <c r="G375" s="5">
        <v>3789</v>
      </c>
      <c r="H375" s="5">
        <v>25</v>
      </c>
      <c r="I375" s="5">
        <v>2842</v>
      </c>
      <c r="J375" s="5">
        <v>3</v>
      </c>
      <c r="K375" s="2" t="s">
        <v>72</v>
      </c>
      <c r="L375" s="7" t="s">
        <v>49</v>
      </c>
      <c r="M375" s="4">
        <v>3.7</v>
      </c>
      <c r="N375" s="5">
        <v>101</v>
      </c>
      <c r="O375" s="3">
        <v>45791</v>
      </c>
      <c r="P375" s="7" t="s">
        <v>2390</v>
      </c>
      <c r="Q375" s="7" t="s">
        <v>29</v>
      </c>
      <c r="R375" s="7" t="s">
        <v>58</v>
      </c>
      <c r="S375" s="7" t="s">
        <v>59</v>
      </c>
      <c r="T375" s="7"/>
      <c r="U375" s="11">
        <f t="shared" si="20"/>
        <v>11367</v>
      </c>
      <c r="V375" s="11">
        <f t="shared" si="21"/>
        <v>8526</v>
      </c>
      <c r="W375" s="11">
        <f t="shared" si="22"/>
        <v>2841</v>
      </c>
      <c r="X375" t="str">
        <f t="shared" si="23"/>
        <v>Completed</v>
      </c>
    </row>
    <row r="376" spans="1:24" ht="12.5" x14ac:dyDescent="0.25">
      <c r="A376" s="2" t="s">
        <v>1468</v>
      </c>
      <c r="B376" s="2" t="s">
        <v>1469</v>
      </c>
      <c r="C376" s="2" t="s">
        <v>1470</v>
      </c>
      <c r="D376" s="7" t="s">
        <v>1471</v>
      </c>
      <c r="E376" s="7" t="s">
        <v>147</v>
      </c>
      <c r="F376" s="7" t="s">
        <v>148</v>
      </c>
      <c r="G376" s="5">
        <v>3401</v>
      </c>
      <c r="H376" s="5">
        <v>30</v>
      </c>
      <c r="I376" s="5">
        <v>2381</v>
      </c>
      <c r="J376" s="5">
        <v>1</v>
      </c>
      <c r="K376" s="2" t="s">
        <v>163</v>
      </c>
      <c r="L376" s="7" t="s">
        <v>39</v>
      </c>
      <c r="M376" s="4">
        <v>4.0999999999999996</v>
      </c>
      <c r="N376" s="5">
        <v>282</v>
      </c>
      <c r="O376" s="3">
        <v>45807</v>
      </c>
      <c r="P376" s="7" t="s">
        <v>2391</v>
      </c>
      <c r="Q376" s="7" t="s">
        <v>78</v>
      </c>
      <c r="R376" s="7" t="s">
        <v>104</v>
      </c>
      <c r="S376" s="7" t="s">
        <v>105</v>
      </c>
      <c r="T376" s="7" t="s">
        <v>203</v>
      </c>
      <c r="U376" s="11">
        <f t="shared" si="20"/>
        <v>3401</v>
      </c>
      <c r="V376" s="11">
        <f t="shared" si="21"/>
        <v>2381</v>
      </c>
      <c r="W376" s="11">
        <f t="shared" si="22"/>
        <v>1020</v>
      </c>
      <c r="X376" t="str">
        <f t="shared" si="23"/>
        <v>Returned</v>
      </c>
    </row>
    <row r="377" spans="1:24" ht="12.5" x14ac:dyDescent="0.25">
      <c r="A377" s="2" t="s">
        <v>1472</v>
      </c>
      <c r="B377" s="2" t="s">
        <v>85</v>
      </c>
      <c r="C377" s="2" t="s">
        <v>1473</v>
      </c>
      <c r="D377" s="7" t="s">
        <v>1474</v>
      </c>
      <c r="E377" s="7" t="s">
        <v>116</v>
      </c>
      <c r="F377" s="7" t="s">
        <v>117</v>
      </c>
      <c r="G377" s="5">
        <v>4567</v>
      </c>
      <c r="H377" s="5">
        <v>20</v>
      </c>
      <c r="I377" s="5">
        <v>3654</v>
      </c>
      <c r="J377" s="5">
        <v>3</v>
      </c>
      <c r="K377" s="2">
        <v>42</v>
      </c>
      <c r="L377" s="7" t="s">
        <v>168</v>
      </c>
      <c r="M377" s="4">
        <v>4.7</v>
      </c>
      <c r="N377" s="5">
        <v>152</v>
      </c>
      <c r="O377" s="3">
        <v>45810</v>
      </c>
      <c r="P377" s="7" t="s">
        <v>2390</v>
      </c>
      <c r="Q377" s="7" t="s">
        <v>29</v>
      </c>
      <c r="R377" s="7" t="s">
        <v>104</v>
      </c>
      <c r="S377" s="7" t="s">
        <v>105</v>
      </c>
      <c r="T377" s="7"/>
      <c r="U377" s="11">
        <f t="shared" si="20"/>
        <v>13701</v>
      </c>
      <c r="V377" s="11">
        <f t="shared" si="21"/>
        <v>10962</v>
      </c>
      <c r="W377" s="11">
        <f t="shared" si="22"/>
        <v>2739</v>
      </c>
      <c r="X377" t="str">
        <f t="shared" si="23"/>
        <v>Completed</v>
      </c>
    </row>
    <row r="378" spans="1:24" ht="12.5" x14ac:dyDescent="0.25">
      <c r="A378" s="2" t="s">
        <v>1475</v>
      </c>
      <c r="B378" s="2" t="s">
        <v>325</v>
      </c>
      <c r="C378" s="2" t="s">
        <v>1476</v>
      </c>
      <c r="D378" s="7" t="s">
        <v>1477</v>
      </c>
      <c r="E378" s="7" t="s">
        <v>37</v>
      </c>
      <c r="F378" s="7" t="s">
        <v>38</v>
      </c>
      <c r="G378" s="5">
        <v>3310</v>
      </c>
      <c r="H378" s="5">
        <v>10</v>
      </c>
      <c r="I378" s="5">
        <v>2979</v>
      </c>
      <c r="J378" s="5">
        <v>3</v>
      </c>
      <c r="K378" s="2" t="s">
        <v>32</v>
      </c>
      <c r="L378" s="7" t="s">
        <v>39</v>
      </c>
      <c r="M378" s="4">
        <v>3.6</v>
      </c>
      <c r="N378" s="5">
        <v>112</v>
      </c>
      <c r="O378" s="3">
        <v>45854</v>
      </c>
      <c r="P378" s="7" t="s">
        <v>2391</v>
      </c>
      <c r="Q378" s="7" t="s">
        <v>65</v>
      </c>
      <c r="R378" s="7" t="s">
        <v>149</v>
      </c>
      <c r="S378" s="7" t="s">
        <v>150</v>
      </c>
      <c r="T378" s="7" t="s">
        <v>43</v>
      </c>
      <c r="U378" s="11">
        <f t="shared" si="20"/>
        <v>9930</v>
      </c>
      <c r="V378" s="11">
        <f t="shared" si="21"/>
        <v>8937</v>
      </c>
      <c r="W378" s="11">
        <f t="shared" si="22"/>
        <v>993</v>
      </c>
      <c r="X378" t="str">
        <f t="shared" si="23"/>
        <v>Returned</v>
      </c>
    </row>
    <row r="379" spans="1:24" ht="12.5" x14ac:dyDescent="0.25">
      <c r="A379" s="2" t="s">
        <v>1478</v>
      </c>
      <c r="B379" s="2" t="s">
        <v>1479</v>
      </c>
      <c r="C379" s="2" t="s">
        <v>1480</v>
      </c>
      <c r="D379" s="7" t="s">
        <v>1481</v>
      </c>
      <c r="E379" s="7" t="s">
        <v>24</v>
      </c>
      <c r="F379" s="7" t="s">
        <v>25</v>
      </c>
      <c r="G379" s="5">
        <v>2750</v>
      </c>
      <c r="H379" s="5">
        <v>10</v>
      </c>
      <c r="I379" s="5">
        <v>2475</v>
      </c>
      <c r="J379" s="5">
        <v>3</v>
      </c>
      <c r="K379" s="2" t="s">
        <v>226</v>
      </c>
      <c r="L379" s="7" t="s">
        <v>88</v>
      </c>
      <c r="M379" s="4">
        <v>3.8</v>
      </c>
      <c r="N379" s="5">
        <v>127</v>
      </c>
      <c r="O379" s="3">
        <v>45834</v>
      </c>
      <c r="P379" s="7" t="s">
        <v>2392</v>
      </c>
      <c r="Q379" s="7" t="s">
        <v>78</v>
      </c>
      <c r="R379" s="7" t="s">
        <v>89</v>
      </c>
      <c r="S379" s="7" t="s">
        <v>90</v>
      </c>
      <c r="T379" s="7"/>
      <c r="U379" s="11">
        <f t="shared" si="20"/>
        <v>8250</v>
      </c>
      <c r="V379" s="11">
        <f t="shared" si="21"/>
        <v>7425</v>
      </c>
      <c r="W379" s="11">
        <f t="shared" si="22"/>
        <v>825</v>
      </c>
      <c r="X379" t="str">
        <f t="shared" si="23"/>
        <v>Cancelled</v>
      </c>
    </row>
    <row r="380" spans="1:24" ht="12.5" x14ac:dyDescent="0.25">
      <c r="A380" s="2" t="s">
        <v>1482</v>
      </c>
      <c r="B380" s="2" t="s">
        <v>1483</v>
      </c>
      <c r="C380" s="2" t="s">
        <v>1484</v>
      </c>
      <c r="D380" s="7" t="s">
        <v>1485</v>
      </c>
      <c r="E380" s="7" t="s">
        <v>24</v>
      </c>
      <c r="F380" s="7" t="s">
        <v>25</v>
      </c>
      <c r="G380" s="5">
        <v>2927</v>
      </c>
      <c r="H380" s="5">
        <v>15</v>
      </c>
      <c r="I380" s="5">
        <v>2488</v>
      </c>
      <c r="J380" s="5">
        <v>1</v>
      </c>
      <c r="K380" s="2">
        <v>44</v>
      </c>
      <c r="L380" s="7" t="s">
        <v>133</v>
      </c>
      <c r="M380" s="4">
        <v>4.3</v>
      </c>
      <c r="N380" s="5">
        <v>230</v>
      </c>
      <c r="O380" s="3">
        <v>45774</v>
      </c>
      <c r="P380" s="7" t="s">
        <v>2390</v>
      </c>
      <c r="Q380" s="7" t="s">
        <v>29</v>
      </c>
      <c r="R380" s="7" t="s">
        <v>30</v>
      </c>
      <c r="S380" s="7" t="s">
        <v>31</v>
      </c>
      <c r="T380" s="7"/>
      <c r="U380" s="11">
        <f t="shared" si="20"/>
        <v>2927</v>
      </c>
      <c r="V380" s="11">
        <f t="shared" si="21"/>
        <v>2488</v>
      </c>
      <c r="W380" s="11">
        <f t="shared" si="22"/>
        <v>439</v>
      </c>
      <c r="X380" t="str">
        <f t="shared" si="23"/>
        <v>Completed</v>
      </c>
    </row>
    <row r="381" spans="1:24" ht="12.5" x14ac:dyDescent="0.25">
      <c r="A381" s="2" t="s">
        <v>1486</v>
      </c>
      <c r="B381" s="2" t="s">
        <v>1487</v>
      </c>
      <c r="C381" s="2" t="s">
        <v>1488</v>
      </c>
      <c r="D381" s="7" t="s">
        <v>1489</v>
      </c>
      <c r="E381" s="7" t="s">
        <v>132</v>
      </c>
      <c r="F381" s="7" t="s">
        <v>38</v>
      </c>
      <c r="G381" s="5">
        <v>2233</v>
      </c>
      <c r="H381" s="5">
        <v>10</v>
      </c>
      <c r="I381" s="5">
        <v>2010</v>
      </c>
      <c r="J381" s="5">
        <v>1</v>
      </c>
      <c r="K381" s="2" t="s">
        <v>226</v>
      </c>
      <c r="L381" s="7" t="s">
        <v>39</v>
      </c>
      <c r="M381" s="4">
        <v>4</v>
      </c>
      <c r="N381" s="5">
        <v>233</v>
      </c>
      <c r="O381" s="3">
        <v>45787</v>
      </c>
      <c r="P381" s="7" t="s">
        <v>2390</v>
      </c>
      <c r="Q381" s="7" t="s">
        <v>78</v>
      </c>
      <c r="R381" s="7" t="s">
        <v>149</v>
      </c>
      <c r="S381" s="7" t="s">
        <v>150</v>
      </c>
      <c r="T381" s="7"/>
      <c r="U381" s="11">
        <f t="shared" si="20"/>
        <v>2233</v>
      </c>
      <c r="V381" s="11">
        <f t="shared" si="21"/>
        <v>2010</v>
      </c>
      <c r="W381" s="11">
        <f t="shared" si="22"/>
        <v>223</v>
      </c>
      <c r="X381" t="str">
        <f t="shared" si="23"/>
        <v>Completed</v>
      </c>
    </row>
    <row r="382" spans="1:24" ht="12.5" x14ac:dyDescent="0.25">
      <c r="A382" s="2" t="s">
        <v>1490</v>
      </c>
      <c r="B382" s="2" t="s">
        <v>1491</v>
      </c>
      <c r="C382" s="2" t="s">
        <v>1492</v>
      </c>
      <c r="D382" s="7" t="s">
        <v>1493</v>
      </c>
      <c r="E382" s="7" t="s">
        <v>132</v>
      </c>
      <c r="F382" s="7" t="s">
        <v>38</v>
      </c>
      <c r="G382" s="5">
        <v>3734</v>
      </c>
      <c r="H382" s="5">
        <v>10</v>
      </c>
      <c r="I382" s="5">
        <v>3361</v>
      </c>
      <c r="J382" s="5">
        <v>1</v>
      </c>
      <c r="K382" s="2">
        <v>44</v>
      </c>
      <c r="L382" s="7" t="s">
        <v>64</v>
      </c>
      <c r="M382" s="4">
        <v>4.4000000000000004</v>
      </c>
      <c r="N382" s="5">
        <v>215</v>
      </c>
      <c r="O382" s="3">
        <v>45783</v>
      </c>
      <c r="P382" s="7" t="s">
        <v>2391</v>
      </c>
      <c r="Q382" s="7" t="s">
        <v>65</v>
      </c>
      <c r="R382" s="7" t="s">
        <v>58</v>
      </c>
      <c r="S382" s="7" t="s">
        <v>59</v>
      </c>
      <c r="T382" s="7" t="s">
        <v>134</v>
      </c>
      <c r="U382" s="11">
        <f t="shared" si="20"/>
        <v>3734</v>
      </c>
      <c r="V382" s="11">
        <f t="shared" si="21"/>
        <v>3361</v>
      </c>
      <c r="W382" s="11">
        <f t="shared" si="22"/>
        <v>373</v>
      </c>
      <c r="X382" t="str">
        <f t="shared" si="23"/>
        <v>Returned</v>
      </c>
    </row>
    <row r="383" spans="1:24" ht="12.5" x14ac:dyDescent="0.25">
      <c r="A383" s="2" t="s">
        <v>1494</v>
      </c>
      <c r="B383" s="2" t="s">
        <v>1495</v>
      </c>
      <c r="C383" s="2" t="s">
        <v>1496</v>
      </c>
      <c r="D383" s="7" t="s">
        <v>1497</v>
      </c>
      <c r="E383" s="7" t="s">
        <v>37</v>
      </c>
      <c r="F383" s="7" t="s">
        <v>38</v>
      </c>
      <c r="G383" s="5">
        <v>3222</v>
      </c>
      <c r="H383" s="5">
        <v>40</v>
      </c>
      <c r="I383" s="5">
        <v>1934</v>
      </c>
      <c r="J383" s="5">
        <v>1</v>
      </c>
      <c r="K383" s="2">
        <v>44</v>
      </c>
      <c r="L383" s="7" t="s">
        <v>209</v>
      </c>
      <c r="M383" s="4">
        <v>5</v>
      </c>
      <c r="N383" s="5">
        <v>26</v>
      </c>
      <c r="O383" s="3">
        <v>45841</v>
      </c>
      <c r="P383" s="7" t="s">
        <v>2391</v>
      </c>
      <c r="Q383" s="7" t="s">
        <v>78</v>
      </c>
      <c r="R383" s="7" t="s">
        <v>30</v>
      </c>
      <c r="S383" s="7" t="s">
        <v>31</v>
      </c>
      <c r="T383" s="7" t="s">
        <v>50</v>
      </c>
      <c r="U383" s="11">
        <f t="shared" si="20"/>
        <v>3222</v>
      </c>
      <c r="V383" s="11">
        <f t="shared" si="21"/>
        <v>1934</v>
      </c>
      <c r="W383" s="11">
        <f t="shared" si="22"/>
        <v>1288</v>
      </c>
      <c r="X383" t="str">
        <f t="shared" si="23"/>
        <v>Returned</v>
      </c>
    </row>
    <row r="384" spans="1:24" ht="12.5" x14ac:dyDescent="0.25">
      <c r="A384" s="2" t="s">
        <v>1498</v>
      </c>
      <c r="B384" s="2" t="s">
        <v>603</v>
      </c>
      <c r="C384" s="2" t="s">
        <v>1499</v>
      </c>
      <c r="D384" s="7" t="s">
        <v>1500</v>
      </c>
      <c r="E384" s="7" t="s">
        <v>247</v>
      </c>
      <c r="F384" s="7" t="s">
        <v>248</v>
      </c>
      <c r="G384" s="5">
        <v>1794</v>
      </c>
      <c r="H384" s="5">
        <v>40</v>
      </c>
      <c r="I384" s="5">
        <v>1077</v>
      </c>
      <c r="J384" s="5">
        <v>2</v>
      </c>
      <c r="K384" s="2" t="s">
        <v>26</v>
      </c>
      <c r="L384" s="7" t="s">
        <v>88</v>
      </c>
      <c r="M384" s="4">
        <v>4.3</v>
      </c>
      <c r="N384" s="5">
        <v>71</v>
      </c>
      <c r="O384" s="3">
        <v>45798</v>
      </c>
      <c r="P384" s="7" t="s">
        <v>2392</v>
      </c>
      <c r="Q384" s="7" t="s">
        <v>29</v>
      </c>
      <c r="R384" s="7" t="s">
        <v>41</v>
      </c>
      <c r="S384" s="7" t="s">
        <v>42</v>
      </c>
      <c r="T384" s="7"/>
      <c r="U384" s="11">
        <f t="shared" si="20"/>
        <v>3588</v>
      </c>
      <c r="V384" s="11">
        <f t="shared" si="21"/>
        <v>2154</v>
      </c>
      <c r="W384" s="11">
        <f t="shared" si="22"/>
        <v>1434</v>
      </c>
      <c r="X384" t="str">
        <f t="shared" si="23"/>
        <v>Cancelled</v>
      </c>
    </row>
    <row r="385" spans="1:24" ht="12.5" x14ac:dyDescent="0.25">
      <c r="A385" s="2" t="s">
        <v>1501</v>
      </c>
      <c r="B385" s="2" t="s">
        <v>1502</v>
      </c>
      <c r="C385" s="2" t="s">
        <v>1503</v>
      </c>
      <c r="D385" s="7" t="s">
        <v>1504</v>
      </c>
      <c r="E385" s="7" t="s">
        <v>55</v>
      </c>
      <c r="F385" s="7" t="s">
        <v>38</v>
      </c>
      <c r="G385" s="5">
        <v>1336</v>
      </c>
      <c r="H385" s="5">
        <v>35</v>
      </c>
      <c r="I385" s="5">
        <v>869</v>
      </c>
      <c r="J385" s="5">
        <v>3</v>
      </c>
      <c r="K385" s="2" t="s">
        <v>56</v>
      </c>
      <c r="L385" s="7" t="s">
        <v>73</v>
      </c>
      <c r="M385" s="4">
        <v>4.2</v>
      </c>
      <c r="N385" s="5">
        <v>74</v>
      </c>
      <c r="O385" s="3">
        <v>45825</v>
      </c>
      <c r="P385" s="7" t="s">
        <v>2391</v>
      </c>
      <c r="Q385" s="7" t="s">
        <v>29</v>
      </c>
      <c r="R385" s="7" t="s">
        <v>89</v>
      </c>
      <c r="S385" s="7" t="s">
        <v>90</v>
      </c>
      <c r="T385" s="7" t="s">
        <v>43</v>
      </c>
      <c r="U385" s="11">
        <f t="shared" si="20"/>
        <v>4008</v>
      </c>
      <c r="V385" s="11">
        <f t="shared" si="21"/>
        <v>2607</v>
      </c>
      <c r="W385" s="11">
        <f t="shared" si="22"/>
        <v>1401</v>
      </c>
      <c r="X385" t="str">
        <f t="shared" si="23"/>
        <v>Returned</v>
      </c>
    </row>
    <row r="386" spans="1:24" ht="12.5" x14ac:dyDescent="0.25">
      <c r="A386" s="2" t="s">
        <v>1505</v>
      </c>
      <c r="B386" s="2" t="s">
        <v>1506</v>
      </c>
      <c r="C386" s="2" t="s">
        <v>1507</v>
      </c>
      <c r="D386" s="7" t="s">
        <v>1508</v>
      </c>
      <c r="E386" s="7" t="s">
        <v>24</v>
      </c>
      <c r="F386" s="7" t="s">
        <v>25</v>
      </c>
      <c r="G386" s="5">
        <v>1272</v>
      </c>
      <c r="H386" s="5">
        <v>15</v>
      </c>
      <c r="I386" s="5">
        <v>1082</v>
      </c>
      <c r="J386" s="5">
        <v>3</v>
      </c>
      <c r="K386" s="2">
        <v>44</v>
      </c>
      <c r="L386" s="7" t="s">
        <v>73</v>
      </c>
      <c r="M386" s="4">
        <v>4</v>
      </c>
      <c r="N386" s="5">
        <v>281</v>
      </c>
      <c r="O386" s="3">
        <v>45781</v>
      </c>
      <c r="P386" s="7" t="s">
        <v>2390</v>
      </c>
      <c r="Q386" s="7" t="s">
        <v>29</v>
      </c>
      <c r="R386" s="7" t="s">
        <v>58</v>
      </c>
      <c r="S386" s="7" t="s">
        <v>59</v>
      </c>
      <c r="T386" s="7"/>
      <c r="U386" s="11">
        <f t="shared" ref="U386:U449" si="24">G386*J386</f>
        <v>3816</v>
      </c>
      <c r="V386" s="11">
        <f t="shared" ref="V386:V449" si="25">I386*J386</f>
        <v>3246</v>
      </c>
      <c r="W386" s="11">
        <f t="shared" ref="W386:W449" si="26">(G386-I386)*J386</f>
        <v>570</v>
      </c>
      <c r="X386" t="str">
        <f t="shared" ref="X386:X449" si="27">IF(P386="DELIVERED","Completed",IF(P386="RETURNED","Returned","Cancelled"))</f>
        <v>Completed</v>
      </c>
    </row>
    <row r="387" spans="1:24" ht="12.5" x14ac:dyDescent="0.25">
      <c r="A387" s="2" t="s">
        <v>1509</v>
      </c>
      <c r="B387" s="2" t="s">
        <v>626</v>
      </c>
      <c r="C387" s="2" t="s">
        <v>1510</v>
      </c>
      <c r="D387" s="7" t="s">
        <v>1511</v>
      </c>
      <c r="E387" s="7" t="s">
        <v>55</v>
      </c>
      <c r="F387" s="7" t="s">
        <v>38</v>
      </c>
      <c r="G387" s="5">
        <v>2984</v>
      </c>
      <c r="H387" s="5">
        <v>15</v>
      </c>
      <c r="I387" s="5">
        <v>2537</v>
      </c>
      <c r="J387" s="5">
        <v>1</v>
      </c>
      <c r="K387" s="2">
        <v>40</v>
      </c>
      <c r="L387" s="7" t="s">
        <v>27</v>
      </c>
      <c r="M387" s="4">
        <v>4.0999999999999996</v>
      </c>
      <c r="N387" s="5">
        <v>104</v>
      </c>
      <c r="O387" s="3">
        <v>45784</v>
      </c>
      <c r="P387" s="7" t="s">
        <v>2392</v>
      </c>
      <c r="Q387" s="7" t="s">
        <v>65</v>
      </c>
      <c r="R387" s="7" t="s">
        <v>110</v>
      </c>
      <c r="S387" s="7" t="s">
        <v>111</v>
      </c>
      <c r="T387" s="7"/>
      <c r="U387" s="11">
        <f t="shared" si="24"/>
        <v>2984</v>
      </c>
      <c r="V387" s="11">
        <f t="shared" si="25"/>
        <v>2537</v>
      </c>
      <c r="W387" s="11">
        <f t="shared" si="26"/>
        <v>447</v>
      </c>
      <c r="X387" t="str">
        <f t="shared" si="27"/>
        <v>Cancelled</v>
      </c>
    </row>
    <row r="388" spans="1:24" ht="12.5" x14ac:dyDescent="0.25">
      <c r="A388" s="2" t="s">
        <v>1512</v>
      </c>
      <c r="B388" s="2" t="s">
        <v>1182</v>
      </c>
      <c r="C388" s="2" t="s">
        <v>1513</v>
      </c>
      <c r="D388" s="7" t="s">
        <v>1514</v>
      </c>
      <c r="E388" s="7" t="s">
        <v>48</v>
      </c>
      <c r="F388" s="7" t="s">
        <v>25</v>
      </c>
      <c r="G388" s="5">
        <v>3062</v>
      </c>
      <c r="H388" s="5">
        <v>40</v>
      </c>
      <c r="I388" s="5">
        <v>1838</v>
      </c>
      <c r="J388" s="5">
        <v>1</v>
      </c>
      <c r="K388" s="2" t="s">
        <v>226</v>
      </c>
      <c r="L388" s="7" t="s">
        <v>64</v>
      </c>
      <c r="M388" s="4">
        <v>3.6</v>
      </c>
      <c r="N388" s="5">
        <v>76</v>
      </c>
      <c r="O388" s="3">
        <v>45799</v>
      </c>
      <c r="P388" s="7" t="s">
        <v>2391</v>
      </c>
      <c r="Q388" s="7" t="s">
        <v>65</v>
      </c>
      <c r="R388" s="7" t="s">
        <v>104</v>
      </c>
      <c r="S388" s="7" t="s">
        <v>105</v>
      </c>
      <c r="T388" s="7"/>
      <c r="U388" s="11">
        <f t="shared" si="24"/>
        <v>3062</v>
      </c>
      <c r="V388" s="11">
        <f t="shared" si="25"/>
        <v>1838</v>
      </c>
      <c r="W388" s="11">
        <f t="shared" si="26"/>
        <v>1224</v>
      </c>
      <c r="X388" t="str">
        <f t="shared" si="27"/>
        <v>Returned</v>
      </c>
    </row>
    <row r="389" spans="1:24" ht="12.5" x14ac:dyDescent="0.25">
      <c r="A389" s="2" t="s">
        <v>1515</v>
      </c>
      <c r="B389" s="2" t="s">
        <v>1516</v>
      </c>
      <c r="C389" s="2" t="s">
        <v>694</v>
      </c>
      <c r="D389" s="7" t="s">
        <v>1517</v>
      </c>
      <c r="E389" s="7" t="s">
        <v>55</v>
      </c>
      <c r="F389" s="7" t="s">
        <v>38</v>
      </c>
      <c r="G389" s="5">
        <v>724</v>
      </c>
      <c r="H389" s="5">
        <v>35</v>
      </c>
      <c r="I389" s="5">
        <v>471</v>
      </c>
      <c r="J389" s="5">
        <v>1</v>
      </c>
      <c r="K389" s="2">
        <v>44</v>
      </c>
      <c r="L389" s="7" t="s">
        <v>27</v>
      </c>
      <c r="M389" s="4">
        <v>4.7</v>
      </c>
      <c r="N389" s="5">
        <v>130</v>
      </c>
      <c r="O389" s="3">
        <v>45849</v>
      </c>
      <c r="P389" s="7" t="s">
        <v>2391</v>
      </c>
      <c r="Q389" s="7" t="s">
        <v>78</v>
      </c>
      <c r="R389" s="7" t="s">
        <v>110</v>
      </c>
      <c r="S389" s="7" t="s">
        <v>111</v>
      </c>
      <c r="T389" s="7" t="s">
        <v>134</v>
      </c>
      <c r="U389" s="11">
        <f t="shared" si="24"/>
        <v>724</v>
      </c>
      <c r="V389" s="11">
        <f t="shared" si="25"/>
        <v>471</v>
      </c>
      <c r="W389" s="11">
        <f t="shared" si="26"/>
        <v>253</v>
      </c>
      <c r="X389" t="str">
        <f t="shared" si="27"/>
        <v>Returned</v>
      </c>
    </row>
    <row r="390" spans="1:24" ht="12.5" x14ac:dyDescent="0.25">
      <c r="A390" s="2" t="s">
        <v>1518</v>
      </c>
      <c r="B390" s="2" t="s">
        <v>1169</v>
      </c>
      <c r="C390" s="2" t="s">
        <v>1519</v>
      </c>
      <c r="D390" s="7" t="s">
        <v>1520</v>
      </c>
      <c r="E390" s="7" t="s">
        <v>147</v>
      </c>
      <c r="F390" s="7" t="s">
        <v>148</v>
      </c>
      <c r="G390" s="5">
        <v>3817</v>
      </c>
      <c r="H390" s="5">
        <v>40</v>
      </c>
      <c r="I390" s="5">
        <v>2291</v>
      </c>
      <c r="J390" s="5">
        <v>2</v>
      </c>
      <c r="K390" s="2" t="s">
        <v>261</v>
      </c>
      <c r="L390" s="7" t="s">
        <v>39</v>
      </c>
      <c r="M390" s="4">
        <v>4.8</v>
      </c>
      <c r="N390" s="5">
        <v>82</v>
      </c>
      <c r="O390" s="3">
        <v>45775</v>
      </c>
      <c r="P390" s="7" t="s">
        <v>2392</v>
      </c>
      <c r="Q390" s="7" t="s">
        <v>65</v>
      </c>
      <c r="R390" s="7" t="s">
        <v>89</v>
      </c>
      <c r="S390" s="7" t="s">
        <v>90</v>
      </c>
      <c r="T390" s="7"/>
      <c r="U390" s="11">
        <f t="shared" si="24"/>
        <v>7634</v>
      </c>
      <c r="V390" s="11">
        <f t="shared" si="25"/>
        <v>4582</v>
      </c>
      <c r="W390" s="11">
        <f t="shared" si="26"/>
        <v>3052</v>
      </c>
      <c r="X390" t="str">
        <f t="shared" si="27"/>
        <v>Cancelled</v>
      </c>
    </row>
    <row r="391" spans="1:24" ht="12.5" x14ac:dyDescent="0.25">
      <c r="A391" s="2" t="s">
        <v>1521</v>
      </c>
      <c r="B391" s="2" t="s">
        <v>522</v>
      </c>
      <c r="C391" s="2" t="s">
        <v>1522</v>
      </c>
      <c r="D391" s="7" t="s">
        <v>1523</v>
      </c>
      <c r="E391" s="7" t="s">
        <v>48</v>
      </c>
      <c r="F391" s="7" t="s">
        <v>25</v>
      </c>
      <c r="G391" s="5">
        <v>1104</v>
      </c>
      <c r="H391" s="5">
        <v>10</v>
      </c>
      <c r="I391" s="5">
        <v>994</v>
      </c>
      <c r="J391" s="5">
        <v>3</v>
      </c>
      <c r="K391" s="2" t="s">
        <v>261</v>
      </c>
      <c r="L391" s="7" t="s">
        <v>103</v>
      </c>
      <c r="M391" s="4">
        <v>3.8</v>
      </c>
      <c r="N391" s="5">
        <v>146</v>
      </c>
      <c r="O391" s="3">
        <v>45802</v>
      </c>
      <c r="P391" s="7" t="s">
        <v>2392</v>
      </c>
      <c r="Q391" s="7" t="s">
        <v>78</v>
      </c>
      <c r="R391" s="7" t="s">
        <v>185</v>
      </c>
      <c r="S391" s="7" t="s">
        <v>186</v>
      </c>
      <c r="T391" s="7"/>
      <c r="U391" s="11">
        <f t="shared" si="24"/>
        <v>3312</v>
      </c>
      <c r="V391" s="11">
        <f t="shared" si="25"/>
        <v>2982</v>
      </c>
      <c r="W391" s="11">
        <f t="shared" si="26"/>
        <v>330</v>
      </c>
      <c r="X391" t="str">
        <f t="shared" si="27"/>
        <v>Cancelled</v>
      </c>
    </row>
    <row r="392" spans="1:24" ht="12.5" x14ac:dyDescent="0.25">
      <c r="A392" s="2" t="s">
        <v>1524</v>
      </c>
      <c r="B392" s="2" t="s">
        <v>1525</v>
      </c>
      <c r="C392" s="2" t="s">
        <v>330</v>
      </c>
      <c r="D392" s="7" t="s">
        <v>1526</v>
      </c>
      <c r="E392" s="7" t="s">
        <v>147</v>
      </c>
      <c r="F392" s="7" t="s">
        <v>148</v>
      </c>
      <c r="G392" s="5">
        <v>1669</v>
      </c>
      <c r="H392" s="5">
        <v>40</v>
      </c>
      <c r="I392" s="5">
        <v>1002</v>
      </c>
      <c r="J392" s="5">
        <v>1</v>
      </c>
      <c r="K392" s="2" t="s">
        <v>32</v>
      </c>
      <c r="L392" s="7" t="s">
        <v>103</v>
      </c>
      <c r="M392" s="4">
        <v>4.9000000000000004</v>
      </c>
      <c r="N392" s="5">
        <v>52</v>
      </c>
      <c r="O392" s="3">
        <v>45780</v>
      </c>
      <c r="P392" s="7" t="s">
        <v>2390</v>
      </c>
      <c r="Q392" s="7" t="s">
        <v>29</v>
      </c>
      <c r="R392" s="7" t="s">
        <v>66</v>
      </c>
      <c r="S392" s="7" t="s">
        <v>67</v>
      </c>
      <c r="T392" s="7"/>
      <c r="U392" s="11">
        <f t="shared" si="24"/>
        <v>1669</v>
      </c>
      <c r="V392" s="11">
        <f t="shared" si="25"/>
        <v>1002</v>
      </c>
      <c r="W392" s="11">
        <f t="shared" si="26"/>
        <v>667</v>
      </c>
      <c r="X392" t="str">
        <f t="shared" si="27"/>
        <v>Completed</v>
      </c>
    </row>
    <row r="393" spans="1:24" ht="12.5" x14ac:dyDescent="0.25">
      <c r="A393" s="2" t="s">
        <v>1527</v>
      </c>
      <c r="B393" s="2" t="s">
        <v>125</v>
      </c>
      <c r="C393" s="2" t="s">
        <v>1528</v>
      </c>
      <c r="D393" s="7" t="s">
        <v>1529</v>
      </c>
      <c r="E393" s="7" t="s">
        <v>147</v>
      </c>
      <c r="F393" s="7" t="s">
        <v>148</v>
      </c>
      <c r="G393" s="5">
        <v>3651</v>
      </c>
      <c r="H393" s="5">
        <v>40</v>
      </c>
      <c r="I393" s="5">
        <v>2191</v>
      </c>
      <c r="J393" s="5">
        <v>3</v>
      </c>
      <c r="K393" s="2">
        <v>42</v>
      </c>
      <c r="L393" s="7" t="s">
        <v>49</v>
      </c>
      <c r="M393" s="4">
        <v>4.7</v>
      </c>
      <c r="N393" s="5">
        <v>231</v>
      </c>
      <c r="O393" s="3">
        <v>45839</v>
      </c>
      <c r="P393" s="7" t="s">
        <v>2392</v>
      </c>
      <c r="Q393" s="7" t="s">
        <v>29</v>
      </c>
      <c r="R393" s="7" t="s">
        <v>41</v>
      </c>
      <c r="S393" s="7" t="s">
        <v>42</v>
      </c>
      <c r="T393" s="7"/>
      <c r="U393" s="11">
        <f t="shared" si="24"/>
        <v>10953</v>
      </c>
      <c r="V393" s="11">
        <f t="shared" si="25"/>
        <v>6573</v>
      </c>
      <c r="W393" s="11">
        <f t="shared" si="26"/>
        <v>4380</v>
      </c>
      <c r="X393" t="str">
        <f t="shared" si="27"/>
        <v>Cancelled</v>
      </c>
    </row>
    <row r="394" spans="1:24" ht="12.5" x14ac:dyDescent="0.25">
      <c r="A394" s="2" t="s">
        <v>1530</v>
      </c>
      <c r="B394" s="2" t="s">
        <v>1531</v>
      </c>
      <c r="C394" s="2" t="s">
        <v>652</v>
      </c>
      <c r="D394" s="7" t="s">
        <v>1532</v>
      </c>
      <c r="E394" s="7" t="s">
        <v>48</v>
      </c>
      <c r="F394" s="7" t="s">
        <v>25</v>
      </c>
      <c r="G394" s="5">
        <v>2068</v>
      </c>
      <c r="H394" s="5">
        <v>40</v>
      </c>
      <c r="I394" s="5">
        <v>1241</v>
      </c>
      <c r="J394" s="5">
        <v>2</v>
      </c>
      <c r="K394" s="2" t="s">
        <v>26</v>
      </c>
      <c r="L394" s="7" t="s">
        <v>168</v>
      </c>
      <c r="M394" s="4">
        <v>3.5</v>
      </c>
      <c r="N394" s="5">
        <v>112</v>
      </c>
      <c r="O394" s="3">
        <v>45800</v>
      </c>
      <c r="P394" s="7" t="s">
        <v>2390</v>
      </c>
      <c r="Q394" s="7" t="s">
        <v>65</v>
      </c>
      <c r="R394" s="7" t="s">
        <v>41</v>
      </c>
      <c r="S394" s="7" t="s">
        <v>42</v>
      </c>
      <c r="T394" s="7"/>
      <c r="U394" s="11">
        <f t="shared" si="24"/>
        <v>4136</v>
      </c>
      <c r="V394" s="11">
        <f t="shared" si="25"/>
        <v>2482</v>
      </c>
      <c r="W394" s="11">
        <f t="shared" si="26"/>
        <v>1654</v>
      </c>
      <c r="X394" t="str">
        <f t="shared" si="27"/>
        <v>Completed</v>
      </c>
    </row>
    <row r="395" spans="1:24" ht="12.5" x14ac:dyDescent="0.25">
      <c r="A395" s="2" t="s">
        <v>1533</v>
      </c>
      <c r="B395" s="2" t="s">
        <v>1534</v>
      </c>
      <c r="C395" s="2" t="s">
        <v>1535</v>
      </c>
      <c r="D395" s="7" t="s">
        <v>1536</v>
      </c>
      <c r="E395" s="7" t="s">
        <v>48</v>
      </c>
      <c r="F395" s="7" t="s">
        <v>25</v>
      </c>
      <c r="G395" s="5">
        <v>2298</v>
      </c>
      <c r="H395" s="5">
        <v>35</v>
      </c>
      <c r="I395" s="5">
        <v>1494</v>
      </c>
      <c r="J395" s="5">
        <v>3</v>
      </c>
      <c r="K395" s="2" t="s">
        <v>26</v>
      </c>
      <c r="L395" s="7" t="s">
        <v>168</v>
      </c>
      <c r="M395" s="4">
        <v>3.8</v>
      </c>
      <c r="N395" s="5">
        <v>28</v>
      </c>
      <c r="O395" s="3">
        <v>45777</v>
      </c>
      <c r="P395" s="7" t="s">
        <v>2390</v>
      </c>
      <c r="Q395" s="7" t="s">
        <v>65</v>
      </c>
      <c r="R395" s="7" t="s">
        <v>58</v>
      </c>
      <c r="S395" s="7" t="s">
        <v>59</v>
      </c>
      <c r="T395" s="7"/>
      <c r="U395" s="11">
        <f t="shared" si="24"/>
        <v>6894</v>
      </c>
      <c r="V395" s="11">
        <f t="shared" si="25"/>
        <v>4482</v>
      </c>
      <c r="W395" s="11">
        <f t="shared" si="26"/>
        <v>2412</v>
      </c>
      <c r="X395" t="str">
        <f t="shared" si="27"/>
        <v>Completed</v>
      </c>
    </row>
    <row r="396" spans="1:24" ht="12.5" x14ac:dyDescent="0.25">
      <c r="A396" s="2" t="s">
        <v>1537</v>
      </c>
      <c r="B396" s="2" t="s">
        <v>1538</v>
      </c>
      <c r="C396" s="2" t="s">
        <v>1539</v>
      </c>
      <c r="D396" s="7" t="s">
        <v>1540</v>
      </c>
      <c r="E396" s="7" t="s">
        <v>132</v>
      </c>
      <c r="F396" s="7" t="s">
        <v>38</v>
      </c>
      <c r="G396" s="5">
        <v>4656</v>
      </c>
      <c r="H396" s="5">
        <v>20</v>
      </c>
      <c r="I396" s="5">
        <v>3725</v>
      </c>
      <c r="J396" s="5">
        <v>2</v>
      </c>
      <c r="K396" s="2">
        <v>42</v>
      </c>
      <c r="L396" s="7" t="s">
        <v>88</v>
      </c>
      <c r="M396" s="4">
        <v>4.5999999999999996</v>
      </c>
      <c r="N396" s="5">
        <v>115</v>
      </c>
      <c r="O396" s="3">
        <v>45786</v>
      </c>
      <c r="P396" s="7" t="s">
        <v>2391</v>
      </c>
      <c r="Q396" s="7" t="s">
        <v>78</v>
      </c>
      <c r="R396" s="7" t="s">
        <v>149</v>
      </c>
      <c r="S396" s="7" t="s">
        <v>150</v>
      </c>
      <c r="T396" s="7" t="s">
        <v>203</v>
      </c>
      <c r="U396" s="11">
        <f t="shared" si="24"/>
        <v>9312</v>
      </c>
      <c r="V396" s="11">
        <f t="shared" si="25"/>
        <v>7450</v>
      </c>
      <c r="W396" s="11">
        <f t="shared" si="26"/>
        <v>1862</v>
      </c>
      <c r="X396" t="str">
        <f t="shared" si="27"/>
        <v>Returned</v>
      </c>
    </row>
    <row r="397" spans="1:24" ht="12.5" x14ac:dyDescent="0.25">
      <c r="A397" s="2" t="s">
        <v>1541</v>
      </c>
      <c r="B397" s="2" t="s">
        <v>314</v>
      </c>
      <c r="C397" s="2" t="s">
        <v>1542</v>
      </c>
      <c r="D397" s="7" t="s">
        <v>1543</v>
      </c>
      <c r="E397" s="7" t="s">
        <v>208</v>
      </c>
      <c r="F397" s="7" t="s">
        <v>117</v>
      </c>
      <c r="G397" s="5">
        <v>4279</v>
      </c>
      <c r="H397" s="5">
        <v>40</v>
      </c>
      <c r="I397" s="5">
        <v>2568</v>
      </c>
      <c r="J397" s="5">
        <v>1</v>
      </c>
      <c r="K397" s="2" t="s">
        <v>226</v>
      </c>
      <c r="L397" s="7" t="s">
        <v>133</v>
      </c>
      <c r="M397" s="4">
        <v>3.6</v>
      </c>
      <c r="N397" s="5">
        <v>122</v>
      </c>
      <c r="O397" s="3">
        <v>45824</v>
      </c>
      <c r="P397" s="7" t="s">
        <v>2391</v>
      </c>
      <c r="Q397" s="7" t="s">
        <v>78</v>
      </c>
      <c r="R397" s="7" t="s">
        <v>185</v>
      </c>
      <c r="S397" s="7" t="s">
        <v>186</v>
      </c>
      <c r="T397" s="7" t="s">
        <v>203</v>
      </c>
      <c r="U397" s="11">
        <f t="shared" si="24"/>
        <v>4279</v>
      </c>
      <c r="V397" s="11">
        <f t="shared" si="25"/>
        <v>2568</v>
      </c>
      <c r="W397" s="11">
        <f t="shared" si="26"/>
        <v>1711</v>
      </c>
      <c r="X397" t="str">
        <f t="shared" si="27"/>
        <v>Returned</v>
      </c>
    </row>
    <row r="398" spans="1:24" ht="12.5" x14ac:dyDescent="0.25">
      <c r="A398" s="2" t="s">
        <v>1544</v>
      </c>
      <c r="B398" s="2" t="s">
        <v>1545</v>
      </c>
      <c r="C398" s="2" t="s">
        <v>1546</v>
      </c>
      <c r="D398" s="7" t="s">
        <v>1547</v>
      </c>
      <c r="E398" s="7" t="s">
        <v>247</v>
      </c>
      <c r="F398" s="7" t="s">
        <v>248</v>
      </c>
      <c r="G398" s="5">
        <v>1119</v>
      </c>
      <c r="H398" s="5">
        <v>15</v>
      </c>
      <c r="I398" s="5">
        <v>952</v>
      </c>
      <c r="J398" s="5">
        <v>3</v>
      </c>
      <c r="K398" s="2" t="s">
        <v>163</v>
      </c>
      <c r="L398" s="7" t="s">
        <v>88</v>
      </c>
      <c r="M398" s="4">
        <v>4.8</v>
      </c>
      <c r="N398" s="5">
        <v>132</v>
      </c>
      <c r="O398" s="3">
        <v>45781</v>
      </c>
      <c r="P398" s="7" t="s">
        <v>2390</v>
      </c>
      <c r="Q398" s="7" t="s">
        <v>29</v>
      </c>
      <c r="R398" s="7" t="s">
        <v>30</v>
      </c>
      <c r="S398" s="7" t="s">
        <v>31</v>
      </c>
      <c r="T398" s="7"/>
      <c r="U398" s="11">
        <f t="shared" si="24"/>
        <v>3357</v>
      </c>
      <c r="V398" s="11">
        <f t="shared" si="25"/>
        <v>2856</v>
      </c>
      <c r="W398" s="11">
        <f t="shared" si="26"/>
        <v>501</v>
      </c>
      <c r="X398" t="str">
        <f t="shared" si="27"/>
        <v>Completed</v>
      </c>
    </row>
    <row r="399" spans="1:24" ht="12.5" x14ac:dyDescent="0.25">
      <c r="A399" s="2" t="s">
        <v>1548</v>
      </c>
      <c r="B399" s="2" t="s">
        <v>1549</v>
      </c>
      <c r="C399" s="2" t="s">
        <v>1550</v>
      </c>
      <c r="D399" s="7" t="s">
        <v>1551</v>
      </c>
      <c r="E399" s="7" t="s">
        <v>208</v>
      </c>
      <c r="F399" s="7" t="s">
        <v>117</v>
      </c>
      <c r="G399" s="5">
        <v>3450</v>
      </c>
      <c r="H399" s="5">
        <v>10</v>
      </c>
      <c r="I399" s="5">
        <v>3105</v>
      </c>
      <c r="J399" s="5">
        <v>3</v>
      </c>
      <c r="K399" s="2" t="s">
        <v>56</v>
      </c>
      <c r="L399" s="7" t="s">
        <v>133</v>
      </c>
      <c r="M399" s="4">
        <v>5</v>
      </c>
      <c r="N399" s="5">
        <v>29</v>
      </c>
      <c r="O399" s="3">
        <v>45857</v>
      </c>
      <c r="P399" s="7" t="s">
        <v>2390</v>
      </c>
      <c r="Q399" s="7" t="s">
        <v>78</v>
      </c>
      <c r="R399" s="7" t="s">
        <v>104</v>
      </c>
      <c r="S399" s="7" t="s">
        <v>105</v>
      </c>
      <c r="T399" s="7"/>
      <c r="U399" s="11">
        <f t="shared" si="24"/>
        <v>10350</v>
      </c>
      <c r="V399" s="11">
        <f t="shared" si="25"/>
        <v>9315</v>
      </c>
      <c r="W399" s="11">
        <f t="shared" si="26"/>
        <v>1035</v>
      </c>
      <c r="X399" t="str">
        <f t="shared" si="27"/>
        <v>Completed</v>
      </c>
    </row>
    <row r="400" spans="1:24" ht="12.5" x14ac:dyDescent="0.25">
      <c r="A400" s="2" t="s">
        <v>1552</v>
      </c>
      <c r="B400" s="2" t="s">
        <v>1553</v>
      </c>
      <c r="C400" s="2" t="s">
        <v>1554</v>
      </c>
      <c r="D400" s="7" t="s">
        <v>1555</v>
      </c>
      <c r="E400" s="7" t="s">
        <v>122</v>
      </c>
      <c r="F400" s="7" t="s">
        <v>123</v>
      </c>
      <c r="G400" s="5">
        <v>4054</v>
      </c>
      <c r="H400" s="5">
        <v>10</v>
      </c>
      <c r="I400" s="5">
        <v>3649</v>
      </c>
      <c r="J400" s="5">
        <v>3</v>
      </c>
      <c r="K400" s="2" t="s">
        <v>261</v>
      </c>
      <c r="L400" s="7" t="s">
        <v>103</v>
      </c>
      <c r="M400" s="4">
        <v>4.9000000000000004</v>
      </c>
      <c r="N400" s="5">
        <v>92</v>
      </c>
      <c r="O400" s="3">
        <v>45835</v>
      </c>
      <c r="P400" s="7" t="s">
        <v>2391</v>
      </c>
      <c r="Q400" s="7" t="s">
        <v>29</v>
      </c>
      <c r="R400" s="7" t="s">
        <v>104</v>
      </c>
      <c r="S400" s="7" t="s">
        <v>105</v>
      </c>
      <c r="T400" s="7" t="s">
        <v>134</v>
      </c>
      <c r="U400" s="11">
        <f t="shared" si="24"/>
        <v>12162</v>
      </c>
      <c r="V400" s="11">
        <f t="shared" si="25"/>
        <v>10947</v>
      </c>
      <c r="W400" s="11">
        <f t="shared" si="26"/>
        <v>1215</v>
      </c>
      <c r="X400" t="str">
        <f t="shared" si="27"/>
        <v>Returned</v>
      </c>
    </row>
    <row r="401" spans="1:24" ht="12.5" x14ac:dyDescent="0.25">
      <c r="A401" s="2" t="s">
        <v>1556</v>
      </c>
      <c r="B401" s="2" t="s">
        <v>1557</v>
      </c>
      <c r="C401" s="2" t="s">
        <v>1558</v>
      </c>
      <c r="D401" s="7" t="s">
        <v>1559</v>
      </c>
      <c r="E401" s="7" t="s">
        <v>247</v>
      </c>
      <c r="F401" s="7" t="s">
        <v>248</v>
      </c>
      <c r="G401" s="5">
        <v>4586</v>
      </c>
      <c r="H401" s="5">
        <v>10</v>
      </c>
      <c r="I401" s="5">
        <v>4128</v>
      </c>
      <c r="J401" s="5">
        <v>2</v>
      </c>
      <c r="K401" s="2">
        <v>42</v>
      </c>
      <c r="L401" s="7" t="s">
        <v>209</v>
      </c>
      <c r="M401" s="4">
        <v>4.5</v>
      </c>
      <c r="N401" s="5">
        <v>239</v>
      </c>
      <c r="O401" s="3">
        <v>45848</v>
      </c>
      <c r="P401" s="7" t="s">
        <v>2390</v>
      </c>
      <c r="Q401" s="7" t="s">
        <v>29</v>
      </c>
      <c r="R401" s="7" t="s">
        <v>30</v>
      </c>
      <c r="S401" s="7" t="s">
        <v>31</v>
      </c>
      <c r="T401" s="7"/>
      <c r="U401" s="11">
        <f t="shared" si="24"/>
        <v>9172</v>
      </c>
      <c r="V401" s="11">
        <f t="shared" si="25"/>
        <v>8256</v>
      </c>
      <c r="W401" s="11">
        <f t="shared" si="26"/>
        <v>916</v>
      </c>
      <c r="X401" t="str">
        <f t="shared" si="27"/>
        <v>Completed</v>
      </c>
    </row>
    <row r="402" spans="1:24" ht="12.5" x14ac:dyDescent="0.25">
      <c r="A402" s="2" t="s">
        <v>1560</v>
      </c>
      <c r="B402" s="2" t="s">
        <v>275</v>
      </c>
      <c r="C402" s="2" t="s">
        <v>1561</v>
      </c>
      <c r="D402" s="7" t="s">
        <v>1562</v>
      </c>
      <c r="E402" s="7" t="s">
        <v>116</v>
      </c>
      <c r="F402" s="7" t="s">
        <v>117</v>
      </c>
      <c r="G402" s="5">
        <v>1578</v>
      </c>
      <c r="H402" s="5">
        <v>10</v>
      </c>
      <c r="I402" s="5">
        <v>1421</v>
      </c>
      <c r="J402" s="5">
        <v>2</v>
      </c>
      <c r="K402" s="2">
        <v>44</v>
      </c>
      <c r="L402" s="7" t="s">
        <v>27</v>
      </c>
      <c r="M402" s="4">
        <v>3.7</v>
      </c>
      <c r="N402" s="5">
        <v>38</v>
      </c>
      <c r="O402" s="3">
        <v>45773</v>
      </c>
      <c r="P402" s="7" t="s">
        <v>2392</v>
      </c>
      <c r="Q402" s="7" t="s">
        <v>29</v>
      </c>
      <c r="R402" s="7" t="s">
        <v>66</v>
      </c>
      <c r="S402" s="7" t="s">
        <v>67</v>
      </c>
      <c r="T402" s="7"/>
      <c r="U402" s="11">
        <f t="shared" si="24"/>
        <v>3156</v>
      </c>
      <c r="V402" s="11">
        <f t="shared" si="25"/>
        <v>2842</v>
      </c>
      <c r="W402" s="11">
        <f t="shared" si="26"/>
        <v>314</v>
      </c>
      <c r="X402" t="str">
        <f t="shared" si="27"/>
        <v>Cancelled</v>
      </c>
    </row>
    <row r="403" spans="1:24" ht="12.5" x14ac:dyDescent="0.25">
      <c r="A403" s="2" t="s">
        <v>1563</v>
      </c>
      <c r="B403" s="2" t="s">
        <v>1564</v>
      </c>
      <c r="C403" s="2" t="s">
        <v>1565</v>
      </c>
      <c r="D403" s="7" t="s">
        <v>1566</v>
      </c>
      <c r="E403" s="7" t="s">
        <v>48</v>
      </c>
      <c r="F403" s="7" t="s">
        <v>25</v>
      </c>
      <c r="G403" s="5">
        <v>3118</v>
      </c>
      <c r="H403" s="5">
        <v>20</v>
      </c>
      <c r="I403" s="5">
        <v>2495</v>
      </c>
      <c r="J403" s="5">
        <v>2</v>
      </c>
      <c r="K403" s="2" t="s">
        <v>226</v>
      </c>
      <c r="L403" s="7" t="s">
        <v>133</v>
      </c>
      <c r="M403" s="4">
        <v>4.2</v>
      </c>
      <c r="N403" s="5">
        <v>186</v>
      </c>
      <c r="O403" s="3">
        <v>45840</v>
      </c>
      <c r="P403" s="7" t="s">
        <v>2392</v>
      </c>
      <c r="Q403" s="7" t="s">
        <v>78</v>
      </c>
      <c r="R403" s="7" t="s">
        <v>185</v>
      </c>
      <c r="S403" s="7" t="s">
        <v>186</v>
      </c>
      <c r="T403" s="7"/>
      <c r="U403" s="11">
        <f t="shared" si="24"/>
        <v>6236</v>
      </c>
      <c r="V403" s="11">
        <f t="shared" si="25"/>
        <v>4990</v>
      </c>
      <c r="W403" s="11">
        <f t="shared" si="26"/>
        <v>1246</v>
      </c>
      <c r="X403" t="str">
        <f t="shared" si="27"/>
        <v>Cancelled</v>
      </c>
    </row>
    <row r="404" spans="1:24" ht="12.5" x14ac:dyDescent="0.25">
      <c r="A404" s="2" t="s">
        <v>1567</v>
      </c>
      <c r="B404" s="2" t="s">
        <v>1568</v>
      </c>
      <c r="C404" s="2" t="s">
        <v>1569</v>
      </c>
      <c r="D404" s="7" t="s">
        <v>1570</v>
      </c>
      <c r="E404" s="7" t="s">
        <v>55</v>
      </c>
      <c r="F404" s="7" t="s">
        <v>38</v>
      </c>
      <c r="G404" s="5">
        <v>3792</v>
      </c>
      <c r="H404" s="5">
        <v>30</v>
      </c>
      <c r="I404" s="5">
        <v>2655</v>
      </c>
      <c r="J404" s="5">
        <v>3</v>
      </c>
      <c r="K404" s="2" t="s">
        <v>261</v>
      </c>
      <c r="L404" s="7" t="s">
        <v>73</v>
      </c>
      <c r="M404" s="4">
        <v>4.7</v>
      </c>
      <c r="N404" s="5">
        <v>133</v>
      </c>
      <c r="O404" s="3">
        <v>45782</v>
      </c>
      <c r="P404" s="7" t="s">
        <v>2390</v>
      </c>
      <c r="Q404" s="7" t="s">
        <v>65</v>
      </c>
      <c r="R404" s="7" t="s">
        <v>30</v>
      </c>
      <c r="S404" s="7" t="s">
        <v>31</v>
      </c>
      <c r="T404" s="7"/>
      <c r="U404" s="11">
        <f t="shared" si="24"/>
        <v>11376</v>
      </c>
      <c r="V404" s="11">
        <f t="shared" si="25"/>
        <v>7965</v>
      </c>
      <c r="W404" s="11">
        <f t="shared" si="26"/>
        <v>3411</v>
      </c>
      <c r="X404" t="str">
        <f t="shared" si="27"/>
        <v>Completed</v>
      </c>
    </row>
    <row r="405" spans="1:24" ht="12.5" x14ac:dyDescent="0.25">
      <c r="A405" s="2" t="s">
        <v>1571</v>
      </c>
      <c r="B405" s="2" t="s">
        <v>160</v>
      </c>
      <c r="C405" s="2" t="s">
        <v>1572</v>
      </c>
      <c r="D405" s="7" t="s">
        <v>1573</v>
      </c>
      <c r="E405" s="7" t="s">
        <v>55</v>
      </c>
      <c r="F405" s="7" t="s">
        <v>38</v>
      </c>
      <c r="G405" s="5">
        <v>4550</v>
      </c>
      <c r="H405" s="5">
        <v>40</v>
      </c>
      <c r="I405" s="5">
        <v>2730</v>
      </c>
      <c r="J405" s="5">
        <v>3</v>
      </c>
      <c r="K405" s="2" t="s">
        <v>32</v>
      </c>
      <c r="L405" s="7" t="s">
        <v>39</v>
      </c>
      <c r="M405" s="4">
        <v>3.5</v>
      </c>
      <c r="N405" s="5">
        <v>252</v>
      </c>
      <c r="O405" s="3">
        <v>45786</v>
      </c>
      <c r="P405" s="7" t="s">
        <v>2391</v>
      </c>
      <c r="Q405" s="7" t="s">
        <v>78</v>
      </c>
      <c r="R405" s="7" t="s">
        <v>185</v>
      </c>
      <c r="S405" s="7" t="s">
        <v>186</v>
      </c>
      <c r="T405" s="7"/>
      <c r="U405" s="11">
        <f t="shared" si="24"/>
        <v>13650</v>
      </c>
      <c r="V405" s="11">
        <f t="shared" si="25"/>
        <v>8190</v>
      </c>
      <c r="W405" s="11">
        <f t="shared" si="26"/>
        <v>5460</v>
      </c>
      <c r="X405" t="str">
        <f t="shared" si="27"/>
        <v>Returned</v>
      </c>
    </row>
    <row r="406" spans="1:24" ht="12.5" x14ac:dyDescent="0.25">
      <c r="A406" s="2" t="s">
        <v>1574</v>
      </c>
      <c r="B406" s="2" t="s">
        <v>69</v>
      </c>
      <c r="C406" s="2" t="s">
        <v>1575</v>
      </c>
      <c r="D406" s="7" t="s">
        <v>1576</v>
      </c>
      <c r="E406" s="7" t="s">
        <v>122</v>
      </c>
      <c r="F406" s="7" t="s">
        <v>123</v>
      </c>
      <c r="G406" s="5">
        <v>1729</v>
      </c>
      <c r="H406" s="5">
        <v>20</v>
      </c>
      <c r="I406" s="5">
        <v>1384</v>
      </c>
      <c r="J406" s="5">
        <v>2</v>
      </c>
      <c r="K406" s="2">
        <v>44</v>
      </c>
      <c r="L406" s="7" t="s">
        <v>133</v>
      </c>
      <c r="M406" s="4">
        <v>4.0999999999999996</v>
      </c>
      <c r="N406" s="5">
        <v>37</v>
      </c>
      <c r="O406" s="3">
        <v>45818</v>
      </c>
      <c r="P406" s="7" t="s">
        <v>2390</v>
      </c>
      <c r="Q406" s="7" t="s">
        <v>65</v>
      </c>
      <c r="R406" s="7" t="s">
        <v>66</v>
      </c>
      <c r="S406" s="7" t="s">
        <v>67</v>
      </c>
      <c r="T406" s="7"/>
      <c r="U406" s="11">
        <f t="shared" si="24"/>
        <v>3458</v>
      </c>
      <c r="V406" s="11">
        <f t="shared" si="25"/>
        <v>2768</v>
      </c>
      <c r="W406" s="11">
        <f t="shared" si="26"/>
        <v>690</v>
      </c>
      <c r="X406" t="str">
        <f t="shared" si="27"/>
        <v>Completed</v>
      </c>
    </row>
    <row r="407" spans="1:24" ht="12.5" x14ac:dyDescent="0.25">
      <c r="A407" s="2" t="s">
        <v>1577</v>
      </c>
      <c r="B407" s="2" t="s">
        <v>80</v>
      </c>
      <c r="C407" s="2" t="s">
        <v>1578</v>
      </c>
      <c r="D407" s="7" t="s">
        <v>1579</v>
      </c>
      <c r="E407" s="7" t="s">
        <v>132</v>
      </c>
      <c r="F407" s="7" t="s">
        <v>38</v>
      </c>
      <c r="G407" s="5">
        <v>1792</v>
      </c>
      <c r="H407" s="5">
        <v>25</v>
      </c>
      <c r="I407" s="5">
        <v>1344</v>
      </c>
      <c r="J407" s="5">
        <v>2</v>
      </c>
      <c r="K407" s="2" t="s">
        <v>32</v>
      </c>
      <c r="L407" s="7" t="s">
        <v>209</v>
      </c>
      <c r="M407" s="4">
        <v>4.5</v>
      </c>
      <c r="N407" s="5">
        <v>141</v>
      </c>
      <c r="O407" s="3">
        <v>45799</v>
      </c>
      <c r="P407" s="7" t="s">
        <v>2391</v>
      </c>
      <c r="Q407" s="7" t="s">
        <v>65</v>
      </c>
      <c r="R407" s="7" t="s">
        <v>185</v>
      </c>
      <c r="S407" s="7" t="s">
        <v>186</v>
      </c>
      <c r="T407" s="7" t="s">
        <v>203</v>
      </c>
      <c r="U407" s="11">
        <f t="shared" si="24"/>
        <v>3584</v>
      </c>
      <c r="V407" s="11">
        <f t="shared" si="25"/>
        <v>2688</v>
      </c>
      <c r="W407" s="11">
        <f t="shared" si="26"/>
        <v>896</v>
      </c>
      <c r="X407" t="str">
        <f t="shared" si="27"/>
        <v>Returned</v>
      </c>
    </row>
    <row r="408" spans="1:24" ht="12.5" x14ac:dyDescent="0.25">
      <c r="A408" s="2" t="s">
        <v>1580</v>
      </c>
      <c r="B408" s="2" t="s">
        <v>809</v>
      </c>
      <c r="C408" s="2" t="s">
        <v>1581</v>
      </c>
      <c r="D408" s="7" t="s">
        <v>1582</v>
      </c>
      <c r="E408" s="7" t="s">
        <v>48</v>
      </c>
      <c r="F408" s="7" t="s">
        <v>25</v>
      </c>
      <c r="G408" s="5">
        <v>2430</v>
      </c>
      <c r="H408" s="5">
        <v>35</v>
      </c>
      <c r="I408" s="5">
        <v>1580</v>
      </c>
      <c r="J408" s="5">
        <v>1</v>
      </c>
      <c r="K408" s="2" t="s">
        <v>261</v>
      </c>
      <c r="L408" s="7" t="s">
        <v>64</v>
      </c>
      <c r="M408" s="4">
        <v>3.7</v>
      </c>
      <c r="N408" s="5">
        <v>221</v>
      </c>
      <c r="O408" s="3">
        <v>45795</v>
      </c>
      <c r="P408" s="7" t="s">
        <v>2391</v>
      </c>
      <c r="Q408" s="7" t="s">
        <v>65</v>
      </c>
      <c r="R408" s="7" t="s">
        <v>41</v>
      </c>
      <c r="S408" s="7" t="s">
        <v>42</v>
      </c>
      <c r="T408" s="7" t="s">
        <v>134</v>
      </c>
      <c r="U408" s="11">
        <f t="shared" si="24"/>
        <v>2430</v>
      </c>
      <c r="V408" s="11">
        <f t="shared" si="25"/>
        <v>1580</v>
      </c>
      <c r="W408" s="11">
        <f t="shared" si="26"/>
        <v>850</v>
      </c>
      <c r="X408" t="str">
        <f t="shared" si="27"/>
        <v>Returned</v>
      </c>
    </row>
    <row r="409" spans="1:24" ht="12.5" x14ac:dyDescent="0.25">
      <c r="A409" s="2" t="s">
        <v>1583</v>
      </c>
      <c r="B409" s="2" t="s">
        <v>905</v>
      </c>
      <c r="C409" s="2" t="s">
        <v>1584</v>
      </c>
      <c r="D409" s="7" t="s">
        <v>1585</v>
      </c>
      <c r="E409" s="7" t="s">
        <v>37</v>
      </c>
      <c r="F409" s="7" t="s">
        <v>38</v>
      </c>
      <c r="G409" s="5">
        <v>4647</v>
      </c>
      <c r="H409" s="5">
        <v>40</v>
      </c>
      <c r="I409" s="5">
        <v>2789</v>
      </c>
      <c r="J409" s="5">
        <v>2</v>
      </c>
      <c r="K409" s="2">
        <v>44</v>
      </c>
      <c r="L409" s="7" t="s">
        <v>49</v>
      </c>
      <c r="M409" s="4">
        <v>4.2</v>
      </c>
      <c r="N409" s="5">
        <v>267</v>
      </c>
      <c r="O409" s="3">
        <v>45825</v>
      </c>
      <c r="P409" s="7" t="s">
        <v>2390</v>
      </c>
      <c r="Q409" s="7" t="s">
        <v>29</v>
      </c>
      <c r="R409" s="7" t="s">
        <v>83</v>
      </c>
      <c r="S409" s="7" t="s">
        <v>83</v>
      </c>
      <c r="T409" s="7"/>
      <c r="U409" s="11">
        <f t="shared" si="24"/>
        <v>9294</v>
      </c>
      <c r="V409" s="11">
        <f t="shared" si="25"/>
        <v>5578</v>
      </c>
      <c r="W409" s="11">
        <f t="shared" si="26"/>
        <v>3716</v>
      </c>
      <c r="X409" t="str">
        <f t="shared" si="27"/>
        <v>Completed</v>
      </c>
    </row>
    <row r="410" spans="1:24" ht="12.5" x14ac:dyDescent="0.25">
      <c r="A410" s="2" t="s">
        <v>1586</v>
      </c>
      <c r="B410" s="2" t="s">
        <v>1050</v>
      </c>
      <c r="C410" s="2" t="s">
        <v>1587</v>
      </c>
      <c r="D410" s="7" t="s">
        <v>1588</v>
      </c>
      <c r="E410" s="7" t="s">
        <v>116</v>
      </c>
      <c r="F410" s="7" t="s">
        <v>117</v>
      </c>
      <c r="G410" s="5">
        <v>4486</v>
      </c>
      <c r="H410" s="5">
        <v>20</v>
      </c>
      <c r="I410" s="5">
        <v>3589</v>
      </c>
      <c r="J410" s="5">
        <v>1</v>
      </c>
      <c r="K410" s="2">
        <v>44</v>
      </c>
      <c r="L410" s="7" t="s">
        <v>39</v>
      </c>
      <c r="M410" s="4">
        <v>4.9000000000000004</v>
      </c>
      <c r="N410" s="5">
        <v>63</v>
      </c>
      <c r="O410" s="3">
        <v>45823</v>
      </c>
      <c r="P410" s="7" t="s">
        <v>2390</v>
      </c>
      <c r="Q410" s="7" t="s">
        <v>65</v>
      </c>
      <c r="R410" s="7" t="s">
        <v>149</v>
      </c>
      <c r="S410" s="7" t="s">
        <v>150</v>
      </c>
      <c r="T410" s="7"/>
      <c r="U410" s="11">
        <f t="shared" si="24"/>
        <v>4486</v>
      </c>
      <c r="V410" s="11">
        <f t="shared" si="25"/>
        <v>3589</v>
      </c>
      <c r="W410" s="11">
        <f t="shared" si="26"/>
        <v>897</v>
      </c>
      <c r="X410" t="str">
        <f t="shared" si="27"/>
        <v>Completed</v>
      </c>
    </row>
    <row r="411" spans="1:24" ht="12.5" x14ac:dyDescent="0.25">
      <c r="A411" s="2" t="s">
        <v>1589</v>
      </c>
      <c r="B411" s="2" t="s">
        <v>107</v>
      </c>
      <c r="C411" s="2" t="s">
        <v>1590</v>
      </c>
      <c r="D411" s="7" t="s">
        <v>1591</v>
      </c>
      <c r="E411" s="7" t="s">
        <v>132</v>
      </c>
      <c r="F411" s="7" t="s">
        <v>38</v>
      </c>
      <c r="G411" s="5">
        <v>3126</v>
      </c>
      <c r="H411" s="5">
        <v>10</v>
      </c>
      <c r="I411" s="5">
        <v>2814</v>
      </c>
      <c r="J411" s="5">
        <v>3</v>
      </c>
      <c r="K411" s="2" t="s">
        <v>226</v>
      </c>
      <c r="L411" s="7" t="s">
        <v>133</v>
      </c>
      <c r="M411" s="4">
        <v>3.7</v>
      </c>
      <c r="N411" s="5">
        <v>15</v>
      </c>
      <c r="O411" s="3">
        <v>45837</v>
      </c>
      <c r="P411" s="7" t="s">
        <v>2390</v>
      </c>
      <c r="Q411" s="7" t="s">
        <v>29</v>
      </c>
      <c r="R411" s="7" t="s">
        <v>104</v>
      </c>
      <c r="S411" s="7" t="s">
        <v>105</v>
      </c>
      <c r="T411" s="7"/>
      <c r="U411" s="11">
        <f t="shared" si="24"/>
        <v>9378</v>
      </c>
      <c r="V411" s="11">
        <f t="shared" si="25"/>
        <v>8442</v>
      </c>
      <c r="W411" s="11">
        <f t="shared" si="26"/>
        <v>936</v>
      </c>
      <c r="X411" t="str">
        <f t="shared" si="27"/>
        <v>Completed</v>
      </c>
    </row>
    <row r="412" spans="1:24" ht="12.5" x14ac:dyDescent="0.25">
      <c r="A412" s="2" t="s">
        <v>1592</v>
      </c>
      <c r="B412" s="2" t="s">
        <v>677</v>
      </c>
      <c r="C412" s="2" t="s">
        <v>1593</v>
      </c>
      <c r="D412" s="7" t="s">
        <v>1594</v>
      </c>
      <c r="E412" s="7" t="s">
        <v>37</v>
      </c>
      <c r="F412" s="7" t="s">
        <v>38</v>
      </c>
      <c r="G412" s="5">
        <v>1404</v>
      </c>
      <c r="H412" s="5">
        <v>10</v>
      </c>
      <c r="I412" s="5">
        <v>1264</v>
      </c>
      <c r="J412" s="5">
        <v>1</v>
      </c>
      <c r="K412" s="2">
        <v>44</v>
      </c>
      <c r="L412" s="7" t="s">
        <v>168</v>
      </c>
      <c r="M412" s="4">
        <v>3.7</v>
      </c>
      <c r="N412" s="5">
        <v>239</v>
      </c>
      <c r="O412" s="3">
        <v>45791</v>
      </c>
      <c r="P412" s="7" t="s">
        <v>2391</v>
      </c>
      <c r="Q412" s="7" t="s">
        <v>29</v>
      </c>
      <c r="R412" s="7" t="s">
        <v>66</v>
      </c>
      <c r="S412" s="7" t="s">
        <v>67</v>
      </c>
      <c r="T412" s="7" t="s">
        <v>134</v>
      </c>
      <c r="U412" s="11">
        <f t="shared" si="24"/>
        <v>1404</v>
      </c>
      <c r="V412" s="11">
        <f t="shared" si="25"/>
        <v>1264</v>
      </c>
      <c r="W412" s="11">
        <f t="shared" si="26"/>
        <v>140</v>
      </c>
      <c r="X412" t="str">
        <f t="shared" si="27"/>
        <v>Returned</v>
      </c>
    </row>
    <row r="413" spans="1:24" ht="12.5" x14ac:dyDescent="0.25">
      <c r="A413" s="2" t="s">
        <v>1595</v>
      </c>
      <c r="B413" s="2" t="s">
        <v>1596</v>
      </c>
      <c r="C413" s="2" t="s">
        <v>1597</v>
      </c>
      <c r="D413" s="7" t="s">
        <v>1598</v>
      </c>
      <c r="E413" s="7" t="s">
        <v>55</v>
      </c>
      <c r="F413" s="7" t="s">
        <v>38</v>
      </c>
      <c r="G413" s="5">
        <v>4075</v>
      </c>
      <c r="H413" s="5">
        <v>10</v>
      </c>
      <c r="I413" s="5">
        <v>3668</v>
      </c>
      <c r="J413" s="5">
        <v>3</v>
      </c>
      <c r="K413" s="2" t="s">
        <v>72</v>
      </c>
      <c r="L413" s="7" t="s">
        <v>27</v>
      </c>
      <c r="M413" s="4">
        <v>4.2</v>
      </c>
      <c r="N413" s="5">
        <v>170</v>
      </c>
      <c r="O413" s="3">
        <v>45802</v>
      </c>
      <c r="P413" s="7" t="s">
        <v>2390</v>
      </c>
      <c r="Q413" s="7" t="s">
        <v>65</v>
      </c>
      <c r="R413" s="7" t="s">
        <v>89</v>
      </c>
      <c r="S413" s="7" t="s">
        <v>90</v>
      </c>
      <c r="T413" s="7"/>
      <c r="U413" s="11">
        <f t="shared" si="24"/>
        <v>12225</v>
      </c>
      <c r="V413" s="11">
        <f t="shared" si="25"/>
        <v>11004</v>
      </c>
      <c r="W413" s="11">
        <f t="shared" si="26"/>
        <v>1221</v>
      </c>
      <c r="X413" t="str">
        <f t="shared" si="27"/>
        <v>Completed</v>
      </c>
    </row>
    <row r="414" spans="1:24" ht="12.5" x14ac:dyDescent="0.25">
      <c r="A414" s="2" t="s">
        <v>1599</v>
      </c>
      <c r="B414" s="2" t="s">
        <v>1600</v>
      </c>
      <c r="C414" s="2" t="s">
        <v>1601</v>
      </c>
      <c r="D414" s="7" t="s">
        <v>1602</v>
      </c>
      <c r="E414" s="7" t="s">
        <v>48</v>
      </c>
      <c r="F414" s="7" t="s">
        <v>25</v>
      </c>
      <c r="G414" s="5">
        <v>1014</v>
      </c>
      <c r="H414" s="5">
        <v>20</v>
      </c>
      <c r="I414" s="5">
        <v>812</v>
      </c>
      <c r="J414" s="5">
        <v>2</v>
      </c>
      <c r="K414" s="2" t="s">
        <v>261</v>
      </c>
      <c r="L414" s="7" t="s">
        <v>133</v>
      </c>
      <c r="M414" s="4">
        <v>3.7</v>
      </c>
      <c r="N414" s="5">
        <v>12</v>
      </c>
      <c r="O414" s="3">
        <v>45827</v>
      </c>
      <c r="P414" s="7" t="s">
        <v>2392</v>
      </c>
      <c r="Q414" s="7" t="s">
        <v>65</v>
      </c>
      <c r="R414" s="7" t="s">
        <v>58</v>
      </c>
      <c r="S414" s="7" t="s">
        <v>59</v>
      </c>
      <c r="T414" s="7"/>
      <c r="U414" s="11">
        <f t="shared" si="24"/>
        <v>2028</v>
      </c>
      <c r="V414" s="11">
        <f t="shared" si="25"/>
        <v>1624</v>
      </c>
      <c r="W414" s="11">
        <f t="shared" si="26"/>
        <v>404</v>
      </c>
      <c r="X414" t="str">
        <f t="shared" si="27"/>
        <v>Cancelled</v>
      </c>
    </row>
    <row r="415" spans="1:24" ht="12.5" x14ac:dyDescent="0.25">
      <c r="A415" s="2" t="s">
        <v>1603</v>
      </c>
      <c r="B415" s="2" t="s">
        <v>677</v>
      </c>
      <c r="C415" s="2" t="s">
        <v>1604</v>
      </c>
      <c r="D415" s="7" t="s">
        <v>1605</v>
      </c>
      <c r="E415" s="7" t="s">
        <v>122</v>
      </c>
      <c r="F415" s="7" t="s">
        <v>123</v>
      </c>
      <c r="G415" s="5">
        <v>2286</v>
      </c>
      <c r="H415" s="5">
        <v>10</v>
      </c>
      <c r="I415" s="5">
        <v>2058</v>
      </c>
      <c r="J415" s="5">
        <v>3</v>
      </c>
      <c r="K415" s="2" t="s">
        <v>226</v>
      </c>
      <c r="L415" s="7" t="s">
        <v>209</v>
      </c>
      <c r="M415" s="4">
        <v>4.8</v>
      </c>
      <c r="N415" s="5">
        <v>269</v>
      </c>
      <c r="O415" s="3">
        <v>45838</v>
      </c>
      <c r="P415" s="7" t="s">
        <v>2392</v>
      </c>
      <c r="Q415" s="7" t="s">
        <v>29</v>
      </c>
      <c r="R415" s="7" t="s">
        <v>41</v>
      </c>
      <c r="S415" s="7" t="s">
        <v>42</v>
      </c>
      <c r="T415" s="7"/>
      <c r="U415" s="11">
        <f t="shared" si="24"/>
        <v>6858</v>
      </c>
      <c r="V415" s="11">
        <f t="shared" si="25"/>
        <v>6174</v>
      </c>
      <c r="W415" s="11">
        <f t="shared" si="26"/>
        <v>684</v>
      </c>
      <c r="X415" t="str">
        <f t="shared" si="27"/>
        <v>Cancelled</v>
      </c>
    </row>
    <row r="416" spans="1:24" ht="12.5" x14ac:dyDescent="0.25">
      <c r="A416" s="2" t="s">
        <v>1606</v>
      </c>
      <c r="B416" s="2" t="s">
        <v>1549</v>
      </c>
      <c r="C416" s="2" t="s">
        <v>1607</v>
      </c>
      <c r="D416" s="7" t="s">
        <v>1608</v>
      </c>
      <c r="E416" s="7" t="s">
        <v>132</v>
      </c>
      <c r="F416" s="7" t="s">
        <v>38</v>
      </c>
      <c r="G416" s="5">
        <v>1508</v>
      </c>
      <c r="H416" s="5">
        <v>35</v>
      </c>
      <c r="I416" s="5">
        <v>981</v>
      </c>
      <c r="J416" s="5">
        <v>2</v>
      </c>
      <c r="K416" s="2" t="s">
        <v>72</v>
      </c>
      <c r="L416" s="7" t="s">
        <v>209</v>
      </c>
      <c r="M416" s="4">
        <v>4.8</v>
      </c>
      <c r="N416" s="5">
        <v>142</v>
      </c>
      <c r="O416" s="3">
        <v>45799</v>
      </c>
      <c r="P416" s="7" t="s">
        <v>2390</v>
      </c>
      <c r="Q416" s="7" t="s">
        <v>78</v>
      </c>
      <c r="R416" s="7" t="s">
        <v>149</v>
      </c>
      <c r="S416" s="7" t="s">
        <v>150</v>
      </c>
      <c r="T416" s="7"/>
      <c r="U416" s="11">
        <f t="shared" si="24"/>
        <v>3016</v>
      </c>
      <c r="V416" s="11">
        <f t="shared" si="25"/>
        <v>1962</v>
      </c>
      <c r="W416" s="11">
        <f t="shared" si="26"/>
        <v>1054</v>
      </c>
      <c r="X416" t="str">
        <f t="shared" si="27"/>
        <v>Completed</v>
      </c>
    </row>
    <row r="417" spans="1:24" ht="12.5" x14ac:dyDescent="0.25">
      <c r="A417" s="2" t="s">
        <v>1609</v>
      </c>
      <c r="B417" s="2" t="s">
        <v>1610</v>
      </c>
      <c r="C417" s="2" t="s">
        <v>1611</v>
      </c>
      <c r="D417" s="7" t="s">
        <v>1612</v>
      </c>
      <c r="E417" s="7" t="s">
        <v>116</v>
      </c>
      <c r="F417" s="7" t="s">
        <v>117</v>
      </c>
      <c r="G417" s="5">
        <v>1716</v>
      </c>
      <c r="H417" s="5">
        <v>35</v>
      </c>
      <c r="I417" s="5">
        <v>1116</v>
      </c>
      <c r="J417" s="5">
        <v>1</v>
      </c>
      <c r="K417" s="2" t="s">
        <v>26</v>
      </c>
      <c r="L417" s="7" t="s">
        <v>49</v>
      </c>
      <c r="M417" s="4">
        <v>4.9000000000000004</v>
      </c>
      <c r="N417" s="5">
        <v>272</v>
      </c>
      <c r="O417" s="3">
        <v>45791</v>
      </c>
      <c r="P417" s="7" t="s">
        <v>2392</v>
      </c>
      <c r="Q417" s="7" t="s">
        <v>78</v>
      </c>
      <c r="R417" s="7" t="s">
        <v>110</v>
      </c>
      <c r="S417" s="7" t="s">
        <v>111</v>
      </c>
      <c r="T417" s="7"/>
      <c r="U417" s="11">
        <f t="shared" si="24"/>
        <v>1716</v>
      </c>
      <c r="V417" s="11">
        <f t="shared" si="25"/>
        <v>1116</v>
      </c>
      <c r="W417" s="11">
        <f t="shared" si="26"/>
        <v>600</v>
      </c>
      <c r="X417" t="str">
        <f t="shared" si="27"/>
        <v>Cancelled</v>
      </c>
    </row>
    <row r="418" spans="1:24" ht="12.5" x14ac:dyDescent="0.25">
      <c r="A418" s="2" t="s">
        <v>1613</v>
      </c>
      <c r="B418" s="2" t="s">
        <v>34</v>
      </c>
      <c r="C418" s="2" t="s">
        <v>1614</v>
      </c>
      <c r="D418" s="7" t="s">
        <v>1615</v>
      </c>
      <c r="E418" s="7" t="s">
        <v>24</v>
      </c>
      <c r="F418" s="7" t="s">
        <v>25</v>
      </c>
      <c r="G418" s="5">
        <v>789</v>
      </c>
      <c r="H418" s="5">
        <v>20</v>
      </c>
      <c r="I418" s="5">
        <v>632</v>
      </c>
      <c r="J418" s="5">
        <v>3</v>
      </c>
      <c r="K418" s="2" t="s">
        <v>72</v>
      </c>
      <c r="L418" s="7" t="s">
        <v>49</v>
      </c>
      <c r="M418" s="4">
        <v>4.8</v>
      </c>
      <c r="N418" s="5">
        <v>35</v>
      </c>
      <c r="O418" s="3">
        <v>45803</v>
      </c>
      <c r="P418" s="7" t="s">
        <v>2390</v>
      </c>
      <c r="Q418" s="7" t="s">
        <v>78</v>
      </c>
      <c r="R418" s="7" t="s">
        <v>41</v>
      </c>
      <c r="S418" s="7" t="s">
        <v>42</v>
      </c>
      <c r="T418" s="7"/>
      <c r="U418" s="11">
        <f t="shared" si="24"/>
        <v>2367</v>
      </c>
      <c r="V418" s="11">
        <f t="shared" si="25"/>
        <v>1896</v>
      </c>
      <c r="W418" s="11">
        <f t="shared" si="26"/>
        <v>471</v>
      </c>
      <c r="X418" t="str">
        <f t="shared" si="27"/>
        <v>Completed</v>
      </c>
    </row>
    <row r="419" spans="1:24" ht="12.5" x14ac:dyDescent="0.25">
      <c r="A419" s="2" t="s">
        <v>1616</v>
      </c>
      <c r="B419" s="2" t="s">
        <v>1617</v>
      </c>
      <c r="C419" s="2" t="s">
        <v>1618</v>
      </c>
      <c r="D419" s="7" t="s">
        <v>1619</v>
      </c>
      <c r="E419" s="7" t="s">
        <v>147</v>
      </c>
      <c r="F419" s="7" t="s">
        <v>148</v>
      </c>
      <c r="G419" s="5">
        <v>1627</v>
      </c>
      <c r="H419" s="5">
        <v>10</v>
      </c>
      <c r="I419" s="5">
        <v>1465</v>
      </c>
      <c r="J419" s="5">
        <v>3</v>
      </c>
      <c r="K419" s="2" t="s">
        <v>26</v>
      </c>
      <c r="L419" s="7" t="s">
        <v>209</v>
      </c>
      <c r="M419" s="4">
        <v>3.6</v>
      </c>
      <c r="N419" s="5">
        <v>216</v>
      </c>
      <c r="O419" s="3">
        <v>45852</v>
      </c>
      <c r="P419" s="7" t="s">
        <v>2391</v>
      </c>
      <c r="Q419" s="7" t="s">
        <v>78</v>
      </c>
      <c r="R419" s="7" t="s">
        <v>104</v>
      </c>
      <c r="S419" s="7" t="s">
        <v>105</v>
      </c>
      <c r="T419" s="7"/>
      <c r="U419" s="11">
        <f t="shared" si="24"/>
        <v>4881</v>
      </c>
      <c r="V419" s="11">
        <f t="shared" si="25"/>
        <v>4395</v>
      </c>
      <c r="W419" s="11">
        <f t="shared" si="26"/>
        <v>486</v>
      </c>
      <c r="X419" t="str">
        <f t="shared" si="27"/>
        <v>Returned</v>
      </c>
    </row>
    <row r="420" spans="1:24" ht="12.5" x14ac:dyDescent="0.25">
      <c r="A420" s="2" t="s">
        <v>1620</v>
      </c>
      <c r="B420" s="2" t="s">
        <v>125</v>
      </c>
      <c r="C420" s="2" t="s">
        <v>1621</v>
      </c>
      <c r="D420" s="7" t="s">
        <v>1622</v>
      </c>
      <c r="E420" s="7" t="s">
        <v>24</v>
      </c>
      <c r="F420" s="7" t="s">
        <v>25</v>
      </c>
      <c r="G420" s="5">
        <v>3925</v>
      </c>
      <c r="H420" s="5">
        <v>40</v>
      </c>
      <c r="I420" s="5">
        <v>2355</v>
      </c>
      <c r="J420" s="5">
        <v>1</v>
      </c>
      <c r="K420" s="2" t="s">
        <v>72</v>
      </c>
      <c r="L420" s="7" t="s">
        <v>209</v>
      </c>
      <c r="M420" s="4">
        <v>4</v>
      </c>
      <c r="N420" s="5">
        <v>257</v>
      </c>
      <c r="O420" s="3">
        <v>45824</v>
      </c>
      <c r="P420" s="7" t="s">
        <v>2392</v>
      </c>
      <c r="Q420" s="7" t="s">
        <v>78</v>
      </c>
      <c r="R420" s="7" t="s">
        <v>104</v>
      </c>
      <c r="S420" s="7" t="s">
        <v>105</v>
      </c>
      <c r="T420" s="7"/>
      <c r="U420" s="11">
        <f t="shared" si="24"/>
        <v>3925</v>
      </c>
      <c r="V420" s="11">
        <f t="shared" si="25"/>
        <v>2355</v>
      </c>
      <c r="W420" s="11">
        <f t="shared" si="26"/>
        <v>1570</v>
      </c>
      <c r="X420" t="str">
        <f t="shared" si="27"/>
        <v>Cancelled</v>
      </c>
    </row>
    <row r="421" spans="1:24" ht="12.5" x14ac:dyDescent="0.25">
      <c r="A421" s="2" t="s">
        <v>1623</v>
      </c>
      <c r="B421" s="2" t="s">
        <v>1624</v>
      </c>
      <c r="C421" s="2" t="s">
        <v>1625</v>
      </c>
      <c r="D421" s="7" t="s">
        <v>1626</v>
      </c>
      <c r="E421" s="7" t="s">
        <v>37</v>
      </c>
      <c r="F421" s="7" t="s">
        <v>38</v>
      </c>
      <c r="G421" s="5">
        <v>1736</v>
      </c>
      <c r="H421" s="5">
        <v>15</v>
      </c>
      <c r="I421" s="5">
        <v>1476</v>
      </c>
      <c r="J421" s="5">
        <v>2</v>
      </c>
      <c r="K421" s="2" t="s">
        <v>32</v>
      </c>
      <c r="L421" s="7" t="s">
        <v>88</v>
      </c>
      <c r="M421" s="4">
        <v>4.7</v>
      </c>
      <c r="N421" s="5">
        <v>33</v>
      </c>
      <c r="O421" s="3">
        <v>45825</v>
      </c>
      <c r="P421" s="7" t="s">
        <v>2392</v>
      </c>
      <c r="Q421" s="7" t="s">
        <v>78</v>
      </c>
      <c r="R421" s="7" t="s">
        <v>58</v>
      </c>
      <c r="S421" s="7" t="s">
        <v>59</v>
      </c>
      <c r="T421" s="7"/>
      <c r="U421" s="11">
        <f t="shared" si="24"/>
        <v>3472</v>
      </c>
      <c r="V421" s="11">
        <f t="shared" si="25"/>
        <v>2952</v>
      </c>
      <c r="W421" s="11">
        <f t="shared" si="26"/>
        <v>520</v>
      </c>
      <c r="X421" t="str">
        <f t="shared" si="27"/>
        <v>Cancelled</v>
      </c>
    </row>
    <row r="422" spans="1:24" ht="12.5" x14ac:dyDescent="0.25">
      <c r="A422" s="2" t="s">
        <v>1627</v>
      </c>
      <c r="B422" s="2" t="s">
        <v>981</v>
      </c>
      <c r="C422" s="2" t="s">
        <v>1628</v>
      </c>
      <c r="D422" s="7" t="s">
        <v>1629</v>
      </c>
      <c r="E422" s="7" t="s">
        <v>208</v>
      </c>
      <c r="F422" s="7" t="s">
        <v>117</v>
      </c>
      <c r="G422" s="5">
        <v>3837</v>
      </c>
      <c r="H422" s="5">
        <v>25</v>
      </c>
      <c r="I422" s="5">
        <v>2878</v>
      </c>
      <c r="J422" s="5">
        <v>1</v>
      </c>
      <c r="K422" s="2">
        <v>44</v>
      </c>
      <c r="L422" s="7" t="s">
        <v>209</v>
      </c>
      <c r="M422" s="4">
        <v>3.8</v>
      </c>
      <c r="N422" s="5">
        <v>25</v>
      </c>
      <c r="O422" s="3">
        <v>45819</v>
      </c>
      <c r="P422" s="7" t="s">
        <v>2391</v>
      </c>
      <c r="Q422" s="7" t="s">
        <v>65</v>
      </c>
      <c r="R422" s="7" t="s">
        <v>104</v>
      </c>
      <c r="S422" s="7" t="s">
        <v>105</v>
      </c>
      <c r="T422" s="7" t="s">
        <v>134</v>
      </c>
      <c r="U422" s="11">
        <f t="shared" si="24"/>
        <v>3837</v>
      </c>
      <c r="V422" s="11">
        <f t="shared" si="25"/>
        <v>2878</v>
      </c>
      <c r="W422" s="11">
        <f t="shared" si="26"/>
        <v>959</v>
      </c>
      <c r="X422" t="str">
        <f t="shared" si="27"/>
        <v>Returned</v>
      </c>
    </row>
    <row r="423" spans="1:24" ht="12.5" x14ac:dyDescent="0.25">
      <c r="A423" s="2" t="s">
        <v>1630</v>
      </c>
      <c r="B423" s="2" t="s">
        <v>1631</v>
      </c>
      <c r="C423" s="2" t="s">
        <v>1632</v>
      </c>
      <c r="D423" s="7" t="s">
        <v>1633</v>
      </c>
      <c r="E423" s="7" t="s">
        <v>208</v>
      </c>
      <c r="F423" s="7" t="s">
        <v>117</v>
      </c>
      <c r="G423" s="5">
        <v>4027</v>
      </c>
      <c r="H423" s="5">
        <v>35</v>
      </c>
      <c r="I423" s="5">
        <v>2618</v>
      </c>
      <c r="J423" s="5">
        <v>2</v>
      </c>
      <c r="K423" s="2">
        <v>42</v>
      </c>
      <c r="L423" s="7" t="s">
        <v>103</v>
      </c>
      <c r="M423" s="4">
        <v>4.0999999999999996</v>
      </c>
      <c r="N423" s="5">
        <v>260</v>
      </c>
      <c r="O423" s="3">
        <v>45845</v>
      </c>
      <c r="P423" s="7" t="s">
        <v>2392</v>
      </c>
      <c r="Q423" s="7" t="s">
        <v>78</v>
      </c>
      <c r="R423" s="7" t="s">
        <v>149</v>
      </c>
      <c r="S423" s="7" t="s">
        <v>150</v>
      </c>
      <c r="T423" s="7"/>
      <c r="U423" s="11">
        <f t="shared" si="24"/>
        <v>8054</v>
      </c>
      <c r="V423" s="11">
        <f t="shared" si="25"/>
        <v>5236</v>
      </c>
      <c r="W423" s="11">
        <f t="shared" si="26"/>
        <v>2818</v>
      </c>
      <c r="X423" t="str">
        <f t="shared" si="27"/>
        <v>Cancelled</v>
      </c>
    </row>
    <row r="424" spans="1:24" ht="12.5" x14ac:dyDescent="0.25">
      <c r="A424" s="2" t="s">
        <v>1634</v>
      </c>
      <c r="B424" s="2" t="s">
        <v>626</v>
      </c>
      <c r="C424" s="2" t="s">
        <v>1635</v>
      </c>
      <c r="D424" s="7" t="s">
        <v>1636</v>
      </c>
      <c r="E424" s="7" t="s">
        <v>116</v>
      </c>
      <c r="F424" s="7" t="s">
        <v>117</v>
      </c>
      <c r="G424" s="5">
        <v>3991</v>
      </c>
      <c r="H424" s="5">
        <v>35</v>
      </c>
      <c r="I424" s="5">
        <v>2595</v>
      </c>
      <c r="J424" s="5">
        <v>2</v>
      </c>
      <c r="K424" s="2" t="s">
        <v>56</v>
      </c>
      <c r="L424" s="7" t="s">
        <v>73</v>
      </c>
      <c r="M424" s="4">
        <v>3.6</v>
      </c>
      <c r="N424" s="5">
        <v>178</v>
      </c>
      <c r="O424" s="3">
        <v>45853</v>
      </c>
      <c r="P424" s="7" t="s">
        <v>2392</v>
      </c>
      <c r="Q424" s="7" t="s">
        <v>78</v>
      </c>
      <c r="R424" s="7" t="s">
        <v>149</v>
      </c>
      <c r="S424" s="7" t="s">
        <v>150</v>
      </c>
      <c r="T424" s="7"/>
      <c r="U424" s="11">
        <f t="shared" si="24"/>
        <v>7982</v>
      </c>
      <c r="V424" s="11">
        <f t="shared" si="25"/>
        <v>5190</v>
      </c>
      <c r="W424" s="11">
        <f t="shared" si="26"/>
        <v>2792</v>
      </c>
      <c r="X424" t="str">
        <f t="shared" si="27"/>
        <v>Cancelled</v>
      </c>
    </row>
    <row r="425" spans="1:24" ht="12.5" x14ac:dyDescent="0.25">
      <c r="A425" s="2" t="s">
        <v>1637</v>
      </c>
      <c r="B425" s="2" t="s">
        <v>854</v>
      </c>
      <c r="C425" s="2" t="s">
        <v>1638</v>
      </c>
      <c r="D425" s="7" t="s">
        <v>1639</v>
      </c>
      <c r="E425" s="7" t="s">
        <v>208</v>
      </c>
      <c r="F425" s="7" t="s">
        <v>117</v>
      </c>
      <c r="G425" s="5">
        <v>2956</v>
      </c>
      <c r="H425" s="5">
        <v>40</v>
      </c>
      <c r="I425" s="5">
        <v>1774</v>
      </c>
      <c r="J425" s="5">
        <v>2</v>
      </c>
      <c r="K425" s="2" t="s">
        <v>32</v>
      </c>
      <c r="L425" s="7" t="s">
        <v>64</v>
      </c>
      <c r="M425" s="4">
        <v>3.8</v>
      </c>
      <c r="N425" s="5">
        <v>65</v>
      </c>
      <c r="O425" s="3">
        <v>45793</v>
      </c>
      <c r="P425" s="7" t="s">
        <v>2392</v>
      </c>
      <c r="Q425" s="7" t="s">
        <v>78</v>
      </c>
      <c r="R425" s="7" t="s">
        <v>89</v>
      </c>
      <c r="S425" s="7" t="s">
        <v>90</v>
      </c>
      <c r="T425" s="7"/>
      <c r="U425" s="11">
        <f t="shared" si="24"/>
        <v>5912</v>
      </c>
      <c r="V425" s="11">
        <f t="shared" si="25"/>
        <v>3548</v>
      </c>
      <c r="W425" s="11">
        <f t="shared" si="26"/>
        <v>2364</v>
      </c>
      <c r="X425" t="str">
        <f t="shared" si="27"/>
        <v>Cancelled</v>
      </c>
    </row>
    <row r="426" spans="1:24" ht="12.5" x14ac:dyDescent="0.25">
      <c r="A426" s="2" t="s">
        <v>1640</v>
      </c>
      <c r="B426" s="2" t="s">
        <v>1325</v>
      </c>
      <c r="C426" s="2" t="s">
        <v>1641</v>
      </c>
      <c r="D426" s="7" t="s">
        <v>1642</v>
      </c>
      <c r="E426" s="7" t="s">
        <v>122</v>
      </c>
      <c r="F426" s="7" t="s">
        <v>123</v>
      </c>
      <c r="G426" s="5">
        <v>1835</v>
      </c>
      <c r="H426" s="5">
        <v>25</v>
      </c>
      <c r="I426" s="5">
        <v>1377</v>
      </c>
      <c r="J426" s="5">
        <v>2</v>
      </c>
      <c r="K426" s="2" t="s">
        <v>56</v>
      </c>
      <c r="L426" s="7" t="s">
        <v>49</v>
      </c>
      <c r="M426" s="4">
        <v>5</v>
      </c>
      <c r="N426" s="5">
        <v>191</v>
      </c>
      <c r="O426" s="3">
        <v>45839</v>
      </c>
      <c r="P426" s="7" t="s">
        <v>2391</v>
      </c>
      <c r="Q426" s="7" t="s">
        <v>78</v>
      </c>
      <c r="R426" s="7" t="s">
        <v>104</v>
      </c>
      <c r="S426" s="7" t="s">
        <v>105</v>
      </c>
      <c r="T426" s="7" t="s">
        <v>43</v>
      </c>
      <c r="U426" s="11">
        <f t="shared" si="24"/>
        <v>3670</v>
      </c>
      <c r="V426" s="11">
        <f t="shared" si="25"/>
        <v>2754</v>
      </c>
      <c r="W426" s="11">
        <f t="shared" si="26"/>
        <v>916</v>
      </c>
      <c r="X426" t="str">
        <f t="shared" si="27"/>
        <v>Returned</v>
      </c>
    </row>
    <row r="427" spans="1:24" ht="12.5" x14ac:dyDescent="0.25">
      <c r="A427" s="2" t="s">
        <v>1643</v>
      </c>
      <c r="B427" s="2" t="s">
        <v>1502</v>
      </c>
      <c r="C427" s="2" t="s">
        <v>1644</v>
      </c>
      <c r="D427" s="7" t="s">
        <v>1645</v>
      </c>
      <c r="E427" s="7" t="s">
        <v>55</v>
      </c>
      <c r="F427" s="7" t="s">
        <v>38</v>
      </c>
      <c r="G427" s="5">
        <v>4106</v>
      </c>
      <c r="H427" s="5">
        <v>20</v>
      </c>
      <c r="I427" s="5">
        <v>3285</v>
      </c>
      <c r="J427" s="5">
        <v>1</v>
      </c>
      <c r="K427" s="2" t="s">
        <v>56</v>
      </c>
      <c r="L427" s="7" t="s">
        <v>209</v>
      </c>
      <c r="M427" s="4">
        <v>4.5999999999999996</v>
      </c>
      <c r="N427" s="5">
        <v>248</v>
      </c>
      <c r="O427" s="3">
        <v>45851</v>
      </c>
      <c r="P427" s="7" t="s">
        <v>2390</v>
      </c>
      <c r="Q427" s="7" t="s">
        <v>78</v>
      </c>
      <c r="R427" s="7" t="s">
        <v>104</v>
      </c>
      <c r="S427" s="7" t="s">
        <v>105</v>
      </c>
      <c r="T427" s="7"/>
      <c r="U427" s="11">
        <f t="shared" si="24"/>
        <v>4106</v>
      </c>
      <c r="V427" s="11">
        <f t="shared" si="25"/>
        <v>3285</v>
      </c>
      <c r="W427" s="11">
        <f t="shared" si="26"/>
        <v>821</v>
      </c>
      <c r="X427" t="str">
        <f t="shared" si="27"/>
        <v>Completed</v>
      </c>
    </row>
    <row r="428" spans="1:24" ht="12.5" x14ac:dyDescent="0.25">
      <c r="A428" s="2" t="s">
        <v>1646</v>
      </c>
      <c r="B428" s="2" t="s">
        <v>761</v>
      </c>
      <c r="C428" s="2" t="s">
        <v>1647</v>
      </c>
      <c r="D428" s="7" t="s">
        <v>1648</v>
      </c>
      <c r="E428" s="7" t="s">
        <v>147</v>
      </c>
      <c r="F428" s="7" t="s">
        <v>148</v>
      </c>
      <c r="G428" s="5">
        <v>3411</v>
      </c>
      <c r="H428" s="5">
        <v>30</v>
      </c>
      <c r="I428" s="5">
        <v>2388</v>
      </c>
      <c r="J428" s="5">
        <v>1</v>
      </c>
      <c r="K428" s="2" t="s">
        <v>32</v>
      </c>
      <c r="L428" s="7" t="s">
        <v>209</v>
      </c>
      <c r="M428" s="4">
        <v>3.9</v>
      </c>
      <c r="N428" s="5">
        <v>208</v>
      </c>
      <c r="O428" s="3">
        <v>45803</v>
      </c>
      <c r="P428" s="7" t="s">
        <v>2390</v>
      </c>
      <c r="Q428" s="7" t="s">
        <v>29</v>
      </c>
      <c r="R428" s="7" t="s">
        <v>110</v>
      </c>
      <c r="S428" s="7" t="s">
        <v>111</v>
      </c>
      <c r="T428" s="7"/>
      <c r="U428" s="11">
        <f t="shared" si="24"/>
        <v>3411</v>
      </c>
      <c r="V428" s="11">
        <f t="shared" si="25"/>
        <v>2388</v>
      </c>
      <c r="W428" s="11">
        <f t="shared" si="26"/>
        <v>1023</v>
      </c>
      <c r="X428" t="str">
        <f t="shared" si="27"/>
        <v>Completed</v>
      </c>
    </row>
    <row r="429" spans="1:24" ht="12.5" x14ac:dyDescent="0.25">
      <c r="A429" s="2" t="s">
        <v>1649</v>
      </c>
      <c r="B429" s="2" t="s">
        <v>303</v>
      </c>
      <c r="C429" s="2" t="s">
        <v>1650</v>
      </c>
      <c r="D429" s="7" t="s">
        <v>1651</v>
      </c>
      <c r="E429" s="7" t="s">
        <v>24</v>
      </c>
      <c r="F429" s="7" t="s">
        <v>25</v>
      </c>
      <c r="G429" s="5">
        <v>1561</v>
      </c>
      <c r="H429" s="5">
        <v>30</v>
      </c>
      <c r="I429" s="5">
        <v>1093</v>
      </c>
      <c r="J429" s="5">
        <v>1</v>
      </c>
      <c r="K429" s="2">
        <v>42</v>
      </c>
      <c r="L429" s="7" t="s">
        <v>64</v>
      </c>
      <c r="M429" s="4">
        <v>5</v>
      </c>
      <c r="N429" s="5">
        <v>220</v>
      </c>
      <c r="O429" s="3">
        <v>45773</v>
      </c>
      <c r="P429" s="7" t="s">
        <v>2391</v>
      </c>
      <c r="Q429" s="7" t="s">
        <v>65</v>
      </c>
      <c r="R429" s="7" t="s">
        <v>83</v>
      </c>
      <c r="S429" s="7" t="s">
        <v>83</v>
      </c>
      <c r="T429" s="7" t="s">
        <v>43</v>
      </c>
      <c r="U429" s="11">
        <f t="shared" si="24"/>
        <v>1561</v>
      </c>
      <c r="V429" s="11">
        <f t="shared" si="25"/>
        <v>1093</v>
      </c>
      <c r="W429" s="11">
        <f t="shared" si="26"/>
        <v>468</v>
      </c>
      <c r="X429" t="str">
        <f t="shared" si="27"/>
        <v>Returned</v>
      </c>
    </row>
    <row r="430" spans="1:24" ht="12.5" x14ac:dyDescent="0.25">
      <c r="A430" s="2" t="s">
        <v>1652</v>
      </c>
      <c r="B430" s="2" t="s">
        <v>1182</v>
      </c>
      <c r="C430" s="2" t="s">
        <v>1653</v>
      </c>
      <c r="D430" s="7" t="s">
        <v>1654</v>
      </c>
      <c r="E430" s="7" t="s">
        <v>122</v>
      </c>
      <c r="F430" s="7" t="s">
        <v>123</v>
      </c>
      <c r="G430" s="5">
        <v>1926</v>
      </c>
      <c r="H430" s="5">
        <v>10</v>
      </c>
      <c r="I430" s="5">
        <v>1734</v>
      </c>
      <c r="J430" s="5">
        <v>2</v>
      </c>
      <c r="K430" s="2" t="s">
        <v>72</v>
      </c>
      <c r="L430" s="7" t="s">
        <v>64</v>
      </c>
      <c r="M430" s="4">
        <v>3.7</v>
      </c>
      <c r="N430" s="5">
        <v>242</v>
      </c>
      <c r="O430" s="3">
        <v>45783</v>
      </c>
      <c r="P430" s="7" t="s">
        <v>2392</v>
      </c>
      <c r="Q430" s="7" t="s">
        <v>29</v>
      </c>
      <c r="R430" s="7" t="s">
        <v>149</v>
      </c>
      <c r="S430" s="7" t="s">
        <v>150</v>
      </c>
      <c r="T430" s="7"/>
      <c r="U430" s="11">
        <f t="shared" si="24"/>
        <v>3852</v>
      </c>
      <c r="V430" s="11">
        <f t="shared" si="25"/>
        <v>3468</v>
      </c>
      <c r="W430" s="11">
        <f t="shared" si="26"/>
        <v>384</v>
      </c>
      <c r="X430" t="str">
        <f t="shared" si="27"/>
        <v>Cancelled</v>
      </c>
    </row>
    <row r="431" spans="1:24" ht="12.5" x14ac:dyDescent="0.25">
      <c r="A431" s="2" t="s">
        <v>1655</v>
      </c>
      <c r="B431" s="2" t="s">
        <v>448</v>
      </c>
      <c r="C431" s="2" t="s">
        <v>1656</v>
      </c>
      <c r="D431" s="7" t="s">
        <v>1657</v>
      </c>
      <c r="E431" s="7" t="s">
        <v>55</v>
      </c>
      <c r="F431" s="7" t="s">
        <v>38</v>
      </c>
      <c r="G431" s="5">
        <v>1371</v>
      </c>
      <c r="H431" s="5">
        <v>40</v>
      </c>
      <c r="I431" s="5">
        <v>823</v>
      </c>
      <c r="J431" s="5">
        <v>2</v>
      </c>
      <c r="K431" s="2" t="s">
        <v>56</v>
      </c>
      <c r="L431" s="7" t="s">
        <v>64</v>
      </c>
      <c r="M431" s="4">
        <v>4.9000000000000004</v>
      </c>
      <c r="N431" s="5">
        <v>97</v>
      </c>
      <c r="O431" s="3">
        <v>45808</v>
      </c>
      <c r="P431" s="7" t="s">
        <v>2390</v>
      </c>
      <c r="Q431" s="7" t="s">
        <v>78</v>
      </c>
      <c r="R431" s="7" t="s">
        <v>89</v>
      </c>
      <c r="S431" s="7" t="s">
        <v>90</v>
      </c>
      <c r="T431" s="7"/>
      <c r="U431" s="11">
        <f t="shared" si="24"/>
        <v>2742</v>
      </c>
      <c r="V431" s="11">
        <f t="shared" si="25"/>
        <v>1646</v>
      </c>
      <c r="W431" s="11">
        <f t="shared" si="26"/>
        <v>1096</v>
      </c>
      <c r="X431" t="str">
        <f t="shared" si="27"/>
        <v>Completed</v>
      </c>
    </row>
    <row r="432" spans="1:24" ht="12.5" x14ac:dyDescent="0.25">
      <c r="A432" s="2" t="s">
        <v>1658</v>
      </c>
      <c r="B432" s="2" t="s">
        <v>240</v>
      </c>
      <c r="C432" s="2" t="s">
        <v>1659</v>
      </c>
      <c r="D432" s="7" t="s">
        <v>1660</v>
      </c>
      <c r="E432" s="7" t="s">
        <v>37</v>
      </c>
      <c r="F432" s="7" t="s">
        <v>38</v>
      </c>
      <c r="G432" s="5">
        <v>1892</v>
      </c>
      <c r="H432" s="5">
        <v>25</v>
      </c>
      <c r="I432" s="5">
        <v>1419</v>
      </c>
      <c r="J432" s="5">
        <v>2</v>
      </c>
      <c r="K432" s="2" t="s">
        <v>261</v>
      </c>
      <c r="L432" s="7" t="s">
        <v>209</v>
      </c>
      <c r="M432" s="4">
        <v>3.9</v>
      </c>
      <c r="N432" s="5">
        <v>131</v>
      </c>
      <c r="O432" s="3">
        <v>45823</v>
      </c>
      <c r="P432" s="7" t="s">
        <v>2392</v>
      </c>
      <c r="Q432" s="7" t="s">
        <v>29</v>
      </c>
      <c r="R432" s="7" t="s">
        <v>58</v>
      </c>
      <c r="S432" s="7" t="s">
        <v>59</v>
      </c>
      <c r="T432" s="7"/>
      <c r="U432" s="11">
        <f t="shared" si="24"/>
        <v>3784</v>
      </c>
      <c r="V432" s="11">
        <f t="shared" si="25"/>
        <v>2838</v>
      </c>
      <c r="W432" s="11">
        <f t="shared" si="26"/>
        <v>946</v>
      </c>
      <c r="X432" t="str">
        <f t="shared" si="27"/>
        <v>Cancelled</v>
      </c>
    </row>
    <row r="433" spans="1:24" ht="12.5" x14ac:dyDescent="0.25">
      <c r="A433" s="2" t="s">
        <v>1661</v>
      </c>
      <c r="B433" s="2" t="s">
        <v>1662</v>
      </c>
      <c r="C433" s="2" t="s">
        <v>1663</v>
      </c>
      <c r="D433" s="7" t="s">
        <v>1664</v>
      </c>
      <c r="E433" s="7" t="s">
        <v>24</v>
      </c>
      <c r="F433" s="7" t="s">
        <v>25</v>
      </c>
      <c r="G433" s="5">
        <v>4316</v>
      </c>
      <c r="H433" s="5">
        <v>40</v>
      </c>
      <c r="I433" s="5">
        <v>2590</v>
      </c>
      <c r="J433" s="5">
        <v>1</v>
      </c>
      <c r="K433" s="2" t="s">
        <v>26</v>
      </c>
      <c r="L433" s="7" t="s">
        <v>133</v>
      </c>
      <c r="M433" s="4">
        <v>3.5</v>
      </c>
      <c r="N433" s="5">
        <v>240</v>
      </c>
      <c r="O433" s="3">
        <v>45844</v>
      </c>
      <c r="P433" s="7" t="s">
        <v>2391</v>
      </c>
      <c r="Q433" s="7" t="s">
        <v>78</v>
      </c>
      <c r="R433" s="7" t="s">
        <v>89</v>
      </c>
      <c r="S433" s="7" t="s">
        <v>90</v>
      </c>
      <c r="T433" s="7" t="s">
        <v>134</v>
      </c>
      <c r="U433" s="11">
        <f t="shared" si="24"/>
        <v>4316</v>
      </c>
      <c r="V433" s="11">
        <f t="shared" si="25"/>
        <v>2590</v>
      </c>
      <c r="W433" s="11">
        <f t="shared" si="26"/>
        <v>1726</v>
      </c>
      <c r="X433" t="str">
        <f t="shared" si="27"/>
        <v>Returned</v>
      </c>
    </row>
    <row r="434" spans="1:24" ht="12.5" x14ac:dyDescent="0.25">
      <c r="A434" s="2" t="s">
        <v>1665</v>
      </c>
      <c r="B434" s="2" t="s">
        <v>693</v>
      </c>
      <c r="C434" s="2" t="s">
        <v>1666</v>
      </c>
      <c r="D434" s="7" t="s">
        <v>1667</v>
      </c>
      <c r="E434" s="7" t="s">
        <v>24</v>
      </c>
      <c r="F434" s="7" t="s">
        <v>25</v>
      </c>
      <c r="G434" s="5">
        <v>2914</v>
      </c>
      <c r="H434" s="5">
        <v>25</v>
      </c>
      <c r="I434" s="5">
        <v>2186</v>
      </c>
      <c r="J434" s="5">
        <v>2</v>
      </c>
      <c r="K434" s="2" t="s">
        <v>163</v>
      </c>
      <c r="L434" s="7" t="s">
        <v>88</v>
      </c>
      <c r="M434" s="4">
        <v>4.5</v>
      </c>
      <c r="N434" s="5">
        <v>107</v>
      </c>
      <c r="O434" s="3">
        <v>45792</v>
      </c>
      <c r="P434" s="7" t="s">
        <v>2390</v>
      </c>
      <c r="Q434" s="7" t="s">
        <v>29</v>
      </c>
      <c r="R434" s="7" t="s">
        <v>30</v>
      </c>
      <c r="S434" s="7" t="s">
        <v>31</v>
      </c>
      <c r="T434" s="7"/>
      <c r="U434" s="11">
        <f t="shared" si="24"/>
        <v>5828</v>
      </c>
      <c r="V434" s="11">
        <f t="shared" si="25"/>
        <v>4372</v>
      </c>
      <c r="W434" s="11">
        <f t="shared" si="26"/>
        <v>1456</v>
      </c>
      <c r="X434" t="str">
        <f t="shared" si="27"/>
        <v>Completed</v>
      </c>
    </row>
    <row r="435" spans="1:24" ht="12.5" x14ac:dyDescent="0.25">
      <c r="A435" s="2" t="s">
        <v>1668</v>
      </c>
      <c r="B435" s="2" t="s">
        <v>1669</v>
      </c>
      <c r="C435" s="2" t="s">
        <v>1670</v>
      </c>
      <c r="D435" s="7" t="s">
        <v>1671</v>
      </c>
      <c r="E435" s="7" t="s">
        <v>208</v>
      </c>
      <c r="F435" s="7" t="s">
        <v>117</v>
      </c>
      <c r="G435" s="5">
        <v>2434</v>
      </c>
      <c r="H435" s="5">
        <v>30</v>
      </c>
      <c r="I435" s="5">
        <v>1704</v>
      </c>
      <c r="J435" s="5">
        <v>1</v>
      </c>
      <c r="K435" s="2" t="s">
        <v>56</v>
      </c>
      <c r="L435" s="7" t="s">
        <v>49</v>
      </c>
      <c r="M435" s="4">
        <v>4.3</v>
      </c>
      <c r="N435" s="5">
        <v>204</v>
      </c>
      <c r="O435" s="3">
        <v>45781</v>
      </c>
      <c r="P435" s="7" t="s">
        <v>2390</v>
      </c>
      <c r="Q435" s="7" t="s">
        <v>29</v>
      </c>
      <c r="R435" s="7" t="s">
        <v>89</v>
      </c>
      <c r="S435" s="7" t="s">
        <v>90</v>
      </c>
      <c r="T435" s="7"/>
      <c r="U435" s="11">
        <f t="shared" si="24"/>
        <v>2434</v>
      </c>
      <c r="V435" s="11">
        <f t="shared" si="25"/>
        <v>1704</v>
      </c>
      <c r="W435" s="11">
        <f t="shared" si="26"/>
        <v>730</v>
      </c>
      <c r="X435" t="str">
        <f t="shared" si="27"/>
        <v>Completed</v>
      </c>
    </row>
    <row r="436" spans="1:24" ht="12.5" x14ac:dyDescent="0.25">
      <c r="A436" s="2" t="s">
        <v>1672</v>
      </c>
      <c r="B436" s="2" t="s">
        <v>1132</v>
      </c>
      <c r="C436" s="2" t="s">
        <v>1673</v>
      </c>
      <c r="D436" s="7" t="s">
        <v>1674</v>
      </c>
      <c r="E436" s="7" t="s">
        <v>116</v>
      </c>
      <c r="F436" s="7" t="s">
        <v>117</v>
      </c>
      <c r="G436" s="5">
        <v>1180</v>
      </c>
      <c r="H436" s="5">
        <v>20</v>
      </c>
      <c r="I436" s="5">
        <v>944</v>
      </c>
      <c r="J436" s="5">
        <v>1</v>
      </c>
      <c r="K436" s="2" t="s">
        <v>261</v>
      </c>
      <c r="L436" s="7" t="s">
        <v>27</v>
      </c>
      <c r="M436" s="4">
        <v>4.3</v>
      </c>
      <c r="N436" s="5">
        <v>231</v>
      </c>
      <c r="O436" s="3">
        <v>45838</v>
      </c>
      <c r="P436" s="7" t="s">
        <v>2392</v>
      </c>
      <c r="Q436" s="7" t="s">
        <v>65</v>
      </c>
      <c r="R436" s="7" t="s">
        <v>66</v>
      </c>
      <c r="S436" s="7" t="s">
        <v>67</v>
      </c>
      <c r="T436" s="7"/>
      <c r="U436" s="11">
        <f t="shared" si="24"/>
        <v>1180</v>
      </c>
      <c r="V436" s="11">
        <f t="shared" si="25"/>
        <v>944</v>
      </c>
      <c r="W436" s="11">
        <f t="shared" si="26"/>
        <v>236</v>
      </c>
      <c r="X436" t="str">
        <f t="shared" si="27"/>
        <v>Cancelled</v>
      </c>
    </row>
    <row r="437" spans="1:24" ht="12.5" x14ac:dyDescent="0.25">
      <c r="A437" s="2" t="s">
        <v>1675</v>
      </c>
      <c r="B437" s="2" t="s">
        <v>1676</v>
      </c>
      <c r="C437" s="2" t="s">
        <v>1677</v>
      </c>
      <c r="D437" s="7" t="s">
        <v>1678</v>
      </c>
      <c r="E437" s="7" t="s">
        <v>37</v>
      </c>
      <c r="F437" s="7" t="s">
        <v>38</v>
      </c>
      <c r="G437" s="5">
        <v>3465</v>
      </c>
      <c r="H437" s="5">
        <v>10</v>
      </c>
      <c r="I437" s="5">
        <v>3119</v>
      </c>
      <c r="J437" s="5">
        <v>3</v>
      </c>
      <c r="K437" s="2" t="s">
        <v>163</v>
      </c>
      <c r="L437" s="7" t="s">
        <v>73</v>
      </c>
      <c r="M437" s="4">
        <v>3.9</v>
      </c>
      <c r="N437" s="5">
        <v>257</v>
      </c>
      <c r="O437" s="3">
        <v>45843</v>
      </c>
      <c r="P437" s="7" t="s">
        <v>2390</v>
      </c>
      <c r="Q437" s="7" t="s">
        <v>29</v>
      </c>
      <c r="R437" s="7" t="s">
        <v>58</v>
      </c>
      <c r="S437" s="7" t="s">
        <v>59</v>
      </c>
      <c r="T437" s="7"/>
      <c r="U437" s="11">
        <f t="shared" si="24"/>
        <v>10395</v>
      </c>
      <c r="V437" s="11">
        <f t="shared" si="25"/>
        <v>9357</v>
      </c>
      <c r="W437" s="11">
        <f t="shared" si="26"/>
        <v>1038</v>
      </c>
      <c r="X437" t="str">
        <f t="shared" si="27"/>
        <v>Completed</v>
      </c>
    </row>
    <row r="438" spans="1:24" ht="12.5" x14ac:dyDescent="0.25">
      <c r="A438" s="2" t="s">
        <v>1679</v>
      </c>
      <c r="B438" s="2" t="s">
        <v>349</v>
      </c>
      <c r="C438" s="2" t="s">
        <v>1680</v>
      </c>
      <c r="D438" s="7" t="s">
        <v>1681</v>
      </c>
      <c r="E438" s="7" t="s">
        <v>247</v>
      </c>
      <c r="F438" s="7" t="s">
        <v>248</v>
      </c>
      <c r="G438" s="5">
        <v>1947</v>
      </c>
      <c r="H438" s="5">
        <v>40</v>
      </c>
      <c r="I438" s="5">
        <v>1169</v>
      </c>
      <c r="J438" s="5">
        <v>2</v>
      </c>
      <c r="K438" s="2">
        <v>44</v>
      </c>
      <c r="L438" s="7" t="s">
        <v>88</v>
      </c>
      <c r="M438" s="4">
        <v>3.8</v>
      </c>
      <c r="N438" s="5">
        <v>45</v>
      </c>
      <c r="O438" s="3">
        <v>45818</v>
      </c>
      <c r="P438" s="7" t="s">
        <v>2390</v>
      </c>
      <c r="Q438" s="7" t="s">
        <v>29</v>
      </c>
      <c r="R438" s="7" t="s">
        <v>104</v>
      </c>
      <c r="S438" s="7" t="s">
        <v>105</v>
      </c>
      <c r="T438" s="7"/>
      <c r="U438" s="11">
        <f t="shared" si="24"/>
        <v>3894</v>
      </c>
      <c r="V438" s="11">
        <f t="shared" si="25"/>
        <v>2338</v>
      </c>
      <c r="W438" s="11">
        <f t="shared" si="26"/>
        <v>1556</v>
      </c>
      <c r="X438" t="str">
        <f t="shared" si="27"/>
        <v>Completed</v>
      </c>
    </row>
    <row r="439" spans="1:24" ht="12.5" x14ac:dyDescent="0.25">
      <c r="A439" s="2" t="s">
        <v>1682</v>
      </c>
      <c r="B439" s="2" t="s">
        <v>835</v>
      </c>
      <c r="C439" s="2" t="s">
        <v>1683</v>
      </c>
      <c r="D439" s="7" t="s">
        <v>1684</v>
      </c>
      <c r="E439" s="7" t="s">
        <v>116</v>
      </c>
      <c r="F439" s="7" t="s">
        <v>117</v>
      </c>
      <c r="G439" s="5">
        <v>3975</v>
      </c>
      <c r="H439" s="5">
        <v>35</v>
      </c>
      <c r="I439" s="5">
        <v>2584</v>
      </c>
      <c r="J439" s="5">
        <v>3</v>
      </c>
      <c r="K439" s="2" t="s">
        <v>56</v>
      </c>
      <c r="L439" s="7" t="s">
        <v>73</v>
      </c>
      <c r="M439" s="4">
        <v>4</v>
      </c>
      <c r="N439" s="5">
        <v>112</v>
      </c>
      <c r="O439" s="3">
        <v>45840</v>
      </c>
      <c r="P439" s="7" t="s">
        <v>2391</v>
      </c>
      <c r="Q439" s="7" t="s">
        <v>65</v>
      </c>
      <c r="R439" s="7" t="s">
        <v>30</v>
      </c>
      <c r="S439" s="7" t="s">
        <v>31</v>
      </c>
      <c r="T439" s="7" t="s">
        <v>43</v>
      </c>
      <c r="U439" s="11">
        <f t="shared" si="24"/>
        <v>11925</v>
      </c>
      <c r="V439" s="11">
        <f t="shared" si="25"/>
        <v>7752</v>
      </c>
      <c r="W439" s="11">
        <f t="shared" si="26"/>
        <v>4173</v>
      </c>
      <c r="X439" t="str">
        <f t="shared" si="27"/>
        <v>Returned</v>
      </c>
    </row>
    <row r="440" spans="1:24" ht="12.5" x14ac:dyDescent="0.25">
      <c r="A440" s="2" t="s">
        <v>1685</v>
      </c>
      <c r="B440" s="2" t="s">
        <v>314</v>
      </c>
      <c r="C440" s="2" t="s">
        <v>1686</v>
      </c>
      <c r="D440" s="7" t="s">
        <v>1687</v>
      </c>
      <c r="E440" s="7" t="s">
        <v>37</v>
      </c>
      <c r="F440" s="7" t="s">
        <v>38</v>
      </c>
      <c r="G440" s="5">
        <v>1355</v>
      </c>
      <c r="H440" s="5">
        <v>15</v>
      </c>
      <c r="I440" s="5">
        <v>1152</v>
      </c>
      <c r="J440" s="5">
        <v>2</v>
      </c>
      <c r="K440" s="2">
        <v>40</v>
      </c>
      <c r="L440" s="7" t="s">
        <v>168</v>
      </c>
      <c r="M440" s="4">
        <v>4.9000000000000004</v>
      </c>
      <c r="N440" s="5">
        <v>114</v>
      </c>
      <c r="O440" s="3">
        <v>45804</v>
      </c>
      <c r="P440" s="7" t="s">
        <v>2392</v>
      </c>
      <c r="Q440" s="7" t="s">
        <v>78</v>
      </c>
      <c r="R440" s="7" t="s">
        <v>89</v>
      </c>
      <c r="S440" s="7" t="s">
        <v>90</v>
      </c>
      <c r="T440" s="7"/>
      <c r="U440" s="11">
        <f t="shared" si="24"/>
        <v>2710</v>
      </c>
      <c r="V440" s="11">
        <f t="shared" si="25"/>
        <v>2304</v>
      </c>
      <c r="W440" s="11">
        <f t="shared" si="26"/>
        <v>406</v>
      </c>
      <c r="X440" t="str">
        <f t="shared" si="27"/>
        <v>Cancelled</v>
      </c>
    </row>
    <row r="441" spans="1:24" ht="12.5" x14ac:dyDescent="0.25">
      <c r="A441" s="2" t="s">
        <v>1688</v>
      </c>
      <c r="B441" s="2" t="s">
        <v>1487</v>
      </c>
      <c r="C441" s="2" t="s">
        <v>1689</v>
      </c>
      <c r="D441" s="7" t="s">
        <v>1690</v>
      </c>
      <c r="E441" s="7" t="s">
        <v>147</v>
      </c>
      <c r="F441" s="7" t="s">
        <v>148</v>
      </c>
      <c r="G441" s="5">
        <v>3420</v>
      </c>
      <c r="H441" s="5">
        <v>40</v>
      </c>
      <c r="I441" s="5">
        <v>2052</v>
      </c>
      <c r="J441" s="5">
        <v>1</v>
      </c>
      <c r="K441" s="2" t="s">
        <v>26</v>
      </c>
      <c r="L441" s="7" t="s">
        <v>168</v>
      </c>
      <c r="M441" s="4">
        <v>5</v>
      </c>
      <c r="N441" s="5">
        <v>132</v>
      </c>
      <c r="O441" s="3">
        <v>45779</v>
      </c>
      <c r="P441" s="7" t="s">
        <v>2390</v>
      </c>
      <c r="Q441" s="7" t="s">
        <v>65</v>
      </c>
      <c r="R441" s="7" t="s">
        <v>89</v>
      </c>
      <c r="S441" s="7" t="s">
        <v>90</v>
      </c>
      <c r="T441" s="7"/>
      <c r="U441" s="11">
        <f t="shared" si="24"/>
        <v>3420</v>
      </c>
      <c r="V441" s="11">
        <f t="shared" si="25"/>
        <v>2052</v>
      </c>
      <c r="W441" s="11">
        <f t="shared" si="26"/>
        <v>1368</v>
      </c>
      <c r="X441" t="str">
        <f t="shared" si="27"/>
        <v>Completed</v>
      </c>
    </row>
    <row r="442" spans="1:24" ht="12.5" x14ac:dyDescent="0.25">
      <c r="A442" s="2" t="s">
        <v>1691</v>
      </c>
      <c r="B442" s="2" t="s">
        <v>1692</v>
      </c>
      <c r="C442" s="2" t="s">
        <v>1693</v>
      </c>
      <c r="D442" s="7" t="s">
        <v>1694</v>
      </c>
      <c r="E442" s="7" t="s">
        <v>247</v>
      </c>
      <c r="F442" s="7" t="s">
        <v>248</v>
      </c>
      <c r="G442" s="5">
        <v>1600</v>
      </c>
      <c r="H442" s="5">
        <v>15</v>
      </c>
      <c r="I442" s="5">
        <v>1360</v>
      </c>
      <c r="J442" s="5">
        <v>2</v>
      </c>
      <c r="K442" s="2">
        <v>42</v>
      </c>
      <c r="L442" s="7" t="s">
        <v>49</v>
      </c>
      <c r="M442" s="4">
        <v>5</v>
      </c>
      <c r="N442" s="5">
        <v>83</v>
      </c>
      <c r="O442" s="3">
        <v>45853</v>
      </c>
      <c r="P442" s="7" t="s">
        <v>2390</v>
      </c>
      <c r="Q442" s="7" t="s">
        <v>65</v>
      </c>
      <c r="R442" s="7" t="s">
        <v>58</v>
      </c>
      <c r="S442" s="7" t="s">
        <v>59</v>
      </c>
      <c r="T442" s="7"/>
      <c r="U442" s="11">
        <f t="shared" si="24"/>
        <v>3200</v>
      </c>
      <c r="V442" s="11">
        <f t="shared" si="25"/>
        <v>2720</v>
      </c>
      <c r="W442" s="11">
        <f t="shared" si="26"/>
        <v>480</v>
      </c>
      <c r="X442" t="str">
        <f t="shared" si="27"/>
        <v>Completed</v>
      </c>
    </row>
    <row r="443" spans="1:24" ht="12.5" x14ac:dyDescent="0.25">
      <c r="A443" s="2" t="s">
        <v>1695</v>
      </c>
      <c r="B443" s="2" t="s">
        <v>1696</v>
      </c>
      <c r="C443" s="2" t="s">
        <v>1697</v>
      </c>
      <c r="D443" s="7" t="s">
        <v>1698</v>
      </c>
      <c r="E443" s="7" t="s">
        <v>116</v>
      </c>
      <c r="F443" s="7" t="s">
        <v>117</v>
      </c>
      <c r="G443" s="5">
        <v>811</v>
      </c>
      <c r="H443" s="5">
        <v>35</v>
      </c>
      <c r="I443" s="5">
        <v>528</v>
      </c>
      <c r="J443" s="5">
        <v>2</v>
      </c>
      <c r="K443" s="2">
        <v>40</v>
      </c>
      <c r="L443" s="7" t="s">
        <v>64</v>
      </c>
      <c r="M443" s="4">
        <v>4.3</v>
      </c>
      <c r="N443" s="5">
        <v>108</v>
      </c>
      <c r="O443" s="3">
        <v>45784</v>
      </c>
      <c r="P443" s="7" t="s">
        <v>2390</v>
      </c>
      <c r="Q443" s="7" t="s">
        <v>65</v>
      </c>
      <c r="R443" s="7" t="s">
        <v>89</v>
      </c>
      <c r="S443" s="7" t="s">
        <v>90</v>
      </c>
      <c r="T443" s="7"/>
      <c r="U443" s="11">
        <f t="shared" si="24"/>
        <v>1622</v>
      </c>
      <c r="V443" s="11">
        <f t="shared" si="25"/>
        <v>1056</v>
      </c>
      <c r="W443" s="11">
        <f t="shared" si="26"/>
        <v>566</v>
      </c>
      <c r="X443" t="str">
        <f t="shared" si="27"/>
        <v>Completed</v>
      </c>
    </row>
    <row r="444" spans="1:24" ht="12.5" x14ac:dyDescent="0.25">
      <c r="A444" s="2" t="s">
        <v>1699</v>
      </c>
      <c r="B444" s="2" t="s">
        <v>1700</v>
      </c>
      <c r="C444" s="2" t="s">
        <v>1701</v>
      </c>
      <c r="D444" s="7" t="s">
        <v>1702</v>
      </c>
      <c r="E444" s="7" t="s">
        <v>116</v>
      </c>
      <c r="F444" s="7" t="s">
        <v>117</v>
      </c>
      <c r="G444" s="5">
        <v>2718</v>
      </c>
      <c r="H444" s="5">
        <v>25</v>
      </c>
      <c r="I444" s="5">
        <v>2039</v>
      </c>
      <c r="J444" s="5">
        <v>1</v>
      </c>
      <c r="K444" s="2" t="s">
        <v>56</v>
      </c>
      <c r="L444" s="7" t="s">
        <v>73</v>
      </c>
      <c r="M444" s="4">
        <v>3.8</v>
      </c>
      <c r="N444" s="5">
        <v>163</v>
      </c>
      <c r="O444" s="3">
        <v>45802</v>
      </c>
      <c r="P444" s="7" t="s">
        <v>2390</v>
      </c>
      <c r="Q444" s="7" t="s">
        <v>29</v>
      </c>
      <c r="R444" s="7" t="s">
        <v>41</v>
      </c>
      <c r="S444" s="7" t="s">
        <v>42</v>
      </c>
      <c r="T444" s="7"/>
      <c r="U444" s="11">
        <f t="shared" si="24"/>
        <v>2718</v>
      </c>
      <c r="V444" s="11">
        <f t="shared" si="25"/>
        <v>2039</v>
      </c>
      <c r="W444" s="11">
        <f t="shared" si="26"/>
        <v>679</v>
      </c>
      <c r="X444" t="str">
        <f t="shared" si="27"/>
        <v>Completed</v>
      </c>
    </row>
    <row r="445" spans="1:24" ht="12.5" x14ac:dyDescent="0.25">
      <c r="A445" s="2" t="s">
        <v>1703</v>
      </c>
      <c r="B445" s="2" t="s">
        <v>909</v>
      </c>
      <c r="C445" s="2" t="s">
        <v>1704</v>
      </c>
      <c r="D445" s="7" t="s">
        <v>1705</v>
      </c>
      <c r="E445" s="7" t="s">
        <v>55</v>
      </c>
      <c r="F445" s="7" t="s">
        <v>38</v>
      </c>
      <c r="G445" s="5">
        <v>3604</v>
      </c>
      <c r="H445" s="5">
        <v>20</v>
      </c>
      <c r="I445" s="5">
        <v>2884</v>
      </c>
      <c r="J445" s="5">
        <v>1</v>
      </c>
      <c r="K445" s="2" t="s">
        <v>72</v>
      </c>
      <c r="L445" s="7" t="s">
        <v>168</v>
      </c>
      <c r="M445" s="4">
        <v>4</v>
      </c>
      <c r="N445" s="5">
        <v>258</v>
      </c>
      <c r="O445" s="3">
        <v>45811</v>
      </c>
      <c r="P445" s="7" t="s">
        <v>2391</v>
      </c>
      <c r="Q445" s="7" t="s">
        <v>78</v>
      </c>
      <c r="R445" s="7" t="s">
        <v>83</v>
      </c>
      <c r="S445" s="7" t="s">
        <v>83</v>
      </c>
      <c r="T445" s="7" t="s">
        <v>134</v>
      </c>
      <c r="U445" s="11">
        <f t="shared" si="24"/>
        <v>3604</v>
      </c>
      <c r="V445" s="11">
        <f t="shared" si="25"/>
        <v>2884</v>
      </c>
      <c r="W445" s="11">
        <f t="shared" si="26"/>
        <v>720</v>
      </c>
      <c r="X445" t="str">
        <f t="shared" si="27"/>
        <v>Returned</v>
      </c>
    </row>
    <row r="446" spans="1:24" ht="12.5" x14ac:dyDescent="0.25">
      <c r="A446" s="2" t="s">
        <v>1706</v>
      </c>
      <c r="B446" s="2" t="s">
        <v>228</v>
      </c>
      <c r="C446" s="2" t="s">
        <v>1707</v>
      </c>
      <c r="D446" s="7" t="s">
        <v>1708</v>
      </c>
      <c r="E446" s="7" t="s">
        <v>48</v>
      </c>
      <c r="F446" s="7" t="s">
        <v>25</v>
      </c>
      <c r="G446" s="5">
        <v>753</v>
      </c>
      <c r="H446" s="5">
        <v>20</v>
      </c>
      <c r="I446" s="5">
        <v>603</v>
      </c>
      <c r="J446" s="5">
        <v>1</v>
      </c>
      <c r="K446" s="2">
        <v>40</v>
      </c>
      <c r="L446" s="7" t="s">
        <v>168</v>
      </c>
      <c r="M446" s="4">
        <v>4.7</v>
      </c>
      <c r="N446" s="5">
        <v>294</v>
      </c>
      <c r="O446" s="3">
        <v>45810</v>
      </c>
      <c r="P446" s="7" t="s">
        <v>2390</v>
      </c>
      <c r="Q446" s="7" t="s">
        <v>29</v>
      </c>
      <c r="R446" s="7" t="s">
        <v>110</v>
      </c>
      <c r="S446" s="7" t="s">
        <v>111</v>
      </c>
      <c r="T446" s="7"/>
      <c r="U446" s="11">
        <f t="shared" si="24"/>
        <v>753</v>
      </c>
      <c r="V446" s="11">
        <f t="shared" si="25"/>
        <v>603</v>
      </c>
      <c r="W446" s="11">
        <f t="shared" si="26"/>
        <v>150</v>
      </c>
      <c r="X446" t="str">
        <f t="shared" si="27"/>
        <v>Completed</v>
      </c>
    </row>
    <row r="447" spans="1:24" ht="12.5" x14ac:dyDescent="0.25">
      <c r="A447" s="2" t="s">
        <v>1709</v>
      </c>
      <c r="B447" s="2" t="s">
        <v>1710</v>
      </c>
      <c r="C447" s="2" t="s">
        <v>1711</v>
      </c>
      <c r="D447" s="7" t="s">
        <v>1712</v>
      </c>
      <c r="E447" s="7" t="s">
        <v>116</v>
      </c>
      <c r="F447" s="7" t="s">
        <v>117</v>
      </c>
      <c r="G447" s="5">
        <v>4862</v>
      </c>
      <c r="H447" s="5">
        <v>35</v>
      </c>
      <c r="I447" s="5">
        <v>3161</v>
      </c>
      <c r="J447" s="5">
        <v>2</v>
      </c>
      <c r="K447" s="2" t="s">
        <v>56</v>
      </c>
      <c r="L447" s="7" t="s">
        <v>73</v>
      </c>
      <c r="M447" s="4">
        <v>4.2</v>
      </c>
      <c r="N447" s="5">
        <v>262</v>
      </c>
      <c r="O447" s="3">
        <v>45788</v>
      </c>
      <c r="P447" s="7" t="s">
        <v>2390</v>
      </c>
      <c r="Q447" s="7" t="s">
        <v>78</v>
      </c>
      <c r="R447" s="7" t="s">
        <v>83</v>
      </c>
      <c r="S447" s="7" t="s">
        <v>83</v>
      </c>
      <c r="T447" s="7"/>
      <c r="U447" s="11">
        <f t="shared" si="24"/>
        <v>9724</v>
      </c>
      <c r="V447" s="11">
        <f t="shared" si="25"/>
        <v>6322</v>
      </c>
      <c r="W447" s="11">
        <f t="shared" si="26"/>
        <v>3402</v>
      </c>
      <c r="X447" t="str">
        <f t="shared" si="27"/>
        <v>Completed</v>
      </c>
    </row>
    <row r="448" spans="1:24" ht="12.5" x14ac:dyDescent="0.25">
      <c r="A448" s="2" t="s">
        <v>1713</v>
      </c>
      <c r="B448" s="2" t="s">
        <v>1714</v>
      </c>
      <c r="C448" s="2" t="s">
        <v>1715</v>
      </c>
      <c r="D448" s="7" t="s">
        <v>1716</v>
      </c>
      <c r="E448" s="7" t="s">
        <v>48</v>
      </c>
      <c r="F448" s="7" t="s">
        <v>25</v>
      </c>
      <c r="G448" s="5">
        <v>2128</v>
      </c>
      <c r="H448" s="5">
        <v>40</v>
      </c>
      <c r="I448" s="5">
        <v>1277</v>
      </c>
      <c r="J448" s="5">
        <v>2</v>
      </c>
      <c r="K448" s="2" t="s">
        <v>163</v>
      </c>
      <c r="L448" s="7" t="s">
        <v>133</v>
      </c>
      <c r="M448" s="4">
        <v>4.8</v>
      </c>
      <c r="N448" s="5">
        <v>236</v>
      </c>
      <c r="O448" s="3">
        <v>45771</v>
      </c>
      <c r="P448" s="7" t="s">
        <v>2391</v>
      </c>
      <c r="Q448" s="7" t="s">
        <v>29</v>
      </c>
      <c r="R448" s="7" t="s">
        <v>66</v>
      </c>
      <c r="S448" s="7" t="s">
        <v>67</v>
      </c>
      <c r="T448" s="7"/>
      <c r="U448" s="11">
        <f t="shared" si="24"/>
        <v>4256</v>
      </c>
      <c r="V448" s="11">
        <f t="shared" si="25"/>
        <v>2554</v>
      </c>
      <c r="W448" s="11">
        <f t="shared" si="26"/>
        <v>1702</v>
      </c>
      <c r="X448" t="str">
        <f t="shared" si="27"/>
        <v>Returned</v>
      </c>
    </row>
    <row r="449" spans="1:24" ht="12.5" x14ac:dyDescent="0.25">
      <c r="A449" s="2" t="s">
        <v>1717</v>
      </c>
      <c r="B449" s="2" t="s">
        <v>1034</v>
      </c>
      <c r="C449" s="2" t="s">
        <v>1718</v>
      </c>
      <c r="D449" s="7" t="s">
        <v>1719</v>
      </c>
      <c r="E449" s="7" t="s">
        <v>122</v>
      </c>
      <c r="F449" s="7" t="s">
        <v>123</v>
      </c>
      <c r="G449" s="5">
        <v>2985</v>
      </c>
      <c r="H449" s="5">
        <v>35</v>
      </c>
      <c r="I449" s="5">
        <v>1941</v>
      </c>
      <c r="J449" s="5">
        <v>2</v>
      </c>
      <c r="K449" s="2" t="s">
        <v>163</v>
      </c>
      <c r="L449" s="7" t="s">
        <v>73</v>
      </c>
      <c r="M449" s="4">
        <v>3.5</v>
      </c>
      <c r="N449" s="5">
        <v>262</v>
      </c>
      <c r="O449" s="3">
        <v>45775</v>
      </c>
      <c r="P449" s="7" t="s">
        <v>2390</v>
      </c>
      <c r="Q449" s="7" t="s">
        <v>65</v>
      </c>
      <c r="R449" s="7" t="s">
        <v>30</v>
      </c>
      <c r="S449" s="7" t="s">
        <v>31</v>
      </c>
      <c r="T449" s="7"/>
      <c r="U449" s="11">
        <f t="shared" si="24"/>
        <v>5970</v>
      </c>
      <c r="V449" s="11">
        <f t="shared" si="25"/>
        <v>3882</v>
      </c>
      <c r="W449" s="11">
        <f t="shared" si="26"/>
        <v>2088</v>
      </c>
      <c r="X449" t="str">
        <f t="shared" si="27"/>
        <v>Completed</v>
      </c>
    </row>
    <row r="450" spans="1:24" ht="12.5" x14ac:dyDescent="0.25">
      <c r="A450" s="2" t="s">
        <v>1720</v>
      </c>
      <c r="B450" s="2" t="s">
        <v>21</v>
      </c>
      <c r="C450" s="2" t="s">
        <v>1721</v>
      </c>
      <c r="D450" s="7" t="s">
        <v>1722</v>
      </c>
      <c r="E450" s="7" t="s">
        <v>247</v>
      </c>
      <c r="F450" s="7" t="s">
        <v>248</v>
      </c>
      <c r="G450" s="5">
        <v>3049</v>
      </c>
      <c r="H450" s="5">
        <v>30</v>
      </c>
      <c r="I450" s="5">
        <v>2135</v>
      </c>
      <c r="J450" s="5">
        <v>3</v>
      </c>
      <c r="K450" s="2" t="s">
        <v>226</v>
      </c>
      <c r="L450" s="7" t="s">
        <v>27</v>
      </c>
      <c r="M450" s="4">
        <v>3.7</v>
      </c>
      <c r="N450" s="5">
        <v>194</v>
      </c>
      <c r="O450" s="3">
        <v>45837</v>
      </c>
      <c r="P450" s="7" t="s">
        <v>2391</v>
      </c>
      <c r="Q450" s="7" t="s">
        <v>65</v>
      </c>
      <c r="R450" s="7" t="s">
        <v>58</v>
      </c>
      <c r="S450" s="7" t="s">
        <v>59</v>
      </c>
      <c r="T450" s="7" t="s">
        <v>134</v>
      </c>
      <c r="U450" s="11">
        <f t="shared" ref="U450:U513" si="28">G450*J450</f>
        <v>9147</v>
      </c>
      <c r="V450" s="11">
        <f t="shared" ref="V450:V513" si="29">I450*J450</f>
        <v>6405</v>
      </c>
      <c r="W450" s="11">
        <f t="shared" ref="W450:W513" si="30">(G450-I450)*J450</f>
        <v>2742</v>
      </c>
      <c r="X450" t="str">
        <f t="shared" ref="X450:X513" si="31">IF(P450="DELIVERED","Completed",IF(P450="RETURNED","Returned","Cancelled"))</f>
        <v>Returned</v>
      </c>
    </row>
    <row r="451" spans="1:24" ht="12.5" x14ac:dyDescent="0.25">
      <c r="A451" s="2" t="s">
        <v>1723</v>
      </c>
      <c r="B451" s="2" t="s">
        <v>1378</v>
      </c>
      <c r="C451" s="2" t="s">
        <v>1724</v>
      </c>
      <c r="D451" s="7" t="s">
        <v>1725</v>
      </c>
      <c r="E451" s="7" t="s">
        <v>24</v>
      </c>
      <c r="F451" s="7" t="s">
        <v>25</v>
      </c>
      <c r="G451" s="5">
        <v>875</v>
      </c>
      <c r="H451" s="5">
        <v>35</v>
      </c>
      <c r="I451" s="5">
        <v>569</v>
      </c>
      <c r="J451" s="5">
        <v>1</v>
      </c>
      <c r="K451" s="2" t="s">
        <v>26</v>
      </c>
      <c r="L451" s="7" t="s">
        <v>49</v>
      </c>
      <c r="M451" s="4">
        <v>4.8</v>
      </c>
      <c r="N451" s="5">
        <v>114</v>
      </c>
      <c r="O451" s="3">
        <v>45801</v>
      </c>
      <c r="P451" s="7" t="s">
        <v>2390</v>
      </c>
      <c r="Q451" s="7" t="s">
        <v>78</v>
      </c>
      <c r="R451" s="7" t="s">
        <v>104</v>
      </c>
      <c r="S451" s="7" t="s">
        <v>105</v>
      </c>
      <c r="T451" s="7"/>
      <c r="U451" s="11">
        <f t="shared" si="28"/>
        <v>875</v>
      </c>
      <c r="V451" s="11">
        <f t="shared" si="29"/>
        <v>569</v>
      </c>
      <c r="W451" s="11">
        <f t="shared" si="30"/>
        <v>306</v>
      </c>
      <c r="X451" t="str">
        <f t="shared" si="31"/>
        <v>Completed</v>
      </c>
    </row>
    <row r="452" spans="1:24" ht="12.5" x14ac:dyDescent="0.25">
      <c r="A452" s="2" t="s">
        <v>1726</v>
      </c>
      <c r="B452" s="2" t="s">
        <v>518</v>
      </c>
      <c r="C452" s="2" t="s">
        <v>1727</v>
      </c>
      <c r="D452" s="7" t="s">
        <v>1728</v>
      </c>
      <c r="E452" s="7" t="s">
        <v>208</v>
      </c>
      <c r="F452" s="7" t="s">
        <v>117</v>
      </c>
      <c r="G452" s="5">
        <v>1794</v>
      </c>
      <c r="H452" s="5">
        <v>15</v>
      </c>
      <c r="I452" s="5">
        <v>1525</v>
      </c>
      <c r="J452" s="5">
        <v>1</v>
      </c>
      <c r="K452" s="2" t="s">
        <v>26</v>
      </c>
      <c r="L452" s="7" t="s">
        <v>88</v>
      </c>
      <c r="M452" s="4">
        <v>4.7</v>
      </c>
      <c r="N452" s="5">
        <v>201</v>
      </c>
      <c r="O452" s="3">
        <v>45816</v>
      </c>
      <c r="P452" s="7" t="s">
        <v>2392</v>
      </c>
      <c r="Q452" s="7" t="s">
        <v>65</v>
      </c>
      <c r="R452" s="7" t="s">
        <v>58</v>
      </c>
      <c r="S452" s="7" t="s">
        <v>59</v>
      </c>
      <c r="T452" s="7"/>
      <c r="U452" s="11">
        <f t="shared" si="28"/>
        <v>1794</v>
      </c>
      <c r="V452" s="11">
        <f t="shared" si="29"/>
        <v>1525</v>
      </c>
      <c r="W452" s="11">
        <f t="shared" si="30"/>
        <v>269</v>
      </c>
      <c r="X452" t="str">
        <f t="shared" si="31"/>
        <v>Cancelled</v>
      </c>
    </row>
    <row r="453" spans="1:24" ht="12.5" x14ac:dyDescent="0.25">
      <c r="A453" s="2" t="s">
        <v>1729</v>
      </c>
      <c r="B453" s="2" t="s">
        <v>503</v>
      </c>
      <c r="C453" s="2" t="s">
        <v>1730</v>
      </c>
      <c r="D453" s="7" t="s">
        <v>1731</v>
      </c>
      <c r="E453" s="7" t="s">
        <v>24</v>
      </c>
      <c r="F453" s="7" t="s">
        <v>25</v>
      </c>
      <c r="G453" s="5">
        <v>1244</v>
      </c>
      <c r="H453" s="5">
        <v>20</v>
      </c>
      <c r="I453" s="5">
        <v>996</v>
      </c>
      <c r="J453" s="5">
        <v>1</v>
      </c>
      <c r="K453" s="2" t="s">
        <v>26</v>
      </c>
      <c r="L453" s="7" t="s">
        <v>103</v>
      </c>
      <c r="M453" s="4">
        <v>3.8</v>
      </c>
      <c r="N453" s="5">
        <v>59</v>
      </c>
      <c r="O453" s="3">
        <v>45774</v>
      </c>
      <c r="P453" s="7" t="s">
        <v>2392</v>
      </c>
      <c r="Q453" s="7" t="s">
        <v>78</v>
      </c>
      <c r="R453" s="7" t="s">
        <v>41</v>
      </c>
      <c r="S453" s="7" t="s">
        <v>42</v>
      </c>
      <c r="T453" s="7"/>
      <c r="U453" s="11">
        <f t="shared" si="28"/>
        <v>1244</v>
      </c>
      <c r="V453" s="11">
        <f t="shared" si="29"/>
        <v>996</v>
      </c>
      <c r="W453" s="11">
        <f t="shared" si="30"/>
        <v>248</v>
      </c>
      <c r="X453" t="str">
        <f t="shared" si="31"/>
        <v>Cancelled</v>
      </c>
    </row>
    <row r="454" spans="1:24" ht="12.5" x14ac:dyDescent="0.25">
      <c r="A454" s="2" t="s">
        <v>1732</v>
      </c>
      <c r="B454" s="2" t="s">
        <v>487</v>
      </c>
      <c r="C454" s="2" t="s">
        <v>1733</v>
      </c>
      <c r="D454" s="7" t="s">
        <v>1734</v>
      </c>
      <c r="E454" s="7" t="s">
        <v>122</v>
      </c>
      <c r="F454" s="7" t="s">
        <v>123</v>
      </c>
      <c r="G454" s="5">
        <v>853</v>
      </c>
      <c r="H454" s="5">
        <v>25</v>
      </c>
      <c r="I454" s="5">
        <v>640</v>
      </c>
      <c r="J454" s="5">
        <v>1</v>
      </c>
      <c r="K454" s="2" t="s">
        <v>32</v>
      </c>
      <c r="L454" s="7" t="s">
        <v>133</v>
      </c>
      <c r="M454" s="4">
        <v>3.5</v>
      </c>
      <c r="N454" s="5">
        <v>191</v>
      </c>
      <c r="O454" s="3">
        <v>45784</v>
      </c>
      <c r="P454" s="7" t="s">
        <v>2392</v>
      </c>
      <c r="Q454" s="7" t="s">
        <v>65</v>
      </c>
      <c r="R454" s="7" t="s">
        <v>30</v>
      </c>
      <c r="S454" s="7" t="s">
        <v>31</v>
      </c>
      <c r="T454" s="7"/>
      <c r="U454" s="11">
        <f t="shared" si="28"/>
        <v>853</v>
      </c>
      <c r="V454" s="11">
        <f t="shared" si="29"/>
        <v>640</v>
      </c>
      <c r="W454" s="11">
        <f t="shared" si="30"/>
        <v>213</v>
      </c>
      <c r="X454" t="str">
        <f t="shared" si="31"/>
        <v>Cancelled</v>
      </c>
    </row>
    <row r="455" spans="1:24" ht="12.5" x14ac:dyDescent="0.25">
      <c r="A455" s="2" t="s">
        <v>1735</v>
      </c>
      <c r="B455" s="2" t="s">
        <v>1669</v>
      </c>
      <c r="C455" s="2" t="s">
        <v>1736</v>
      </c>
      <c r="D455" s="7" t="s">
        <v>1737</v>
      </c>
      <c r="E455" s="7" t="s">
        <v>122</v>
      </c>
      <c r="F455" s="7" t="s">
        <v>123</v>
      </c>
      <c r="G455" s="5">
        <v>4529</v>
      </c>
      <c r="H455" s="5">
        <v>25</v>
      </c>
      <c r="I455" s="5">
        <v>3397</v>
      </c>
      <c r="J455" s="5">
        <v>3</v>
      </c>
      <c r="K455" s="2" t="s">
        <v>261</v>
      </c>
      <c r="L455" s="7" t="s">
        <v>49</v>
      </c>
      <c r="M455" s="4">
        <v>4.3</v>
      </c>
      <c r="N455" s="5">
        <v>275</v>
      </c>
      <c r="O455" s="3">
        <v>45771</v>
      </c>
      <c r="P455" s="7" t="s">
        <v>2391</v>
      </c>
      <c r="Q455" s="7" t="s">
        <v>65</v>
      </c>
      <c r="R455" s="7" t="s">
        <v>104</v>
      </c>
      <c r="S455" s="7" t="s">
        <v>105</v>
      </c>
      <c r="T455" s="7" t="s">
        <v>134</v>
      </c>
      <c r="U455" s="11">
        <f t="shared" si="28"/>
        <v>13587</v>
      </c>
      <c r="V455" s="11">
        <f t="shared" si="29"/>
        <v>10191</v>
      </c>
      <c r="W455" s="11">
        <f t="shared" si="30"/>
        <v>3396</v>
      </c>
      <c r="X455" t="str">
        <f t="shared" si="31"/>
        <v>Returned</v>
      </c>
    </row>
    <row r="456" spans="1:24" ht="12.5" x14ac:dyDescent="0.25">
      <c r="A456" s="2" t="s">
        <v>1738</v>
      </c>
      <c r="B456" s="2" t="s">
        <v>1030</v>
      </c>
      <c r="C456" s="2" t="s">
        <v>1739</v>
      </c>
      <c r="D456" s="7" t="s">
        <v>1740</v>
      </c>
      <c r="E456" s="7" t="s">
        <v>247</v>
      </c>
      <c r="F456" s="7" t="s">
        <v>248</v>
      </c>
      <c r="G456" s="5">
        <v>3627</v>
      </c>
      <c r="H456" s="5">
        <v>40</v>
      </c>
      <c r="I456" s="5">
        <v>2177</v>
      </c>
      <c r="J456" s="5">
        <v>2</v>
      </c>
      <c r="K456" s="2">
        <v>40</v>
      </c>
      <c r="L456" s="7" t="s">
        <v>64</v>
      </c>
      <c r="M456" s="4">
        <v>4.4000000000000004</v>
      </c>
      <c r="N456" s="5">
        <v>273</v>
      </c>
      <c r="O456" s="3">
        <v>45824</v>
      </c>
      <c r="P456" s="7" t="s">
        <v>2392</v>
      </c>
      <c r="Q456" s="7" t="s">
        <v>65</v>
      </c>
      <c r="R456" s="7" t="s">
        <v>66</v>
      </c>
      <c r="S456" s="7" t="s">
        <v>67</v>
      </c>
      <c r="T456" s="7"/>
      <c r="U456" s="11">
        <f t="shared" si="28"/>
        <v>7254</v>
      </c>
      <c r="V456" s="11">
        <f t="shared" si="29"/>
        <v>4354</v>
      </c>
      <c r="W456" s="11">
        <f t="shared" si="30"/>
        <v>2900</v>
      </c>
      <c r="X456" t="str">
        <f t="shared" si="31"/>
        <v>Cancelled</v>
      </c>
    </row>
    <row r="457" spans="1:24" ht="12.5" x14ac:dyDescent="0.25">
      <c r="A457" s="2" t="s">
        <v>1741</v>
      </c>
      <c r="B457" s="2" t="s">
        <v>993</v>
      </c>
      <c r="C457" s="2" t="s">
        <v>1742</v>
      </c>
      <c r="D457" s="7" t="s">
        <v>1743</v>
      </c>
      <c r="E457" s="7" t="s">
        <v>48</v>
      </c>
      <c r="F457" s="7" t="s">
        <v>25</v>
      </c>
      <c r="G457" s="5">
        <v>4367</v>
      </c>
      <c r="H457" s="5">
        <v>10</v>
      </c>
      <c r="I457" s="5">
        <v>3931</v>
      </c>
      <c r="J457" s="5">
        <v>3</v>
      </c>
      <c r="K457" s="2">
        <v>42</v>
      </c>
      <c r="L457" s="7" t="s">
        <v>49</v>
      </c>
      <c r="M457" s="4">
        <v>3.9</v>
      </c>
      <c r="N457" s="5">
        <v>227</v>
      </c>
      <c r="O457" s="3">
        <v>45823</v>
      </c>
      <c r="P457" s="7" t="s">
        <v>2390</v>
      </c>
      <c r="Q457" s="7" t="s">
        <v>78</v>
      </c>
      <c r="R457" s="7" t="s">
        <v>66</v>
      </c>
      <c r="S457" s="7" t="s">
        <v>67</v>
      </c>
      <c r="T457" s="7"/>
      <c r="U457" s="11">
        <f t="shared" si="28"/>
        <v>13101</v>
      </c>
      <c r="V457" s="11">
        <f t="shared" si="29"/>
        <v>11793</v>
      </c>
      <c r="W457" s="11">
        <f t="shared" si="30"/>
        <v>1308</v>
      </c>
      <c r="X457" t="str">
        <f t="shared" si="31"/>
        <v>Completed</v>
      </c>
    </row>
    <row r="458" spans="1:24" ht="12.5" x14ac:dyDescent="0.25">
      <c r="A458" s="2" t="s">
        <v>1744</v>
      </c>
      <c r="B458" s="2" t="s">
        <v>585</v>
      </c>
      <c r="C458" s="2" t="s">
        <v>1745</v>
      </c>
      <c r="D458" s="7" t="s">
        <v>1746</v>
      </c>
      <c r="E458" s="7" t="s">
        <v>48</v>
      </c>
      <c r="F458" s="7" t="s">
        <v>25</v>
      </c>
      <c r="G458" s="5">
        <v>878</v>
      </c>
      <c r="H458" s="5">
        <v>40</v>
      </c>
      <c r="I458" s="5">
        <v>527</v>
      </c>
      <c r="J458" s="5">
        <v>2</v>
      </c>
      <c r="K458" s="2" t="s">
        <v>163</v>
      </c>
      <c r="L458" s="7" t="s">
        <v>27</v>
      </c>
      <c r="M458" s="4">
        <v>4.9000000000000004</v>
      </c>
      <c r="N458" s="5">
        <v>115</v>
      </c>
      <c r="O458" s="3">
        <v>45845</v>
      </c>
      <c r="P458" s="7" t="s">
        <v>2392</v>
      </c>
      <c r="Q458" s="7" t="s">
        <v>78</v>
      </c>
      <c r="R458" s="7" t="s">
        <v>66</v>
      </c>
      <c r="S458" s="7" t="s">
        <v>67</v>
      </c>
      <c r="T458" s="7"/>
      <c r="U458" s="11">
        <f t="shared" si="28"/>
        <v>1756</v>
      </c>
      <c r="V458" s="11">
        <f t="shared" si="29"/>
        <v>1054</v>
      </c>
      <c r="W458" s="11">
        <f t="shared" si="30"/>
        <v>702</v>
      </c>
      <c r="X458" t="str">
        <f t="shared" si="31"/>
        <v>Cancelled</v>
      </c>
    </row>
    <row r="459" spans="1:24" ht="12.5" x14ac:dyDescent="0.25">
      <c r="A459" s="2" t="s">
        <v>1747</v>
      </c>
      <c r="B459" s="2" t="s">
        <v>753</v>
      </c>
      <c r="C459" s="2" t="s">
        <v>1748</v>
      </c>
      <c r="D459" s="7" t="s">
        <v>1749</v>
      </c>
      <c r="E459" s="7" t="s">
        <v>122</v>
      </c>
      <c r="F459" s="7" t="s">
        <v>123</v>
      </c>
      <c r="G459" s="5">
        <v>2091</v>
      </c>
      <c r="H459" s="5">
        <v>10</v>
      </c>
      <c r="I459" s="5">
        <v>1882</v>
      </c>
      <c r="J459" s="5">
        <v>1</v>
      </c>
      <c r="K459" s="2" t="s">
        <v>56</v>
      </c>
      <c r="L459" s="7" t="s">
        <v>103</v>
      </c>
      <c r="M459" s="4">
        <v>4.0999999999999996</v>
      </c>
      <c r="N459" s="5">
        <v>91</v>
      </c>
      <c r="O459" s="3">
        <v>45854</v>
      </c>
      <c r="P459" s="7" t="s">
        <v>2392</v>
      </c>
      <c r="Q459" s="7" t="s">
        <v>65</v>
      </c>
      <c r="R459" s="7" t="s">
        <v>104</v>
      </c>
      <c r="S459" s="7" t="s">
        <v>105</v>
      </c>
      <c r="T459" s="7"/>
      <c r="U459" s="11">
        <f t="shared" si="28"/>
        <v>2091</v>
      </c>
      <c r="V459" s="11">
        <f t="shared" si="29"/>
        <v>1882</v>
      </c>
      <c r="W459" s="11">
        <f t="shared" si="30"/>
        <v>209</v>
      </c>
      <c r="X459" t="str">
        <f t="shared" si="31"/>
        <v>Cancelled</v>
      </c>
    </row>
    <row r="460" spans="1:24" ht="12.5" x14ac:dyDescent="0.25">
      <c r="A460" s="2" t="s">
        <v>1750</v>
      </c>
      <c r="B460" s="2" t="s">
        <v>85</v>
      </c>
      <c r="C460" s="2" t="s">
        <v>1751</v>
      </c>
      <c r="D460" s="7" t="s">
        <v>1752</v>
      </c>
      <c r="E460" s="7" t="s">
        <v>132</v>
      </c>
      <c r="F460" s="7" t="s">
        <v>38</v>
      </c>
      <c r="G460" s="5">
        <v>926</v>
      </c>
      <c r="H460" s="5">
        <v>40</v>
      </c>
      <c r="I460" s="5">
        <v>556</v>
      </c>
      <c r="J460" s="5">
        <v>2</v>
      </c>
      <c r="K460" s="2" t="s">
        <v>26</v>
      </c>
      <c r="L460" s="7" t="s">
        <v>133</v>
      </c>
      <c r="M460" s="4">
        <v>4.5</v>
      </c>
      <c r="N460" s="5">
        <v>152</v>
      </c>
      <c r="O460" s="3">
        <v>45770</v>
      </c>
      <c r="P460" s="7" t="s">
        <v>2391</v>
      </c>
      <c r="Q460" s="7" t="s">
        <v>29</v>
      </c>
      <c r="R460" s="7" t="s">
        <v>185</v>
      </c>
      <c r="S460" s="7" t="s">
        <v>186</v>
      </c>
      <c r="T460" s="7"/>
      <c r="U460" s="11">
        <f t="shared" si="28"/>
        <v>1852</v>
      </c>
      <c r="V460" s="11">
        <f t="shared" si="29"/>
        <v>1112</v>
      </c>
      <c r="W460" s="11">
        <f t="shared" si="30"/>
        <v>740</v>
      </c>
      <c r="X460" t="str">
        <f t="shared" si="31"/>
        <v>Returned</v>
      </c>
    </row>
    <row r="461" spans="1:24" ht="12.5" x14ac:dyDescent="0.25">
      <c r="A461" s="2" t="s">
        <v>1753</v>
      </c>
      <c r="B461" s="2" t="s">
        <v>178</v>
      </c>
      <c r="C461" s="2" t="s">
        <v>1754</v>
      </c>
      <c r="D461" s="7" t="s">
        <v>1755</v>
      </c>
      <c r="E461" s="7" t="s">
        <v>24</v>
      </c>
      <c r="F461" s="7" t="s">
        <v>25</v>
      </c>
      <c r="G461" s="5">
        <v>2441</v>
      </c>
      <c r="H461" s="5">
        <v>15</v>
      </c>
      <c r="I461" s="5">
        <v>2075</v>
      </c>
      <c r="J461" s="5">
        <v>1</v>
      </c>
      <c r="K461" s="2" t="s">
        <v>26</v>
      </c>
      <c r="L461" s="7" t="s">
        <v>88</v>
      </c>
      <c r="M461" s="4">
        <v>3.7</v>
      </c>
      <c r="N461" s="5">
        <v>166</v>
      </c>
      <c r="O461" s="3">
        <v>45852</v>
      </c>
      <c r="P461" s="7" t="s">
        <v>2390</v>
      </c>
      <c r="Q461" s="7" t="s">
        <v>78</v>
      </c>
      <c r="R461" s="7" t="s">
        <v>30</v>
      </c>
      <c r="S461" s="7" t="s">
        <v>31</v>
      </c>
      <c r="T461" s="7"/>
      <c r="U461" s="11">
        <f t="shared" si="28"/>
        <v>2441</v>
      </c>
      <c r="V461" s="11">
        <f t="shared" si="29"/>
        <v>2075</v>
      </c>
      <c r="W461" s="11">
        <f t="shared" si="30"/>
        <v>366</v>
      </c>
      <c r="X461" t="str">
        <f t="shared" si="31"/>
        <v>Completed</v>
      </c>
    </row>
    <row r="462" spans="1:24" ht="12.5" x14ac:dyDescent="0.25">
      <c r="A462" s="2" t="s">
        <v>1756</v>
      </c>
      <c r="B462" s="2" t="s">
        <v>1757</v>
      </c>
      <c r="C462" s="2" t="s">
        <v>1758</v>
      </c>
      <c r="D462" s="7" t="s">
        <v>1759</v>
      </c>
      <c r="E462" s="7" t="s">
        <v>55</v>
      </c>
      <c r="F462" s="7" t="s">
        <v>38</v>
      </c>
      <c r="G462" s="5">
        <v>1919</v>
      </c>
      <c r="H462" s="5">
        <v>30</v>
      </c>
      <c r="I462" s="5">
        <v>1344</v>
      </c>
      <c r="J462" s="5">
        <v>3</v>
      </c>
      <c r="K462" s="2" t="s">
        <v>261</v>
      </c>
      <c r="L462" s="7" t="s">
        <v>64</v>
      </c>
      <c r="M462" s="4">
        <v>4.5999999999999996</v>
      </c>
      <c r="N462" s="5">
        <v>245</v>
      </c>
      <c r="O462" s="3">
        <v>45780</v>
      </c>
      <c r="P462" s="7" t="s">
        <v>2392</v>
      </c>
      <c r="Q462" s="7" t="s">
        <v>29</v>
      </c>
      <c r="R462" s="7" t="s">
        <v>66</v>
      </c>
      <c r="S462" s="7" t="s">
        <v>67</v>
      </c>
      <c r="T462" s="7"/>
      <c r="U462" s="11">
        <f t="shared" si="28"/>
        <v>5757</v>
      </c>
      <c r="V462" s="11">
        <f t="shared" si="29"/>
        <v>4032</v>
      </c>
      <c r="W462" s="11">
        <f t="shared" si="30"/>
        <v>1725</v>
      </c>
      <c r="X462" t="str">
        <f t="shared" si="31"/>
        <v>Cancelled</v>
      </c>
    </row>
    <row r="463" spans="1:24" ht="12.5" x14ac:dyDescent="0.25">
      <c r="A463" s="2" t="s">
        <v>1760</v>
      </c>
      <c r="B463" s="2" t="s">
        <v>1761</v>
      </c>
      <c r="C463" s="2" t="s">
        <v>1762</v>
      </c>
      <c r="D463" s="7" t="s">
        <v>1763</v>
      </c>
      <c r="E463" s="7" t="s">
        <v>24</v>
      </c>
      <c r="F463" s="7" t="s">
        <v>25</v>
      </c>
      <c r="G463" s="5">
        <v>4500</v>
      </c>
      <c r="H463" s="5">
        <v>10</v>
      </c>
      <c r="I463" s="5">
        <v>4050</v>
      </c>
      <c r="J463" s="5">
        <v>3</v>
      </c>
      <c r="K463" s="2" t="s">
        <v>32</v>
      </c>
      <c r="L463" s="7" t="s">
        <v>64</v>
      </c>
      <c r="M463" s="4">
        <v>3.6</v>
      </c>
      <c r="N463" s="5">
        <v>28</v>
      </c>
      <c r="O463" s="3">
        <v>45769</v>
      </c>
      <c r="P463" s="7" t="s">
        <v>2390</v>
      </c>
      <c r="Q463" s="7" t="s">
        <v>65</v>
      </c>
      <c r="R463" s="7" t="s">
        <v>41</v>
      </c>
      <c r="S463" s="7" t="s">
        <v>42</v>
      </c>
      <c r="T463" s="7"/>
      <c r="U463" s="11">
        <f t="shared" si="28"/>
        <v>13500</v>
      </c>
      <c r="V463" s="11">
        <f t="shared" si="29"/>
        <v>12150</v>
      </c>
      <c r="W463" s="11">
        <f t="shared" si="30"/>
        <v>1350</v>
      </c>
      <c r="X463" t="str">
        <f t="shared" si="31"/>
        <v>Completed</v>
      </c>
    </row>
    <row r="464" spans="1:24" ht="12.5" x14ac:dyDescent="0.25">
      <c r="A464" s="2" t="s">
        <v>1764</v>
      </c>
      <c r="B464" s="2" t="s">
        <v>1765</v>
      </c>
      <c r="C464" s="2" t="s">
        <v>1766</v>
      </c>
      <c r="D464" s="7" t="s">
        <v>1767</v>
      </c>
      <c r="E464" s="7" t="s">
        <v>48</v>
      </c>
      <c r="F464" s="7" t="s">
        <v>25</v>
      </c>
      <c r="G464" s="5">
        <v>4719</v>
      </c>
      <c r="H464" s="5">
        <v>40</v>
      </c>
      <c r="I464" s="5">
        <v>2832</v>
      </c>
      <c r="J464" s="5">
        <v>1</v>
      </c>
      <c r="K464" s="2" t="s">
        <v>72</v>
      </c>
      <c r="L464" s="7" t="s">
        <v>103</v>
      </c>
      <c r="M464" s="4">
        <v>4.7</v>
      </c>
      <c r="N464" s="5">
        <v>269</v>
      </c>
      <c r="O464" s="3">
        <v>45858</v>
      </c>
      <c r="P464" s="7" t="s">
        <v>2390</v>
      </c>
      <c r="Q464" s="7" t="s">
        <v>29</v>
      </c>
      <c r="R464" s="7" t="s">
        <v>66</v>
      </c>
      <c r="S464" s="7" t="s">
        <v>67</v>
      </c>
      <c r="T464" s="7"/>
      <c r="U464" s="11">
        <f t="shared" si="28"/>
        <v>4719</v>
      </c>
      <c r="V464" s="11">
        <f t="shared" si="29"/>
        <v>2832</v>
      </c>
      <c r="W464" s="11">
        <f t="shared" si="30"/>
        <v>1887</v>
      </c>
      <c r="X464" t="str">
        <f t="shared" si="31"/>
        <v>Completed</v>
      </c>
    </row>
    <row r="465" spans="1:24" ht="12.5" x14ac:dyDescent="0.25">
      <c r="A465" s="2" t="s">
        <v>1768</v>
      </c>
      <c r="B465" s="2" t="s">
        <v>1769</v>
      </c>
      <c r="C465" s="2" t="s">
        <v>1770</v>
      </c>
      <c r="D465" s="7" t="s">
        <v>1771</v>
      </c>
      <c r="E465" s="7" t="s">
        <v>208</v>
      </c>
      <c r="F465" s="7" t="s">
        <v>117</v>
      </c>
      <c r="G465" s="5">
        <v>3201</v>
      </c>
      <c r="H465" s="5">
        <v>10</v>
      </c>
      <c r="I465" s="5">
        <v>2881</v>
      </c>
      <c r="J465" s="5">
        <v>1</v>
      </c>
      <c r="K465" s="2">
        <v>40</v>
      </c>
      <c r="L465" s="7" t="s">
        <v>39</v>
      </c>
      <c r="M465" s="4">
        <v>3.8</v>
      </c>
      <c r="N465" s="5">
        <v>107</v>
      </c>
      <c r="O465" s="3">
        <v>45847</v>
      </c>
      <c r="P465" s="7" t="s">
        <v>2391</v>
      </c>
      <c r="Q465" s="7" t="s">
        <v>78</v>
      </c>
      <c r="R465" s="7" t="s">
        <v>83</v>
      </c>
      <c r="S465" s="7" t="s">
        <v>83</v>
      </c>
      <c r="T465" s="7" t="s">
        <v>134</v>
      </c>
      <c r="U465" s="11">
        <f t="shared" si="28"/>
        <v>3201</v>
      </c>
      <c r="V465" s="11">
        <f t="shared" si="29"/>
        <v>2881</v>
      </c>
      <c r="W465" s="11">
        <f t="shared" si="30"/>
        <v>320</v>
      </c>
      <c r="X465" t="str">
        <f t="shared" si="31"/>
        <v>Returned</v>
      </c>
    </row>
    <row r="466" spans="1:24" ht="12.5" x14ac:dyDescent="0.25">
      <c r="A466" s="2" t="s">
        <v>1772</v>
      </c>
      <c r="B466" s="2" t="s">
        <v>283</v>
      </c>
      <c r="C466" s="2" t="s">
        <v>1773</v>
      </c>
      <c r="D466" s="7" t="s">
        <v>1774</v>
      </c>
      <c r="E466" s="7" t="s">
        <v>24</v>
      </c>
      <c r="F466" s="7" t="s">
        <v>25</v>
      </c>
      <c r="G466" s="5">
        <v>4964</v>
      </c>
      <c r="H466" s="5">
        <v>20</v>
      </c>
      <c r="I466" s="5">
        <v>3972</v>
      </c>
      <c r="J466" s="5">
        <v>1</v>
      </c>
      <c r="K466" s="2" t="s">
        <v>72</v>
      </c>
      <c r="L466" s="7" t="s">
        <v>27</v>
      </c>
      <c r="M466" s="4">
        <v>3.6</v>
      </c>
      <c r="N466" s="5">
        <v>102</v>
      </c>
      <c r="O466" s="3">
        <v>45781</v>
      </c>
      <c r="P466" s="7" t="s">
        <v>2390</v>
      </c>
      <c r="Q466" s="7" t="s">
        <v>65</v>
      </c>
      <c r="R466" s="7" t="s">
        <v>30</v>
      </c>
      <c r="S466" s="7" t="s">
        <v>31</v>
      </c>
      <c r="T466" s="7"/>
      <c r="U466" s="11">
        <f t="shared" si="28"/>
        <v>4964</v>
      </c>
      <c r="V466" s="11">
        <f t="shared" si="29"/>
        <v>3972</v>
      </c>
      <c r="W466" s="11">
        <f t="shared" si="30"/>
        <v>992</v>
      </c>
      <c r="X466" t="str">
        <f t="shared" si="31"/>
        <v>Completed</v>
      </c>
    </row>
    <row r="467" spans="1:24" ht="12.5" x14ac:dyDescent="0.25">
      <c r="A467" s="2" t="s">
        <v>1775</v>
      </c>
      <c r="B467" s="2" t="s">
        <v>917</v>
      </c>
      <c r="C467" s="2" t="s">
        <v>1776</v>
      </c>
      <c r="D467" s="7" t="s">
        <v>1777</v>
      </c>
      <c r="E467" s="7" t="s">
        <v>48</v>
      </c>
      <c r="F467" s="7" t="s">
        <v>25</v>
      </c>
      <c r="G467" s="5">
        <v>1494</v>
      </c>
      <c r="H467" s="5">
        <v>10</v>
      </c>
      <c r="I467" s="5">
        <v>1345</v>
      </c>
      <c r="J467" s="5">
        <v>1</v>
      </c>
      <c r="K467" s="2">
        <v>40</v>
      </c>
      <c r="L467" s="7" t="s">
        <v>49</v>
      </c>
      <c r="M467" s="4">
        <v>4.5</v>
      </c>
      <c r="N467" s="5">
        <v>196</v>
      </c>
      <c r="O467" s="3">
        <v>45777</v>
      </c>
      <c r="P467" s="7" t="s">
        <v>2392</v>
      </c>
      <c r="Q467" s="7" t="s">
        <v>29</v>
      </c>
      <c r="R467" s="7" t="s">
        <v>149</v>
      </c>
      <c r="S467" s="7" t="s">
        <v>150</v>
      </c>
      <c r="T467" s="7"/>
      <c r="U467" s="11">
        <f t="shared" si="28"/>
        <v>1494</v>
      </c>
      <c r="V467" s="11">
        <f t="shared" si="29"/>
        <v>1345</v>
      </c>
      <c r="W467" s="11">
        <f t="shared" si="30"/>
        <v>149</v>
      </c>
      <c r="X467" t="str">
        <f t="shared" si="31"/>
        <v>Cancelled</v>
      </c>
    </row>
    <row r="468" spans="1:24" ht="12.5" x14ac:dyDescent="0.25">
      <c r="A468" s="2" t="s">
        <v>1778</v>
      </c>
      <c r="B468" s="2" t="s">
        <v>729</v>
      </c>
      <c r="C468" s="2" t="s">
        <v>233</v>
      </c>
      <c r="D468" s="7" t="s">
        <v>1779</v>
      </c>
      <c r="E468" s="7" t="s">
        <v>55</v>
      </c>
      <c r="F468" s="7" t="s">
        <v>38</v>
      </c>
      <c r="G468" s="5">
        <v>3538</v>
      </c>
      <c r="H468" s="5">
        <v>35</v>
      </c>
      <c r="I468" s="5">
        <v>2300</v>
      </c>
      <c r="J468" s="5">
        <v>2</v>
      </c>
      <c r="K468" s="2" t="s">
        <v>32</v>
      </c>
      <c r="L468" s="7" t="s">
        <v>27</v>
      </c>
      <c r="M468" s="4">
        <v>4.0999999999999996</v>
      </c>
      <c r="N468" s="5">
        <v>300</v>
      </c>
      <c r="O468" s="3">
        <v>45786</v>
      </c>
      <c r="P468" s="7" t="s">
        <v>2391</v>
      </c>
      <c r="Q468" s="7" t="s">
        <v>29</v>
      </c>
      <c r="R468" s="7" t="s">
        <v>66</v>
      </c>
      <c r="S468" s="7" t="s">
        <v>67</v>
      </c>
      <c r="T468" s="7" t="s">
        <v>134</v>
      </c>
      <c r="U468" s="11">
        <f t="shared" si="28"/>
        <v>7076</v>
      </c>
      <c r="V468" s="11">
        <f t="shared" si="29"/>
        <v>4600</v>
      </c>
      <c r="W468" s="11">
        <f t="shared" si="30"/>
        <v>2476</v>
      </c>
      <c r="X468" t="str">
        <f t="shared" si="31"/>
        <v>Returned</v>
      </c>
    </row>
    <row r="469" spans="1:24" ht="12.5" x14ac:dyDescent="0.25">
      <c r="A469" s="2" t="s">
        <v>1780</v>
      </c>
      <c r="B469" s="2" t="s">
        <v>1781</v>
      </c>
      <c r="C469" s="2" t="s">
        <v>1782</v>
      </c>
      <c r="D469" s="7" t="s">
        <v>1783</v>
      </c>
      <c r="E469" s="7" t="s">
        <v>147</v>
      </c>
      <c r="F469" s="7" t="s">
        <v>148</v>
      </c>
      <c r="G469" s="5">
        <v>2586</v>
      </c>
      <c r="H469" s="5">
        <v>30</v>
      </c>
      <c r="I469" s="5">
        <v>1811</v>
      </c>
      <c r="J469" s="5">
        <v>3</v>
      </c>
      <c r="K469" s="2" t="s">
        <v>26</v>
      </c>
      <c r="L469" s="7" t="s">
        <v>88</v>
      </c>
      <c r="M469" s="4">
        <v>4.4000000000000004</v>
      </c>
      <c r="N469" s="5">
        <v>130</v>
      </c>
      <c r="O469" s="3">
        <v>45786</v>
      </c>
      <c r="P469" s="7" t="s">
        <v>2391</v>
      </c>
      <c r="Q469" s="7" t="s">
        <v>65</v>
      </c>
      <c r="R469" s="7" t="s">
        <v>149</v>
      </c>
      <c r="S469" s="7" t="s">
        <v>150</v>
      </c>
      <c r="T469" s="7" t="s">
        <v>43</v>
      </c>
      <c r="U469" s="11">
        <f t="shared" si="28"/>
        <v>7758</v>
      </c>
      <c r="V469" s="11">
        <f t="shared" si="29"/>
        <v>5433</v>
      </c>
      <c r="W469" s="11">
        <f t="shared" si="30"/>
        <v>2325</v>
      </c>
      <c r="X469" t="str">
        <f t="shared" si="31"/>
        <v>Returned</v>
      </c>
    </row>
    <row r="470" spans="1:24" ht="12.5" x14ac:dyDescent="0.25">
      <c r="A470" s="2" t="s">
        <v>1784</v>
      </c>
      <c r="B470" s="2" t="s">
        <v>1785</v>
      </c>
      <c r="C470" s="2" t="s">
        <v>1786</v>
      </c>
      <c r="D470" s="7" t="s">
        <v>1787</v>
      </c>
      <c r="E470" s="7" t="s">
        <v>48</v>
      </c>
      <c r="F470" s="7" t="s">
        <v>25</v>
      </c>
      <c r="G470" s="5">
        <v>4243</v>
      </c>
      <c r="H470" s="5">
        <v>25</v>
      </c>
      <c r="I470" s="5">
        <v>3183</v>
      </c>
      <c r="J470" s="5">
        <v>3</v>
      </c>
      <c r="K470" s="2" t="s">
        <v>261</v>
      </c>
      <c r="L470" s="7" t="s">
        <v>73</v>
      </c>
      <c r="M470" s="4">
        <v>4</v>
      </c>
      <c r="N470" s="5">
        <v>281</v>
      </c>
      <c r="O470" s="3">
        <v>45779</v>
      </c>
      <c r="P470" s="7" t="s">
        <v>2392</v>
      </c>
      <c r="Q470" s="7" t="s">
        <v>78</v>
      </c>
      <c r="R470" s="7" t="s">
        <v>83</v>
      </c>
      <c r="S470" s="7" t="s">
        <v>83</v>
      </c>
      <c r="T470" s="7"/>
      <c r="U470" s="11">
        <f t="shared" si="28"/>
        <v>12729</v>
      </c>
      <c r="V470" s="11">
        <f t="shared" si="29"/>
        <v>9549</v>
      </c>
      <c r="W470" s="11">
        <f t="shared" si="30"/>
        <v>3180</v>
      </c>
      <c r="X470" t="str">
        <f t="shared" si="31"/>
        <v>Cancelled</v>
      </c>
    </row>
    <row r="471" spans="1:24" ht="12.5" x14ac:dyDescent="0.25">
      <c r="A471" s="2" t="s">
        <v>1788</v>
      </c>
      <c r="B471" s="2" t="s">
        <v>1789</v>
      </c>
      <c r="C471" s="2" t="s">
        <v>1790</v>
      </c>
      <c r="D471" s="7" t="s">
        <v>1791</v>
      </c>
      <c r="E471" s="7" t="s">
        <v>132</v>
      </c>
      <c r="F471" s="7" t="s">
        <v>38</v>
      </c>
      <c r="G471" s="5">
        <v>4228</v>
      </c>
      <c r="H471" s="5">
        <v>15</v>
      </c>
      <c r="I471" s="5">
        <v>3594</v>
      </c>
      <c r="J471" s="5">
        <v>1</v>
      </c>
      <c r="K471" s="2" t="s">
        <v>26</v>
      </c>
      <c r="L471" s="7" t="s">
        <v>133</v>
      </c>
      <c r="M471" s="4">
        <v>3.7</v>
      </c>
      <c r="N471" s="5">
        <v>199</v>
      </c>
      <c r="O471" s="3">
        <v>45792</v>
      </c>
      <c r="P471" s="7" t="s">
        <v>2390</v>
      </c>
      <c r="Q471" s="7" t="s">
        <v>78</v>
      </c>
      <c r="R471" s="7" t="s">
        <v>149</v>
      </c>
      <c r="S471" s="7" t="s">
        <v>150</v>
      </c>
      <c r="T471" s="7"/>
      <c r="U471" s="11">
        <f t="shared" si="28"/>
        <v>4228</v>
      </c>
      <c r="V471" s="11">
        <f t="shared" si="29"/>
        <v>3594</v>
      </c>
      <c r="W471" s="11">
        <f t="shared" si="30"/>
        <v>634</v>
      </c>
      <c r="X471" t="str">
        <f t="shared" si="31"/>
        <v>Completed</v>
      </c>
    </row>
    <row r="472" spans="1:24" ht="12.5" x14ac:dyDescent="0.25">
      <c r="A472" s="2" t="s">
        <v>1792</v>
      </c>
      <c r="B472" s="2" t="s">
        <v>820</v>
      </c>
      <c r="C472" s="2" t="s">
        <v>1793</v>
      </c>
      <c r="D472" s="7" t="s">
        <v>1794</v>
      </c>
      <c r="E472" s="7" t="s">
        <v>116</v>
      </c>
      <c r="F472" s="7" t="s">
        <v>117</v>
      </c>
      <c r="G472" s="5">
        <v>4853</v>
      </c>
      <c r="H472" s="5">
        <v>10</v>
      </c>
      <c r="I472" s="5">
        <v>4368</v>
      </c>
      <c r="J472" s="5">
        <v>3</v>
      </c>
      <c r="K472" s="2" t="s">
        <v>56</v>
      </c>
      <c r="L472" s="7" t="s">
        <v>133</v>
      </c>
      <c r="M472" s="4">
        <v>3.8</v>
      </c>
      <c r="N472" s="5">
        <v>270</v>
      </c>
      <c r="O472" s="3">
        <v>45840</v>
      </c>
      <c r="P472" s="7" t="s">
        <v>2390</v>
      </c>
      <c r="Q472" s="7" t="s">
        <v>78</v>
      </c>
      <c r="R472" s="7" t="s">
        <v>149</v>
      </c>
      <c r="S472" s="7" t="s">
        <v>150</v>
      </c>
      <c r="T472" s="7"/>
      <c r="U472" s="11">
        <f t="shared" si="28"/>
        <v>14559</v>
      </c>
      <c r="V472" s="11">
        <f t="shared" si="29"/>
        <v>13104</v>
      </c>
      <c r="W472" s="11">
        <f t="shared" si="30"/>
        <v>1455</v>
      </c>
      <c r="X472" t="str">
        <f t="shared" si="31"/>
        <v>Completed</v>
      </c>
    </row>
    <row r="473" spans="1:24" ht="12.5" x14ac:dyDescent="0.25">
      <c r="A473" s="2" t="s">
        <v>1795</v>
      </c>
      <c r="B473" s="2" t="s">
        <v>1116</v>
      </c>
      <c r="C473" s="2" t="s">
        <v>1796</v>
      </c>
      <c r="D473" s="7" t="s">
        <v>1797</v>
      </c>
      <c r="E473" s="7" t="s">
        <v>48</v>
      </c>
      <c r="F473" s="7" t="s">
        <v>25</v>
      </c>
      <c r="G473" s="5">
        <v>1648</v>
      </c>
      <c r="H473" s="5">
        <v>40</v>
      </c>
      <c r="I473" s="5">
        <v>989</v>
      </c>
      <c r="J473" s="5">
        <v>3</v>
      </c>
      <c r="K473" s="2" t="s">
        <v>26</v>
      </c>
      <c r="L473" s="7" t="s">
        <v>133</v>
      </c>
      <c r="M473" s="4">
        <v>3.9</v>
      </c>
      <c r="N473" s="5">
        <v>239</v>
      </c>
      <c r="O473" s="3">
        <v>45828</v>
      </c>
      <c r="P473" s="7" t="s">
        <v>2391</v>
      </c>
      <c r="Q473" s="7" t="s">
        <v>78</v>
      </c>
      <c r="R473" s="7" t="s">
        <v>83</v>
      </c>
      <c r="S473" s="7" t="s">
        <v>83</v>
      </c>
      <c r="T473" s="7" t="s">
        <v>203</v>
      </c>
      <c r="U473" s="11">
        <f t="shared" si="28"/>
        <v>4944</v>
      </c>
      <c r="V473" s="11">
        <f t="shared" si="29"/>
        <v>2967</v>
      </c>
      <c r="W473" s="11">
        <f t="shared" si="30"/>
        <v>1977</v>
      </c>
      <c r="X473" t="str">
        <f t="shared" si="31"/>
        <v>Returned</v>
      </c>
    </row>
    <row r="474" spans="1:24" ht="12.5" x14ac:dyDescent="0.25">
      <c r="A474" s="2" t="s">
        <v>1798</v>
      </c>
      <c r="B474" s="2" t="s">
        <v>1799</v>
      </c>
      <c r="C474" s="2" t="s">
        <v>1800</v>
      </c>
      <c r="D474" s="7" t="s">
        <v>1801</v>
      </c>
      <c r="E474" s="7" t="s">
        <v>55</v>
      </c>
      <c r="F474" s="7" t="s">
        <v>38</v>
      </c>
      <c r="G474" s="5">
        <v>4465</v>
      </c>
      <c r="H474" s="5">
        <v>40</v>
      </c>
      <c r="I474" s="5">
        <v>2679</v>
      </c>
      <c r="J474" s="5">
        <v>1</v>
      </c>
      <c r="K474" s="2" t="s">
        <v>226</v>
      </c>
      <c r="L474" s="7" t="s">
        <v>49</v>
      </c>
      <c r="M474" s="4">
        <v>4.8</v>
      </c>
      <c r="N474" s="5">
        <v>279</v>
      </c>
      <c r="O474" s="3">
        <v>45830</v>
      </c>
      <c r="P474" s="7" t="s">
        <v>2391</v>
      </c>
      <c r="Q474" s="7" t="s">
        <v>78</v>
      </c>
      <c r="R474" s="7" t="s">
        <v>104</v>
      </c>
      <c r="S474" s="7" t="s">
        <v>105</v>
      </c>
      <c r="T474" s="7" t="s">
        <v>134</v>
      </c>
      <c r="U474" s="11">
        <f t="shared" si="28"/>
        <v>4465</v>
      </c>
      <c r="V474" s="11">
        <f t="shared" si="29"/>
        <v>2679</v>
      </c>
      <c r="W474" s="11">
        <f t="shared" si="30"/>
        <v>1786</v>
      </c>
      <c r="X474" t="str">
        <f t="shared" si="31"/>
        <v>Returned</v>
      </c>
    </row>
    <row r="475" spans="1:24" ht="12.5" x14ac:dyDescent="0.25">
      <c r="A475" s="2" t="s">
        <v>1802</v>
      </c>
      <c r="B475" s="2" t="s">
        <v>1803</v>
      </c>
      <c r="C475" s="2" t="s">
        <v>1804</v>
      </c>
      <c r="D475" s="7" t="s">
        <v>1805</v>
      </c>
      <c r="E475" s="7" t="s">
        <v>37</v>
      </c>
      <c r="F475" s="7" t="s">
        <v>38</v>
      </c>
      <c r="G475" s="5">
        <v>3716</v>
      </c>
      <c r="H475" s="5">
        <v>20</v>
      </c>
      <c r="I475" s="5">
        <v>2973</v>
      </c>
      <c r="J475" s="5">
        <v>3</v>
      </c>
      <c r="K475" s="2">
        <v>40</v>
      </c>
      <c r="L475" s="7" t="s">
        <v>49</v>
      </c>
      <c r="M475" s="4">
        <v>3.9</v>
      </c>
      <c r="N475" s="5">
        <v>91</v>
      </c>
      <c r="O475" s="3">
        <v>45799</v>
      </c>
      <c r="P475" s="7" t="s">
        <v>2390</v>
      </c>
      <c r="Q475" s="7" t="s">
        <v>65</v>
      </c>
      <c r="R475" s="7" t="s">
        <v>89</v>
      </c>
      <c r="S475" s="7" t="s">
        <v>90</v>
      </c>
      <c r="T475" s="7"/>
      <c r="U475" s="11">
        <f t="shared" si="28"/>
        <v>11148</v>
      </c>
      <c r="V475" s="11">
        <f t="shared" si="29"/>
        <v>8919</v>
      </c>
      <c r="W475" s="11">
        <f t="shared" si="30"/>
        <v>2229</v>
      </c>
      <c r="X475" t="str">
        <f t="shared" si="31"/>
        <v>Completed</v>
      </c>
    </row>
    <row r="476" spans="1:24" ht="12.5" x14ac:dyDescent="0.25">
      <c r="A476" s="2" t="s">
        <v>1806</v>
      </c>
      <c r="B476" s="2" t="s">
        <v>1807</v>
      </c>
      <c r="C476" s="2" t="s">
        <v>1808</v>
      </c>
      <c r="D476" s="7" t="s">
        <v>1809</v>
      </c>
      <c r="E476" s="7" t="s">
        <v>147</v>
      </c>
      <c r="F476" s="7" t="s">
        <v>148</v>
      </c>
      <c r="G476" s="5">
        <v>1846</v>
      </c>
      <c r="H476" s="5">
        <v>30</v>
      </c>
      <c r="I476" s="5">
        <v>1293</v>
      </c>
      <c r="J476" s="5">
        <v>3</v>
      </c>
      <c r="K476" s="2" t="s">
        <v>163</v>
      </c>
      <c r="L476" s="7" t="s">
        <v>49</v>
      </c>
      <c r="M476" s="4">
        <v>4.4000000000000004</v>
      </c>
      <c r="N476" s="5">
        <v>39</v>
      </c>
      <c r="O476" s="3">
        <v>45769</v>
      </c>
      <c r="P476" s="7" t="s">
        <v>2390</v>
      </c>
      <c r="Q476" s="7" t="s">
        <v>29</v>
      </c>
      <c r="R476" s="7" t="s">
        <v>89</v>
      </c>
      <c r="S476" s="7" t="s">
        <v>90</v>
      </c>
      <c r="T476" s="7"/>
      <c r="U476" s="11">
        <f t="shared" si="28"/>
        <v>5538</v>
      </c>
      <c r="V476" s="11">
        <f t="shared" si="29"/>
        <v>3879</v>
      </c>
      <c r="W476" s="11">
        <f t="shared" si="30"/>
        <v>1659</v>
      </c>
      <c r="X476" t="str">
        <f t="shared" si="31"/>
        <v>Completed</v>
      </c>
    </row>
    <row r="477" spans="1:24" ht="12.5" x14ac:dyDescent="0.25">
      <c r="A477" s="2" t="s">
        <v>1810</v>
      </c>
      <c r="B477" s="2" t="s">
        <v>1811</v>
      </c>
      <c r="C477" s="2" t="s">
        <v>1812</v>
      </c>
      <c r="D477" s="7" t="s">
        <v>1813</v>
      </c>
      <c r="E477" s="7" t="s">
        <v>24</v>
      </c>
      <c r="F477" s="7" t="s">
        <v>25</v>
      </c>
      <c r="G477" s="5">
        <v>2053</v>
      </c>
      <c r="H477" s="5">
        <v>20</v>
      </c>
      <c r="I477" s="5">
        <v>1643</v>
      </c>
      <c r="J477" s="5">
        <v>3</v>
      </c>
      <c r="K477" s="2" t="s">
        <v>163</v>
      </c>
      <c r="L477" s="7" t="s">
        <v>103</v>
      </c>
      <c r="M477" s="4">
        <v>4.4000000000000004</v>
      </c>
      <c r="N477" s="5">
        <v>24</v>
      </c>
      <c r="O477" s="3">
        <v>45772</v>
      </c>
      <c r="P477" s="7" t="s">
        <v>2391</v>
      </c>
      <c r="Q477" s="7" t="s">
        <v>78</v>
      </c>
      <c r="R477" s="7" t="s">
        <v>41</v>
      </c>
      <c r="S477" s="7" t="s">
        <v>42</v>
      </c>
      <c r="T477" s="7" t="s">
        <v>203</v>
      </c>
      <c r="U477" s="11">
        <f t="shared" si="28"/>
        <v>6159</v>
      </c>
      <c r="V477" s="11">
        <f t="shared" si="29"/>
        <v>4929</v>
      </c>
      <c r="W477" s="11">
        <f t="shared" si="30"/>
        <v>1230</v>
      </c>
      <c r="X477" t="str">
        <f t="shared" si="31"/>
        <v>Returned</v>
      </c>
    </row>
    <row r="478" spans="1:24" ht="12.5" x14ac:dyDescent="0.25">
      <c r="A478" s="2" t="s">
        <v>1814</v>
      </c>
      <c r="B478" s="2" t="s">
        <v>585</v>
      </c>
      <c r="C478" s="2" t="s">
        <v>1815</v>
      </c>
      <c r="D478" s="7" t="s">
        <v>1816</v>
      </c>
      <c r="E478" s="7" t="s">
        <v>24</v>
      </c>
      <c r="F478" s="7" t="s">
        <v>25</v>
      </c>
      <c r="G478" s="5">
        <v>1354</v>
      </c>
      <c r="H478" s="5">
        <v>15</v>
      </c>
      <c r="I478" s="5">
        <v>1151</v>
      </c>
      <c r="J478" s="5">
        <v>2</v>
      </c>
      <c r="K478" s="2" t="s">
        <v>32</v>
      </c>
      <c r="L478" s="7" t="s">
        <v>88</v>
      </c>
      <c r="M478" s="4">
        <v>4.3</v>
      </c>
      <c r="N478" s="5">
        <v>294</v>
      </c>
      <c r="O478" s="3">
        <v>45857</v>
      </c>
      <c r="P478" s="7" t="s">
        <v>2391</v>
      </c>
      <c r="Q478" s="7" t="s">
        <v>65</v>
      </c>
      <c r="R478" s="7" t="s">
        <v>104</v>
      </c>
      <c r="S478" s="7" t="s">
        <v>105</v>
      </c>
      <c r="T478" s="7" t="s">
        <v>203</v>
      </c>
      <c r="U478" s="11">
        <f t="shared" si="28"/>
        <v>2708</v>
      </c>
      <c r="V478" s="11">
        <f t="shared" si="29"/>
        <v>2302</v>
      </c>
      <c r="W478" s="11">
        <f t="shared" si="30"/>
        <v>406</v>
      </c>
      <c r="X478" t="str">
        <f t="shared" si="31"/>
        <v>Returned</v>
      </c>
    </row>
    <row r="479" spans="1:24" ht="12.5" x14ac:dyDescent="0.25">
      <c r="A479" s="2" t="s">
        <v>1817</v>
      </c>
      <c r="B479" s="2" t="s">
        <v>85</v>
      </c>
      <c r="C479" s="2" t="s">
        <v>1818</v>
      </c>
      <c r="D479" s="7" t="s">
        <v>1819</v>
      </c>
      <c r="E479" s="7" t="s">
        <v>208</v>
      </c>
      <c r="F479" s="7" t="s">
        <v>117</v>
      </c>
      <c r="G479" s="5">
        <v>2171</v>
      </c>
      <c r="H479" s="5">
        <v>30</v>
      </c>
      <c r="I479" s="5">
        <v>1520</v>
      </c>
      <c r="J479" s="5">
        <v>3</v>
      </c>
      <c r="K479" s="2">
        <v>44</v>
      </c>
      <c r="L479" s="7" t="s">
        <v>168</v>
      </c>
      <c r="M479" s="4">
        <v>3.9</v>
      </c>
      <c r="N479" s="5">
        <v>110</v>
      </c>
      <c r="O479" s="3">
        <v>45802</v>
      </c>
      <c r="P479" s="7" t="s">
        <v>2392</v>
      </c>
      <c r="Q479" s="7" t="s">
        <v>78</v>
      </c>
      <c r="R479" s="7" t="s">
        <v>89</v>
      </c>
      <c r="S479" s="7" t="s">
        <v>90</v>
      </c>
      <c r="T479" s="7"/>
      <c r="U479" s="11">
        <f t="shared" si="28"/>
        <v>6513</v>
      </c>
      <c r="V479" s="11">
        <f t="shared" si="29"/>
        <v>4560</v>
      </c>
      <c r="W479" s="11">
        <f t="shared" si="30"/>
        <v>1953</v>
      </c>
      <c r="X479" t="str">
        <f t="shared" si="31"/>
        <v>Cancelled</v>
      </c>
    </row>
    <row r="480" spans="1:24" ht="12.5" x14ac:dyDescent="0.25">
      <c r="A480" s="2" t="s">
        <v>1820</v>
      </c>
      <c r="B480" s="2" t="s">
        <v>1624</v>
      </c>
      <c r="C480" s="2" t="s">
        <v>1821</v>
      </c>
      <c r="D480" s="7" t="s">
        <v>1822</v>
      </c>
      <c r="E480" s="7" t="s">
        <v>24</v>
      </c>
      <c r="F480" s="7" t="s">
        <v>25</v>
      </c>
      <c r="G480" s="5">
        <v>3819</v>
      </c>
      <c r="H480" s="5">
        <v>30</v>
      </c>
      <c r="I480" s="5">
        <v>2674</v>
      </c>
      <c r="J480" s="5">
        <v>3</v>
      </c>
      <c r="K480" s="2" t="s">
        <v>26</v>
      </c>
      <c r="L480" s="7" t="s">
        <v>39</v>
      </c>
      <c r="M480" s="4">
        <v>4</v>
      </c>
      <c r="N480" s="5">
        <v>176</v>
      </c>
      <c r="O480" s="3">
        <v>45774</v>
      </c>
      <c r="P480" s="7" t="s">
        <v>2390</v>
      </c>
      <c r="Q480" s="7" t="s">
        <v>29</v>
      </c>
      <c r="R480" s="7" t="s">
        <v>149</v>
      </c>
      <c r="S480" s="7" t="s">
        <v>150</v>
      </c>
      <c r="T480" s="7"/>
      <c r="U480" s="11">
        <f t="shared" si="28"/>
        <v>11457</v>
      </c>
      <c r="V480" s="11">
        <f t="shared" si="29"/>
        <v>8022</v>
      </c>
      <c r="W480" s="11">
        <f t="shared" si="30"/>
        <v>3435</v>
      </c>
      <c r="X480" t="str">
        <f t="shared" si="31"/>
        <v>Completed</v>
      </c>
    </row>
    <row r="481" spans="1:24" ht="12.5" x14ac:dyDescent="0.25">
      <c r="A481" s="2" t="s">
        <v>1823</v>
      </c>
      <c r="B481" s="2" t="s">
        <v>125</v>
      </c>
      <c r="C481" s="2" t="s">
        <v>1824</v>
      </c>
      <c r="D481" s="7" t="s">
        <v>1825</v>
      </c>
      <c r="E481" s="7" t="s">
        <v>55</v>
      </c>
      <c r="F481" s="7" t="s">
        <v>38</v>
      </c>
      <c r="G481" s="5">
        <v>4217</v>
      </c>
      <c r="H481" s="5">
        <v>15</v>
      </c>
      <c r="I481" s="5">
        <v>3585</v>
      </c>
      <c r="J481" s="5">
        <v>1</v>
      </c>
      <c r="K481" s="2">
        <v>42</v>
      </c>
      <c r="L481" s="7" t="s">
        <v>27</v>
      </c>
      <c r="M481" s="4">
        <v>3.7</v>
      </c>
      <c r="N481" s="5">
        <v>30</v>
      </c>
      <c r="O481" s="3">
        <v>45822</v>
      </c>
      <c r="P481" s="7" t="s">
        <v>2390</v>
      </c>
      <c r="Q481" s="7" t="s">
        <v>29</v>
      </c>
      <c r="R481" s="7" t="s">
        <v>104</v>
      </c>
      <c r="S481" s="7" t="s">
        <v>105</v>
      </c>
      <c r="T481" s="7"/>
      <c r="U481" s="11">
        <f t="shared" si="28"/>
        <v>4217</v>
      </c>
      <c r="V481" s="11">
        <f t="shared" si="29"/>
        <v>3585</v>
      </c>
      <c r="W481" s="11">
        <f t="shared" si="30"/>
        <v>632</v>
      </c>
      <c r="X481" t="str">
        <f t="shared" si="31"/>
        <v>Completed</v>
      </c>
    </row>
    <row r="482" spans="1:24" ht="12.5" x14ac:dyDescent="0.25">
      <c r="A482" s="2" t="s">
        <v>1826</v>
      </c>
      <c r="B482" s="2" t="s">
        <v>1827</v>
      </c>
      <c r="C482" s="2" t="s">
        <v>1828</v>
      </c>
      <c r="D482" s="7" t="s">
        <v>1829</v>
      </c>
      <c r="E482" s="7" t="s">
        <v>147</v>
      </c>
      <c r="F482" s="7" t="s">
        <v>148</v>
      </c>
      <c r="G482" s="5">
        <v>624</v>
      </c>
      <c r="H482" s="5">
        <v>20</v>
      </c>
      <c r="I482" s="5">
        <v>500</v>
      </c>
      <c r="J482" s="5">
        <v>3</v>
      </c>
      <c r="K482" s="2">
        <v>44</v>
      </c>
      <c r="L482" s="7" t="s">
        <v>27</v>
      </c>
      <c r="M482" s="4">
        <v>4.9000000000000004</v>
      </c>
      <c r="N482" s="5">
        <v>50</v>
      </c>
      <c r="O482" s="3">
        <v>45774</v>
      </c>
      <c r="P482" s="7" t="s">
        <v>2391</v>
      </c>
      <c r="Q482" s="7" t="s">
        <v>65</v>
      </c>
      <c r="R482" s="7" t="s">
        <v>83</v>
      </c>
      <c r="S482" s="7" t="s">
        <v>83</v>
      </c>
      <c r="T482" s="7" t="s">
        <v>203</v>
      </c>
      <c r="U482" s="11">
        <f t="shared" si="28"/>
        <v>1872</v>
      </c>
      <c r="V482" s="11">
        <f t="shared" si="29"/>
        <v>1500</v>
      </c>
      <c r="W482" s="11">
        <f t="shared" si="30"/>
        <v>372</v>
      </c>
      <c r="X482" t="str">
        <f t="shared" si="31"/>
        <v>Returned</v>
      </c>
    </row>
    <row r="483" spans="1:24" ht="12.5" x14ac:dyDescent="0.25">
      <c r="A483" s="2" t="s">
        <v>1830</v>
      </c>
      <c r="B483" s="2" t="s">
        <v>1831</v>
      </c>
      <c r="C483" s="2" t="s">
        <v>1832</v>
      </c>
      <c r="D483" s="7" t="s">
        <v>1833</v>
      </c>
      <c r="E483" s="7" t="s">
        <v>147</v>
      </c>
      <c r="F483" s="7" t="s">
        <v>148</v>
      </c>
      <c r="G483" s="5">
        <v>1628</v>
      </c>
      <c r="H483" s="5">
        <v>40</v>
      </c>
      <c r="I483" s="5">
        <v>977</v>
      </c>
      <c r="J483" s="5">
        <v>1</v>
      </c>
      <c r="K483" s="2">
        <v>42</v>
      </c>
      <c r="L483" s="7" t="s">
        <v>209</v>
      </c>
      <c r="M483" s="4">
        <v>4.8</v>
      </c>
      <c r="N483" s="5">
        <v>233</v>
      </c>
      <c r="O483" s="3">
        <v>45800</v>
      </c>
      <c r="P483" s="7" t="s">
        <v>2391</v>
      </c>
      <c r="Q483" s="7" t="s">
        <v>78</v>
      </c>
      <c r="R483" s="7" t="s">
        <v>41</v>
      </c>
      <c r="S483" s="7" t="s">
        <v>42</v>
      </c>
      <c r="T483" s="7"/>
      <c r="U483" s="11">
        <f t="shared" si="28"/>
        <v>1628</v>
      </c>
      <c r="V483" s="11">
        <f t="shared" si="29"/>
        <v>977</v>
      </c>
      <c r="W483" s="11">
        <f t="shared" si="30"/>
        <v>651</v>
      </c>
      <c r="X483" t="str">
        <f t="shared" si="31"/>
        <v>Returned</v>
      </c>
    </row>
    <row r="484" spans="1:24" ht="12.5" x14ac:dyDescent="0.25">
      <c r="A484" s="2" t="s">
        <v>1834</v>
      </c>
      <c r="B484" s="2" t="s">
        <v>1022</v>
      </c>
      <c r="C484" s="2" t="s">
        <v>1835</v>
      </c>
      <c r="D484" s="7" t="s">
        <v>1836</v>
      </c>
      <c r="E484" s="7" t="s">
        <v>247</v>
      </c>
      <c r="F484" s="7" t="s">
        <v>248</v>
      </c>
      <c r="G484" s="5">
        <v>4177</v>
      </c>
      <c r="H484" s="5">
        <v>25</v>
      </c>
      <c r="I484" s="5">
        <v>3133</v>
      </c>
      <c r="J484" s="5">
        <v>3</v>
      </c>
      <c r="K484" s="2" t="s">
        <v>72</v>
      </c>
      <c r="L484" s="7" t="s">
        <v>27</v>
      </c>
      <c r="M484" s="4">
        <v>4.3</v>
      </c>
      <c r="N484" s="5">
        <v>248</v>
      </c>
      <c r="O484" s="3">
        <v>45804</v>
      </c>
      <c r="P484" s="7" t="s">
        <v>2390</v>
      </c>
      <c r="Q484" s="7" t="s">
        <v>78</v>
      </c>
      <c r="R484" s="7" t="s">
        <v>185</v>
      </c>
      <c r="S484" s="7" t="s">
        <v>186</v>
      </c>
      <c r="T484" s="7"/>
      <c r="U484" s="11">
        <f t="shared" si="28"/>
        <v>12531</v>
      </c>
      <c r="V484" s="11">
        <f t="shared" si="29"/>
        <v>9399</v>
      </c>
      <c r="W484" s="11">
        <f t="shared" si="30"/>
        <v>3132</v>
      </c>
      <c r="X484" t="str">
        <f t="shared" si="31"/>
        <v>Completed</v>
      </c>
    </row>
    <row r="485" spans="1:24" ht="12.5" x14ac:dyDescent="0.25">
      <c r="A485" s="2" t="s">
        <v>1837</v>
      </c>
      <c r="B485" s="2" t="s">
        <v>219</v>
      </c>
      <c r="C485" s="2" t="s">
        <v>1838</v>
      </c>
      <c r="D485" s="7" t="s">
        <v>1839</v>
      </c>
      <c r="E485" s="7" t="s">
        <v>132</v>
      </c>
      <c r="F485" s="7" t="s">
        <v>38</v>
      </c>
      <c r="G485" s="5">
        <v>1198</v>
      </c>
      <c r="H485" s="5">
        <v>10</v>
      </c>
      <c r="I485" s="5">
        <v>1079</v>
      </c>
      <c r="J485" s="5">
        <v>3</v>
      </c>
      <c r="K485" s="2">
        <v>42</v>
      </c>
      <c r="L485" s="7" t="s">
        <v>103</v>
      </c>
      <c r="M485" s="4">
        <v>4.0999999999999996</v>
      </c>
      <c r="N485" s="5">
        <v>188</v>
      </c>
      <c r="O485" s="3">
        <v>45819</v>
      </c>
      <c r="P485" s="7" t="s">
        <v>2390</v>
      </c>
      <c r="Q485" s="7" t="s">
        <v>65</v>
      </c>
      <c r="R485" s="7" t="s">
        <v>149</v>
      </c>
      <c r="S485" s="7" t="s">
        <v>150</v>
      </c>
      <c r="T485" s="7"/>
      <c r="U485" s="11">
        <f t="shared" si="28"/>
        <v>3594</v>
      </c>
      <c r="V485" s="11">
        <f t="shared" si="29"/>
        <v>3237</v>
      </c>
      <c r="W485" s="11">
        <f t="shared" si="30"/>
        <v>357</v>
      </c>
      <c r="X485" t="str">
        <f t="shared" si="31"/>
        <v>Completed</v>
      </c>
    </row>
    <row r="486" spans="1:24" ht="12.5" x14ac:dyDescent="0.25">
      <c r="A486" s="2" t="s">
        <v>1840</v>
      </c>
      <c r="B486" s="2" t="s">
        <v>1841</v>
      </c>
      <c r="C486" s="2" t="s">
        <v>1842</v>
      </c>
      <c r="D486" s="7" t="s">
        <v>1843</v>
      </c>
      <c r="E486" s="7" t="s">
        <v>208</v>
      </c>
      <c r="F486" s="7" t="s">
        <v>117</v>
      </c>
      <c r="G486" s="5">
        <v>707</v>
      </c>
      <c r="H486" s="5">
        <v>35</v>
      </c>
      <c r="I486" s="5">
        <v>460</v>
      </c>
      <c r="J486" s="5">
        <v>3</v>
      </c>
      <c r="K486" s="2">
        <v>40</v>
      </c>
      <c r="L486" s="7" t="s">
        <v>133</v>
      </c>
      <c r="M486" s="4">
        <v>3.8</v>
      </c>
      <c r="N486" s="5">
        <v>269</v>
      </c>
      <c r="O486" s="3">
        <v>45811</v>
      </c>
      <c r="P486" s="7" t="s">
        <v>2390</v>
      </c>
      <c r="Q486" s="7" t="s">
        <v>29</v>
      </c>
      <c r="R486" s="7" t="s">
        <v>83</v>
      </c>
      <c r="S486" s="7" t="s">
        <v>83</v>
      </c>
      <c r="T486" s="7"/>
      <c r="U486" s="11">
        <f t="shared" si="28"/>
        <v>2121</v>
      </c>
      <c r="V486" s="11">
        <f t="shared" si="29"/>
        <v>1380</v>
      </c>
      <c r="W486" s="11">
        <f t="shared" si="30"/>
        <v>741</v>
      </c>
      <c r="X486" t="str">
        <f t="shared" si="31"/>
        <v>Completed</v>
      </c>
    </row>
    <row r="487" spans="1:24" ht="12.5" x14ac:dyDescent="0.25">
      <c r="A487" s="2" t="s">
        <v>1844</v>
      </c>
      <c r="B487" s="2" t="s">
        <v>581</v>
      </c>
      <c r="C487" s="2" t="s">
        <v>1845</v>
      </c>
      <c r="D487" s="7" t="s">
        <v>1846</v>
      </c>
      <c r="E487" s="7" t="s">
        <v>55</v>
      </c>
      <c r="F487" s="7" t="s">
        <v>38</v>
      </c>
      <c r="G487" s="5">
        <v>4186</v>
      </c>
      <c r="H487" s="5">
        <v>30</v>
      </c>
      <c r="I487" s="5">
        <v>2931</v>
      </c>
      <c r="J487" s="5">
        <v>2</v>
      </c>
      <c r="K487" s="2" t="s">
        <v>56</v>
      </c>
      <c r="L487" s="7" t="s">
        <v>73</v>
      </c>
      <c r="M487" s="4">
        <v>3.8</v>
      </c>
      <c r="N487" s="5">
        <v>104</v>
      </c>
      <c r="O487" s="3">
        <v>45803</v>
      </c>
      <c r="P487" s="7" t="s">
        <v>2390</v>
      </c>
      <c r="Q487" s="7" t="s">
        <v>65</v>
      </c>
      <c r="R487" s="7" t="s">
        <v>30</v>
      </c>
      <c r="S487" s="7" t="s">
        <v>31</v>
      </c>
      <c r="T487" s="7"/>
      <c r="U487" s="11">
        <f t="shared" si="28"/>
        <v>8372</v>
      </c>
      <c r="V487" s="11">
        <f t="shared" si="29"/>
        <v>5862</v>
      </c>
      <c r="W487" s="11">
        <f t="shared" si="30"/>
        <v>2510</v>
      </c>
      <c r="X487" t="str">
        <f t="shared" si="31"/>
        <v>Completed</v>
      </c>
    </row>
    <row r="488" spans="1:24" ht="12.5" x14ac:dyDescent="0.25">
      <c r="A488" s="2" t="s">
        <v>1847</v>
      </c>
      <c r="B488" s="2" t="s">
        <v>681</v>
      </c>
      <c r="C488" s="2" t="s">
        <v>1848</v>
      </c>
      <c r="D488" s="7" t="s">
        <v>1849</v>
      </c>
      <c r="E488" s="7" t="s">
        <v>132</v>
      </c>
      <c r="F488" s="7" t="s">
        <v>38</v>
      </c>
      <c r="G488" s="5">
        <v>988</v>
      </c>
      <c r="H488" s="5">
        <v>25</v>
      </c>
      <c r="I488" s="5">
        <v>741</v>
      </c>
      <c r="J488" s="5">
        <v>3</v>
      </c>
      <c r="K488" s="2" t="s">
        <v>72</v>
      </c>
      <c r="L488" s="7" t="s">
        <v>88</v>
      </c>
      <c r="M488" s="4">
        <v>4.5999999999999996</v>
      </c>
      <c r="N488" s="5">
        <v>193</v>
      </c>
      <c r="O488" s="3">
        <v>45833</v>
      </c>
      <c r="P488" s="7" t="s">
        <v>2392</v>
      </c>
      <c r="Q488" s="7" t="s">
        <v>78</v>
      </c>
      <c r="R488" s="7" t="s">
        <v>149</v>
      </c>
      <c r="S488" s="7" t="s">
        <v>150</v>
      </c>
      <c r="T488" s="7"/>
      <c r="U488" s="11">
        <f t="shared" si="28"/>
        <v>2964</v>
      </c>
      <c r="V488" s="11">
        <f t="shared" si="29"/>
        <v>2223</v>
      </c>
      <c r="W488" s="11">
        <f t="shared" si="30"/>
        <v>741</v>
      </c>
      <c r="X488" t="str">
        <f t="shared" si="31"/>
        <v>Cancelled</v>
      </c>
    </row>
    <row r="489" spans="1:24" ht="12.5" x14ac:dyDescent="0.25">
      <c r="A489" s="2" t="s">
        <v>1850</v>
      </c>
      <c r="B489" s="2" t="s">
        <v>1352</v>
      </c>
      <c r="C489" s="2" t="s">
        <v>1851</v>
      </c>
      <c r="D489" s="7" t="s">
        <v>1852</v>
      </c>
      <c r="E489" s="7" t="s">
        <v>122</v>
      </c>
      <c r="F489" s="7" t="s">
        <v>123</v>
      </c>
      <c r="G489" s="5">
        <v>1290</v>
      </c>
      <c r="H489" s="5">
        <v>10</v>
      </c>
      <c r="I489" s="5">
        <v>1161</v>
      </c>
      <c r="J489" s="5">
        <v>2</v>
      </c>
      <c r="K489" s="2">
        <v>42</v>
      </c>
      <c r="L489" s="7" t="s">
        <v>39</v>
      </c>
      <c r="M489" s="4">
        <v>3.7</v>
      </c>
      <c r="N489" s="5">
        <v>133</v>
      </c>
      <c r="O489" s="3">
        <v>45840</v>
      </c>
      <c r="P489" s="7" t="s">
        <v>2392</v>
      </c>
      <c r="Q489" s="7" t="s">
        <v>65</v>
      </c>
      <c r="R489" s="7" t="s">
        <v>149</v>
      </c>
      <c r="S489" s="7" t="s">
        <v>150</v>
      </c>
      <c r="T489" s="7"/>
      <c r="U489" s="11">
        <f t="shared" si="28"/>
        <v>2580</v>
      </c>
      <c r="V489" s="11">
        <f t="shared" si="29"/>
        <v>2322</v>
      </c>
      <c r="W489" s="11">
        <f t="shared" si="30"/>
        <v>258</v>
      </c>
      <c r="X489" t="str">
        <f t="shared" si="31"/>
        <v>Cancelled</v>
      </c>
    </row>
    <row r="490" spans="1:24" ht="12.5" x14ac:dyDescent="0.25">
      <c r="A490" s="2" t="s">
        <v>1853</v>
      </c>
      <c r="B490" s="2" t="s">
        <v>1854</v>
      </c>
      <c r="C490" s="2" t="s">
        <v>1855</v>
      </c>
      <c r="D490" s="7" t="s">
        <v>1856</v>
      </c>
      <c r="E490" s="7" t="s">
        <v>37</v>
      </c>
      <c r="F490" s="7" t="s">
        <v>38</v>
      </c>
      <c r="G490" s="5">
        <v>4996</v>
      </c>
      <c r="H490" s="5">
        <v>35</v>
      </c>
      <c r="I490" s="5">
        <v>3248</v>
      </c>
      <c r="J490" s="5">
        <v>3</v>
      </c>
      <c r="K490" s="2" t="s">
        <v>26</v>
      </c>
      <c r="L490" s="7" t="s">
        <v>64</v>
      </c>
      <c r="M490" s="4">
        <v>4.5</v>
      </c>
      <c r="N490" s="5">
        <v>215</v>
      </c>
      <c r="O490" s="3">
        <v>45773</v>
      </c>
      <c r="P490" s="7" t="s">
        <v>2391</v>
      </c>
      <c r="Q490" s="7" t="s">
        <v>78</v>
      </c>
      <c r="R490" s="7" t="s">
        <v>149</v>
      </c>
      <c r="S490" s="7" t="s">
        <v>150</v>
      </c>
      <c r="T490" s="7" t="s">
        <v>203</v>
      </c>
      <c r="U490" s="11">
        <f t="shared" si="28"/>
        <v>14988</v>
      </c>
      <c r="V490" s="11">
        <f t="shared" si="29"/>
        <v>9744</v>
      </c>
      <c r="W490" s="11">
        <f t="shared" si="30"/>
        <v>5244</v>
      </c>
      <c r="X490" t="str">
        <f t="shared" si="31"/>
        <v>Returned</v>
      </c>
    </row>
    <row r="491" spans="1:24" ht="12.5" x14ac:dyDescent="0.25">
      <c r="A491" s="2" t="s">
        <v>1857</v>
      </c>
      <c r="B491" s="2" t="s">
        <v>1858</v>
      </c>
      <c r="C491" s="2" t="s">
        <v>1859</v>
      </c>
      <c r="D491" s="7" t="s">
        <v>1860</v>
      </c>
      <c r="E491" s="7" t="s">
        <v>132</v>
      </c>
      <c r="F491" s="7" t="s">
        <v>38</v>
      </c>
      <c r="G491" s="5">
        <v>3564</v>
      </c>
      <c r="H491" s="5">
        <v>20</v>
      </c>
      <c r="I491" s="5">
        <v>2852</v>
      </c>
      <c r="J491" s="5">
        <v>3</v>
      </c>
      <c r="K491" s="2">
        <v>40</v>
      </c>
      <c r="L491" s="7" t="s">
        <v>133</v>
      </c>
      <c r="M491" s="4">
        <v>3.7</v>
      </c>
      <c r="N491" s="5">
        <v>113</v>
      </c>
      <c r="O491" s="3">
        <v>45850</v>
      </c>
      <c r="P491" s="7" t="s">
        <v>2390</v>
      </c>
      <c r="Q491" s="7" t="s">
        <v>65</v>
      </c>
      <c r="R491" s="7" t="s">
        <v>110</v>
      </c>
      <c r="S491" s="7" t="s">
        <v>111</v>
      </c>
      <c r="T491" s="7"/>
      <c r="U491" s="11">
        <f t="shared" si="28"/>
        <v>10692</v>
      </c>
      <c r="V491" s="11">
        <f t="shared" si="29"/>
        <v>8556</v>
      </c>
      <c r="W491" s="11">
        <f t="shared" si="30"/>
        <v>2136</v>
      </c>
      <c r="X491" t="str">
        <f t="shared" si="31"/>
        <v>Completed</v>
      </c>
    </row>
    <row r="492" spans="1:24" ht="12.5" x14ac:dyDescent="0.25">
      <c r="A492" s="2" t="s">
        <v>1861</v>
      </c>
      <c r="B492" s="2" t="s">
        <v>1007</v>
      </c>
      <c r="C492" s="2" t="s">
        <v>1862</v>
      </c>
      <c r="D492" s="7" t="s">
        <v>1863</v>
      </c>
      <c r="E492" s="7" t="s">
        <v>147</v>
      </c>
      <c r="F492" s="7" t="s">
        <v>148</v>
      </c>
      <c r="G492" s="5">
        <v>1246</v>
      </c>
      <c r="H492" s="5">
        <v>20</v>
      </c>
      <c r="I492" s="5">
        <v>997</v>
      </c>
      <c r="J492" s="5">
        <v>1</v>
      </c>
      <c r="K492" s="2" t="s">
        <v>261</v>
      </c>
      <c r="L492" s="7" t="s">
        <v>49</v>
      </c>
      <c r="M492" s="4">
        <v>5</v>
      </c>
      <c r="N492" s="5">
        <v>165</v>
      </c>
      <c r="O492" s="3">
        <v>45770</v>
      </c>
      <c r="P492" s="7" t="s">
        <v>2391</v>
      </c>
      <c r="Q492" s="7" t="s">
        <v>29</v>
      </c>
      <c r="R492" s="7" t="s">
        <v>104</v>
      </c>
      <c r="S492" s="7" t="s">
        <v>105</v>
      </c>
      <c r="T492" s="7" t="s">
        <v>134</v>
      </c>
      <c r="U492" s="11">
        <f t="shared" si="28"/>
        <v>1246</v>
      </c>
      <c r="V492" s="11">
        <f t="shared" si="29"/>
        <v>997</v>
      </c>
      <c r="W492" s="11">
        <f t="shared" si="30"/>
        <v>249</v>
      </c>
      <c r="X492" t="str">
        <f t="shared" si="31"/>
        <v>Returned</v>
      </c>
    </row>
    <row r="493" spans="1:24" ht="12.5" x14ac:dyDescent="0.25">
      <c r="A493" s="2" t="s">
        <v>1864</v>
      </c>
      <c r="B493" s="2" t="s">
        <v>593</v>
      </c>
      <c r="C493" s="2" t="s">
        <v>1865</v>
      </c>
      <c r="D493" s="7" t="s">
        <v>1866</v>
      </c>
      <c r="E493" s="7" t="s">
        <v>48</v>
      </c>
      <c r="F493" s="7" t="s">
        <v>25</v>
      </c>
      <c r="G493" s="5">
        <v>3175</v>
      </c>
      <c r="H493" s="5">
        <v>15</v>
      </c>
      <c r="I493" s="5">
        <v>2699</v>
      </c>
      <c r="J493" s="5">
        <v>3</v>
      </c>
      <c r="K493" s="2">
        <v>40</v>
      </c>
      <c r="L493" s="7" t="s">
        <v>64</v>
      </c>
      <c r="M493" s="4">
        <v>4.5999999999999996</v>
      </c>
      <c r="N493" s="5">
        <v>210</v>
      </c>
      <c r="O493" s="3">
        <v>45852</v>
      </c>
      <c r="P493" s="7" t="s">
        <v>2392</v>
      </c>
      <c r="Q493" s="7" t="s">
        <v>78</v>
      </c>
      <c r="R493" s="7" t="s">
        <v>185</v>
      </c>
      <c r="S493" s="7" t="s">
        <v>186</v>
      </c>
      <c r="T493" s="7"/>
      <c r="U493" s="11">
        <f t="shared" si="28"/>
        <v>9525</v>
      </c>
      <c r="V493" s="11">
        <f t="shared" si="29"/>
        <v>8097</v>
      </c>
      <c r="W493" s="11">
        <f t="shared" si="30"/>
        <v>1428</v>
      </c>
      <c r="X493" t="str">
        <f t="shared" si="31"/>
        <v>Cancelled</v>
      </c>
    </row>
    <row r="494" spans="1:24" ht="12.5" x14ac:dyDescent="0.25">
      <c r="A494" s="2" t="s">
        <v>1867</v>
      </c>
      <c r="B494" s="2" t="s">
        <v>1868</v>
      </c>
      <c r="C494" s="2" t="s">
        <v>1869</v>
      </c>
      <c r="D494" s="7" t="s">
        <v>1870</v>
      </c>
      <c r="E494" s="7" t="s">
        <v>132</v>
      </c>
      <c r="F494" s="7" t="s">
        <v>38</v>
      </c>
      <c r="G494" s="5">
        <v>3143</v>
      </c>
      <c r="H494" s="5">
        <v>10</v>
      </c>
      <c r="I494" s="5">
        <v>2829</v>
      </c>
      <c r="J494" s="5">
        <v>1</v>
      </c>
      <c r="K494" s="2" t="s">
        <v>26</v>
      </c>
      <c r="L494" s="7" t="s">
        <v>133</v>
      </c>
      <c r="M494" s="4">
        <v>4</v>
      </c>
      <c r="N494" s="5">
        <v>222</v>
      </c>
      <c r="O494" s="3">
        <v>45845</v>
      </c>
      <c r="P494" s="7" t="s">
        <v>2390</v>
      </c>
      <c r="Q494" s="7" t="s">
        <v>78</v>
      </c>
      <c r="R494" s="7" t="s">
        <v>66</v>
      </c>
      <c r="S494" s="7" t="s">
        <v>67</v>
      </c>
      <c r="T494" s="7"/>
      <c r="U494" s="11">
        <f t="shared" si="28"/>
        <v>3143</v>
      </c>
      <c r="V494" s="11">
        <f t="shared" si="29"/>
        <v>2829</v>
      </c>
      <c r="W494" s="11">
        <f t="shared" si="30"/>
        <v>314</v>
      </c>
      <c r="X494" t="str">
        <f t="shared" si="31"/>
        <v>Completed</v>
      </c>
    </row>
    <row r="495" spans="1:24" ht="12.5" x14ac:dyDescent="0.25">
      <c r="A495" s="2" t="s">
        <v>1871</v>
      </c>
      <c r="B495" s="2" t="s">
        <v>1872</v>
      </c>
      <c r="C495" s="2" t="s">
        <v>1873</v>
      </c>
      <c r="D495" s="7" t="s">
        <v>1874</v>
      </c>
      <c r="E495" s="7" t="s">
        <v>132</v>
      </c>
      <c r="F495" s="7" t="s">
        <v>38</v>
      </c>
      <c r="G495" s="5">
        <v>1616</v>
      </c>
      <c r="H495" s="5">
        <v>25</v>
      </c>
      <c r="I495" s="5">
        <v>1212</v>
      </c>
      <c r="J495" s="5">
        <v>2</v>
      </c>
      <c r="K495" s="2" t="s">
        <v>26</v>
      </c>
      <c r="L495" s="7" t="s">
        <v>168</v>
      </c>
      <c r="M495" s="4">
        <v>3.9</v>
      </c>
      <c r="N495" s="5">
        <v>152</v>
      </c>
      <c r="O495" s="3">
        <v>45794</v>
      </c>
      <c r="P495" s="7" t="s">
        <v>2391</v>
      </c>
      <c r="Q495" s="7" t="s">
        <v>29</v>
      </c>
      <c r="R495" s="7" t="s">
        <v>104</v>
      </c>
      <c r="S495" s="7" t="s">
        <v>105</v>
      </c>
      <c r="T495" s="7" t="s">
        <v>43</v>
      </c>
      <c r="U495" s="11">
        <f t="shared" si="28"/>
        <v>3232</v>
      </c>
      <c r="V495" s="11">
        <f t="shared" si="29"/>
        <v>2424</v>
      </c>
      <c r="W495" s="11">
        <f t="shared" si="30"/>
        <v>808</v>
      </c>
      <c r="X495" t="str">
        <f t="shared" si="31"/>
        <v>Returned</v>
      </c>
    </row>
    <row r="496" spans="1:24" ht="12.5" x14ac:dyDescent="0.25">
      <c r="A496" s="2" t="s">
        <v>1875</v>
      </c>
      <c r="B496" s="2" t="s">
        <v>1868</v>
      </c>
      <c r="C496" s="2" t="s">
        <v>1876</v>
      </c>
      <c r="D496" s="7" t="s">
        <v>1877</v>
      </c>
      <c r="E496" s="7" t="s">
        <v>122</v>
      </c>
      <c r="F496" s="7" t="s">
        <v>123</v>
      </c>
      <c r="G496" s="5">
        <v>3572</v>
      </c>
      <c r="H496" s="5">
        <v>25</v>
      </c>
      <c r="I496" s="5">
        <v>2679</v>
      </c>
      <c r="J496" s="5">
        <v>3</v>
      </c>
      <c r="K496" s="2" t="s">
        <v>226</v>
      </c>
      <c r="L496" s="7" t="s">
        <v>103</v>
      </c>
      <c r="M496" s="4">
        <v>3.9</v>
      </c>
      <c r="N496" s="5">
        <v>215</v>
      </c>
      <c r="O496" s="3">
        <v>45814</v>
      </c>
      <c r="P496" s="7" t="s">
        <v>2392</v>
      </c>
      <c r="Q496" s="7" t="s">
        <v>78</v>
      </c>
      <c r="R496" s="7" t="s">
        <v>30</v>
      </c>
      <c r="S496" s="7" t="s">
        <v>31</v>
      </c>
      <c r="T496" s="7"/>
      <c r="U496" s="11">
        <f t="shared" si="28"/>
        <v>10716</v>
      </c>
      <c r="V496" s="11">
        <f t="shared" si="29"/>
        <v>8037</v>
      </c>
      <c r="W496" s="11">
        <f t="shared" si="30"/>
        <v>2679</v>
      </c>
      <c r="X496" t="str">
        <f t="shared" si="31"/>
        <v>Cancelled</v>
      </c>
    </row>
    <row r="497" spans="1:24" ht="12.5" x14ac:dyDescent="0.25">
      <c r="A497" s="2" t="s">
        <v>1878</v>
      </c>
      <c r="B497" s="2" t="s">
        <v>428</v>
      </c>
      <c r="C497" s="2" t="s">
        <v>1879</v>
      </c>
      <c r="D497" s="7" t="s">
        <v>1880</v>
      </c>
      <c r="E497" s="7" t="s">
        <v>55</v>
      </c>
      <c r="F497" s="7" t="s">
        <v>38</v>
      </c>
      <c r="G497" s="5">
        <v>2899</v>
      </c>
      <c r="H497" s="5">
        <v>10</v>
      </c>
      <c r="I497" s="5">
        <v>2610</v>
      </c>
      <c r="J497" s="5">
        <v>2</v>
      </c>
      <c r="K497" s="2" t="s">
        <v>163</v>
      </c>
      <c r="L497" s="7" t="s">
        <v>209</v>
      </c>
      <c r="M497" s="4">
        <v>3.7</v>
      </c>
      <c r="N497" s="5">
        <v>288</v>
      </c>
      <c r="O497" s="3">
        <v>45775</v>
      </c>
      <c r="P497" s="7" t="s">
        <v>2391</v>
      </c>
      <c r="Q497" s="7" t="s">
        <v>65</v>
      </c>
      <c r="R497" s="7" t="s">
        <v>89</v>
      </c>
      <c r="S497" s="7" t="s">
        <v>90</v>
      </c>
      <c r="T497" s="7"/>
      <c r="U497" s="11">
        <f t="shared" si="28"/>
        <v>5798</v>
      </c>
      <c r="V497" s="11">
        <f t="shared" si="29"/>
        <v>5220</v>
      </c>
      <c r="W497" s="11">
        <f t="shared" si="30"/>
        <v>578</v>
      </c>
      <c r="X497" t="str">
        <f t="shared" si="31"/>
        <v>Returned</v>
      </c>
    </row>
    <row r="498" spans="1:24" ht="12.5" x14ac:dyDescent="0.25">
      <c r="A498" s="2" t="s">
        <v>1881</v>
      </c>
      <c r="B498" s="2" t="s">
        <v>1564</v>
      </c>
      <c r="C498" s="2" t="s">
        <v>1882</v>
      </c>
      <c r="D498" s="7" t="s">
        <v>1883</v>
      </c>
      <c r="E498" s="7" t="s">
        <v>48</v>
      </c>
      <c r="F498" s="7" t="s">
        <v>25</v>
      </c>
      <c r="G498" s="5">
        <v>2590</v>
      </c>
      <c r="H498" s="5">
        <v>40</v>
      </c>
      <c r="I498" s="5">
        <v>1554</v>
      </c>
      <c r="J498" s="5">
        <v>3</v>
      </c>
      <c r="K498" s="2" t="s">
        <v>226</v>
      </c>
      <c r="L498" s="7" t="s">
        <v>209</v>
      </c>
      <c r="M498" s="4">
        <v>4.9000000000000004</v>
      </c>
      <c r="N498" s="5">
        <v>230</v>
      </c>
      <c r="O498" s="3">
        <v>45800</v>
      </c>
      <c r="P498" s="7" t="s">
        <v>2392</v>
      </c>
      <c r="Q498" s="7" t="s">
        <v>65</v>
      </c>
      <c r="R498" s="7" t="s">
        <v>58</v>
      </c>
      <c r="S498" s="7" t="s">
        <v>59</v>
      </c>
      <c r="T498" s="7"/>
      <c r="U498" s="11">
        <f t="shared" si="28"/>
        <v>7770</v>
      </c>
      <c r="V498" s="11">
        <f t="shared" si="29"/>
        <v>4662</v>
      </c>
      <c r="W498" s="11">
        <f t="shared" si="30"/>
        <v>3108</v>
      </c>
      <c r="X498" t="str">
        <f t="shared" si="31"/>
        <v>Cancelled</v>
      </c>
    </row>
    <row r="499" spans="1:24" ht="12.5" x14ac:dyDescent="0.25">
      <c r="A499" s="2" t="s">
        <v>1884</v>
      </c>
      <c r="B499" s="2" t="s">
        <v>809</v>
      </c>
      <c r="C499" s="2" t="s">
        <v>1885</v>
      </c>
      <c r="D499" s="7" t="s">
        <v>1886</v>
      </c>
      <c r="E499" s="7" t="s">
        <v>208</v>
      </c>
      <c r="F499" s="7" t="s">
        <v>117</v>
      </c>
      <c r="G499" s="5">
        <v>955</v>
      </c>
      <c r="H499" s="5">
        <v>30</v>
      </c>
      <c r="I499" s="5">
        <v>669</v>
      </c>
      <c r="J499" s="5">
        <v>1</v>
      </c>
      <c r="K499" s="2" t="s">
        <v>226</v>
      </c>
      <c r="L499" s="7" t="s">
        <v>49</v>
      </c>
      <c r="M499" s="4">
        <v>3.8</v>
      </c>
      <c r="N499" s="5">
        <v>237</v>
      </c>
      <c r="O499" s="3">
        <v>45856</v>
      </c>
      <c r="P499" s="7" t="s">
        <v>2392</v>
      </c>
      <c r="Q499" s="7" t="s">
        <v>78</v>
      </c>
      <c r="R499" s="7" t="s">
        <v>58</v>
      </c>
      <c r="S499" s="7" t="s">
        <v>59</v>
      </c>
      <c r="T499" s="7"/>
      <c r="U499" s="11">
        <f t="shared" si="28"/>
        <v>955</v>
      </c>
      <c r="V499" s="11">
        <f t="shared" si="29"/>
        <v>669</v>
      </c>
      <c r="W499" s="11">
        <f t="shared" si="30"/>
        <v>286</v>
      </c>
      <c r="X499" t="str">
        <f t="shared" si="31"/>
        <v>Cancelled</v>
      </c>
    </row>
    <row r="500" spans="1:24" ht="12.5" x14ac:dyDescent="0.25">
      <c r="A500" s="2" t="s">
        <v>1887</v>
      </c>
      <c r="B500" s="2" t="s">
        <v>1487</v>
      </c>
      <c r="C500" s="2" t="s">
        <v>1888</v>
      </c>
      <c r="D500" s="7" t="s">
        <v>1889</v>
      </c>
      <c r="E500" s="7" t="s">
        <v>122</v>
      </c>
      <c r="F500" s="7" t="s">
        <v>123</v>
      </c>
      <c r="G500" s="5">
        <v>4871</v>
      </c>
      <c r="H500" s="5">
        <v>15</v>
      </c>
      <c r="I500" s="5">
        <v>4141</v>
      </c>
      <c r="J500" s="5">
        <v>2</v>
      </c>
      <c r="K500" s="2">
        <v>40</v>
      </c>
      <c r="L500" s="7" t="s">
        <v>39</v>
      </c>
      <c r="M500" s="4">
        <v>4.2</v>
      </c>
      <c r="N500" s="5">
        <v>117</v>
      </c>
      <c r="O500" s="3">
        <v>45836</v>
      </c>
      <c r="P500" s="7" t="s">
        <v>2391</v>
      </c>
      <c r="Q500" s="7" t="s">
        <v>29</v>
      </c>
      <c r="R500" s="7" t="s">
        <v>30</v>
      </c>
      <c r="S500" s="7" t="s">
        <v>31</v>
      </c>
      <c r="T500" s="7" t="s">
        <v>203</v>
      </c>
      <c r="U500" s="11">
        <f t="shared" si="28"/>
        <v>9742</v>
      </c>
      <c r="V500" s="11">
        <f t="shared" si="29"/>
        <v>8282</v>
      </c>
      <c r="W500" s="11">
        <f t="shared" si="30"/>
        <v>1460</v>
      </c>
      <c r="X500" t="str">
        <f t="shared" si="31"/>
        <v>Returned</v>
      </c>
    </row>
    <row r="501" spans="1:24" ht="12.5" x14ac:dyDescent="0.25">
      <c r="A501" s="2" t="s">
        <v>1890</v>
      </c>
      <c r="B501" s="2" t="s">
        <v>1516</v>
      </c>
      <c r="C501" s="2" t="s">
        <v>1891</v>
      </c>
      <c r="D501" s="7" t="s">
        <v>1892</v>
      </c>
      <c r="E501" s="7" t="s">
        <v>55</v>
      </c>
      <c r="F501" s="7" t="s">
        <v>38</v>
      </c>
      <c r="G501" s="5">
        <v>3488</v>
      </c>
      <c r="H501" s="5">
        <v>40</v>
      </c>
      <c r="I501" s="5">
        <v>2093</v>
      </c>
      <c r="J501" s="5">
        <v>1</v>
      </c>
      <c r="K501" s="2" t="s">
        <v>163</v>
      </c>
      <c r="L501" s="7" t="s">
        <v>64</v>
      </c>
      <c r="M501" s="4">
        <v>4.8</v>
      </c>
      <c r="N501" s="5">
        <v>156</v>
      </c>
      <c r="O501" s="3">
        <v>45777</v>
      </c>
      <c r="P501" s="7" t="s">
        <v>2390</v>
      </c>
      <c r="Q501" s="7" t="s">
        <v>65</v>
      </c>
      <c r="R501" s="7" t="s">
        <v>149</v>
      </c>
      <c r="S501" s="7" t="s">
        <v>150</v>
      </c>
      <c r="T501" s="7"/>
      <c r="U501" s="11">
        <f t="shared" si="28"/>
        <v>3488</v>
      </c>
      <c r="V501" s="11">
        <f t="shared" si="29"/>
        <v>2093</v>
      </c>
      <c r="W501" s="11">
        <f t="shared" si="30"/>
        <v>1395</v>
      </c>
      <c r="X501" t="str">
        <f t="shared" si="31"/>
        <v>Completed</v>
      </c>
    </row>
    <row r="502" spans="1:24" ht="12.5" x14ac:dyDescent="0.25">
      <c r="A502" s="2" t="s">
        <v>1893</v>
      </c>
      <c r="B502" s="2" t="s">
        <v>1894</v>
      </c>
      <c r="C502" s="2" t="s">
        <v>1895</v>
      </c>
      <c r="D502" s="7" t="s">
        <v>1896</v>
      </c>
      <c r="E502" s="7" t="s">
        <v>24</v>
      </c>
      <c r="F502" s="7" t="s">
        <v>25</v>
      </c>
      <c r="G502" s="5">
        <v>2350</v>
      </c>
      <c r="H502" s="5">
        <v>40</v>
      </c>
      <c r="I502" s="5">
        <v>1410</v>
      </c>
      <c r="J502" s="5">
        <v>1</v>
      </c>
      <c r="K502" s="2" t="s">
        <v>26</v>
      </c>
      <c r="L502" s="7" t="s">
        <v>88</v>
      </c>
      <c r="M502" s="4">
        <v>4.2</v>
      </c>
      <c r="N502" s="5">
        <v>85</v>
      </c>
      <c r="O502" s="3">
        <v>45816</v>
      </c>
      <c r="P502" s="7" t="s">
        <v>2390</v>
      </c>
      <c r="Q502" s="7" t="s">
        <v>65</v>
      </c>
      <c r="R502" s="7" t="s">
        <v>185</v>
      </c>
      <c r="S502" s="7" t="s">
        <v>186</v>
      </c>
      <c r="T502" s="7"/>
      <c r="U502" s="11">
        <f t="shared" si="28"/>
        <v>2350</v>
      </c>
      <c r="V502" s="11">
        <f t="shared" si="29"/>
        <v>1410</v>
      </c>
      <c r="W502" s="11">
        <f t="shared" si="30"/>
        <v>940</v>
      </c>
      <c r="X502" t="str">
        <f t="shared" si="31"/>
        <v>Completed</v>
      </c>
    </row>
    <row r="503" spans="1:24" ht="12.5" x14ac:dyDescent="0.25">
      <c r="A503" s="2" t="s">
        <v>1897</v>
      </c>
      <c r="B503" s="2" t="s">
        <v>223</v>
      </c>
      <c r="C503" s="2" t="s">
        <v>1898</v>
      </c>
      <c r="D503" s="7" t="s">
        <v>1899</v>
      </c>
      <c r="E503" s="7" t="s">
        <v>37</v>
      </c>
      <c r="F503" s="7" t="s">
        <v>38</v>
      </c>
      <c r="G503" s="5">
        <v>1726</v>
      </c>
      <c r="H503" s="5">
        <v>40</v>
      </c>
      <c r="I503" s="5">
        <v>1036</v>
      </c>
      <c r="J503" s="5">
        <v>1</v>
      </c>
      <c r="K503" s="2" t="s">
        <v>226</v>
      </c>
      <c r="L503" s="7" t="s">
        <v>88</v>
      </c>
      <c r="M503" s="4">
        <v>4.0999999999999996</v>
      </c>
      <c r="N503" s="5">
        <v>209</v>
      </c>
      <c r="O503" s="3">
        <v>45803</v>
      </c>
      <c r="P503" s="7" t="s">
        <v>2391</v>
      </c>
      <c r="Q503" s="7" t="s">
        <v>65</v>
      </c>
      <c r="R503" s="7" t="s">
        <v>149</v>
      </c>
      <c r="S503" s="7" t="s">
        <v>150</v>
      </c>
      <c r="T503" s="7"/>
      <c r="U503" s="11">
        <f t="shared" si="28"/>
        <v>1726</v>
      </c>
      <c r="V503" s="11">
        <f t="shared" si="29"/>
        <v>1036</v>
      </c>
      <c r="W503" s="11">
        <f t="shared" si="30"/>
        <v>690</v>
      </c>
      <c r="X503" t="str">
        <f t="shared" si="31"/>
        <v>Returned</v>
      </c>
    </row>
    <row r="504" spans="1:24" ht="12.5" x14ac:dyDescent="0.25">
      <c r="A504" s="2" t="s">
        <v>1900</v>
      </c>
      <c r="B504" s="2" t="s">
        <v>1901</v>
      </c>
      <c r="C504" s="2" t="s">
        <v>1902</v>
      </c>
      <c r="D504" s="7" t="s">
        <v>1903</v>
      </c>
      <c r="E504" s="7" t="s">
        <v>122</v>
      </c>
      <c r="F504" s="7" t="s">
        <v>123</v>
      </c>
      <c r="G504" s="5">
        <v>1734</v>
      </c>
      <c r="H504" s="5">
        <v>30</v>
      </c>
      <c r="I504" s="5">
        <v>1214</v>
      </c>
      <c r="J504" s="5">
        <v>1</v>
      </c>
      <c r="K504" s="2" t="s">
        <v>26</v>
      </c>
      <c r="L504" s="7" t="s">
        <v>39</v>
      </c>
      <c r="M504" s="4">
        <v>4.5</v>
      </c>
      <c r="N504" s="5">
        <v>284</v>
      </c>
      <c r="O504" s="3">
        <v>45824</v>
      </c>
      <c r="P504" s="7" t="s">
        <v>2391</v>
      </c>
      <c r="Q504" s="7" t="s">
        <v>65</v>
      </c>
      <c r="R504" s="7" t="s">
        <v>41</v>
      </c>
      <c r="S504" s="7" t="s">
        <v>42</v>
      </c>
      <c r="T504" s="7" t="s">
        <v>203</v>
      </c>
      <c r="U504" s="11">
        <f t="shared" si="28"/>
        <v>1734</v>
      </c>
      <c r="V504" s="11">
        <f t="shared" si="29"/>
        <v>1214</v>
      </c>
      <c r="W504" s="11">
        <f t="shared" si="30"/>
        <v>520</v>
      </c>
      <c r="X504" t="str">
        <f t="shared" si="31"/>
        <v>Returned</v>
      </c>
    </row>
    <row r="505" spans="1:24" ht="12.5" x14ac:dyDescent="0.25">
      <c r="A505" s="2" t="s">
        <v>1904</v>
      </c>
      <c r="B505" s="2" t="s">
        <v>1905</v>
      </c>
      <c r="C505" s="2" t="s">
        <v>1906</v>
      </c>
      <c r="D505" s="7" t="s">
        <v>1907</v>
      </c>
      <c r="E505" s="7" t="s">
        <v>122</v>
      </c>
      <c r="F505" s="7" t="s">
        <v>123</v>
      </c>
      <c r="G505" s="5">
        <v>4410</v>
      </c>
      <c r="H505" s="5">
        <v>30</v>
      </c>
      <c r="I505" s="5">
        <v>3087</v>
      </c>
      <c r="J505" s="5">
        <v>2</v>
      </c>
      <c r="K505" s="2" t="s">
        <v>32</v>
      </c>
      <c r="L505" s="7" t="s">
        <v>103</v>
      </c>
      <c r="M505" s="4">
        <v>4.5</v>
      </c>
      <c r="N505" s="5">
        <v>57</v>
      </c>
      <c r="O505" s="3">
        <v>45851</v>
      </c>
      <c r="P505" s="7" t="s">
        <v>2391</v>
      </c>
      <c r="Q505" s="7" t="s">
        <v>65</v>
      </c>
      <c r="R505" s="7" t="s">
        <v>110</v>
      </c>
      <c r="S505" s="7" t="s">
        <v>111</v>
      </c>
      <c r="T505" s="7"/>
      <c r="U505" s="11">
        <f t="shared" si="28"/>
        <v>8820</v>
      </c>
      <c r="V505" s="11">
        <f t="shared" si="29"/>
        <v>6174</v>
      </c>
      <c r="W505" s="11">
        <f t="shared" si="30"/>
        <v>2646</v>
      </c>
      <c r="X505" t="str">
        <f t="shared" si="31"/>
        <v>Returned</v>
      </c>
    </row>
    <row r="506" spans="1:24" ht="12.5" x14ac:dyDescent="0.25">
      <c r="A506" s="2" t="s">
        <v>1908</v>
      </c>
      <c r="B506" s="2" t="s">
        <v>1909</v>
      </c>
      <c r="C506" s="2" t="s">
        <v>1910</v>
      </c>
      <c r="D506" s="7" t="s">
        <v>1911</v>
      </c>
      <c r="E506" s="7" t="s">
        <v>116</v>
      </c>
      <c r="F506" s="7" t="s">
        <v>117</v>
      </c>
      <c r="G506" s="5">
        <v>3750</v>
      </c>
      <c r="H506" s="5">
        <v>35</v>
      </c>
      <c r="I506" s="5">
        <v>2438</v>
      </c>
      <c r="J506" s="5">
        <v>2</v>
      </c>
      <c r="K506" s="2" t="s">
        <v>56</v>
      </c>
      <c r="L506" s="7" t="s">
        <v>133</v>
      </c>
      <c r="M506" s="4">
        <v>4.8</v>
      </c>
      <c r="N506" s="5">
        <v>245</v>
      </c>
      <c r="O506" s="3">
        <v>45836</v>
      </c>
      <c r="P506" s="7" t="s">
        <v>2390</v>
      </c>
      <c r="Q506" s="7" t="s">
        <v>29</v>
      </c>
      <c r="R506" s="7" t="s">
        <v>149</v>
      </c>
      <c r="S506" s="7" t="s">
        <v>150</v>
      </c>
      <c r="T506" s="7"/>
      <c r="U506" s="11">
        <f t="shared" si="28"/>
        <v>7500</v>
      </c>
      <c r="V506" s="11">
        <f t="shared" si="29"/>
        <v>4876</v>
      </c>
      <c r="W506" s="11">
        <f t="shared" si="30"/>
        <v>2624</v>
      </c>
      <c r="X506" t="str">
        <f t="shared" si="31"/>
        <v>Completed</v>
      </c>
    </row>
    <row r="507" spans="1:24" ht="12.5" x14ac:dyDescent="0.25">
      <c r="A507" s="2" t="s">
        <v>1912</v>
      </c>
      <c r="B507" s="2" t="s">
        <v>119</v>
      </c>
      <c r="C507" s="2" t="s">
        <v>1913</v>
      </c>
      <c r="D507" s="7" t="s">
        <v>1914</v>
      </c>
      <c r="E507" s="7" t="s">
        <v>116</v>
      </c>
      <c r="F507" s="7" t="s">
        <v>117</v>
      </c>
      <c r="G507" s="5">
        <v>4799</v>
      </c>
      <c r="H507" s="5">
        <v>25</v>
      </c>
      <c r="I507" s="5">
        <v>3600</v>
      </c>
      <c r="J507" s="5">
        <v>1</v>
      </c>
      <c r="K507" s="2">
        <v>44</v>
      </c>
      <c r="L507" s="7" t="s">
        <v>168</v>
      </c>
      <c r="M507" s="4">
        <v>3.9</v>
      </c>
      <c r="N507" s="5">
        <v>166</v>
      </c>
      <c r="O507" s="3">
        <v>45848</v>
      </c>
      <c r="P507" s="7" t="s">
        <v>2391</v>
      </c>
      <c r="Q507" s="7" t="s">
        <v>65</v>
      </c>
      <c r="R507" s="7" t="s">
        <v>110</v>
      </c>
      <c r="S507" s="7" t="s">
        <v>111</v>
      </c>
      <c r="T507" s="7" t="s">
        <v>203</v>
      </c>
      <c r="U507" s="11">
        <f t="shared" si="28"/>
        <v>4799</v>
      </c>
      <c r="V507" s="11">
        <f t="shared" si="29"/>
        <v>3600</v>
      </c>
      <c r="W507" s="11">
        <f t="shared" si="30"/>
        <v>1199</v>
      </c>
      <c r="X507" t="str">
        <f t="shared" si="31"/>
        <v>Returned</v>
      </c>
    </row>
    <row r="508" spans="1:24" ht="12.5" x14ac:dyDescent="0.25">
      <c r="A508" s="2" t="s">
        <v>1915</v>
      </c>
      <c r="B508" s="2" t="s">
        <v>165</v>
      </c>
      <c r="C508" s="2" t="s">
        <v>1916</v>
      </c>
      <c r="D508" s="7" t="s">
        <v>1917</v>
      </c>
      <c r="E508" s="7" t="s">
        <v>147</v>
      </c>
      <c r="F508" s="7" t="s">
        <v>148</v>
      </c>
      <c r="G508" s="5">
        <v>1649</v>
      </c>
      <c r="H508" s="5">
        <v>10</v>
      </c>
      <c r="I508" s="5">
        <v>1485</v>
      </c>
      <c r="J508" s="5">
        <v>1</v>
      </c>
      <c r="K508" s="2">
        <v>40</v>
      </c>
      <c r="L508" s="7" t="s">
        <v>103</v>
      </c>
      <c r="M508" s="4">
        <v>4</v>
      </c>
      <c r="N508" s="5">
        <v>36</v>
      </c>
      <c r="O508" s="3">
        <v>45816</v>
      </c>
      <c r="P508" s="7" t="s">
        <v>2390</v>
      </c>
      <c r="Q508" s="7" t="s">
        <v>78</v>
      </c>
      <c r="R508" s="7" t="s">
        <v>58</v>
      </c>
      <c r="S508" s="7" t="s">
        <v>59</v>
      </c>
      <c r="T508" s="7"/>
      <c r="U508" s="11">
        <f t="shared" si="28"/>
        <v>1649</v>
      </c>
      <c r="V508" s="11">
        <f t="shared" si="29"/>
        <v>1485</v>
      </c>
      <c r="W508" s="11">
        <f t="shared" si="30"/>
        <v>164</v>
      </c>
      <c r="X508" t="str">
        <f t="shared" si="31"/>
        <v>Completed</v>
      </c>
    </row>
    <row r="509" spans="1:24" ht="12.5" x14ac:dyDescent="0.25">
      <c r="A509" s="2" t="s">
        <v>1918</v>
      </c>
      <c r="B509" s="2" t="s">
        <v>1919</v>
      </c>
      <c r="C509" s="2" t="s">
        <v>1920</v>
      </c>
      <c r="D509" s="7" t="s">
        <v>1921</v>
      </c>
      <c r="E509" s="7" t="s">
        <v>208</v>
      </c>
      <c r="F509" s="7" t="s">
        <v>117</v>
      </c>
      <c r="G509" s="5">
        <v>1993</v>
      </c>
      <c r="H509" s="5">
        <v>35</v>
      </c>
      <c r="I509" s="5">
        <v>1296</v>
      </c>
      <c r="J509" s="5">
        <v>3</v>
      </c>
      <c r="K509" s="2" t="s">
        <v>26</v>
      </c>
      <c r="L509" s="7" t="s">
        <v>168</v>
      </c>
      <c r="M509" s="4">
        <v>4.3</v>
      </c>
      <c r="N509" s="5">
        <v>237</v>
      </c>
      <c r="O509" s="3">
        <v>45829</v>
      </c>
      <c r="P509" s="7" t="s">
        <v>2392</v>
      </c>
      <c r="Q509" s="7" t="s">
        <v>78</v>
      </c>
      <c r="R509" s="7" t="s">
        <v>185</v>
      </c>
      <c r="S509" s="7" t="s">
        <v>186</v>
      </c>
      <c r="T509" s="7"/>
      <c r="U509" s="11">
        <f t="shared" si="28"/>
        <v>5979</v>
      </c>
      <c r="V509" s="11">
        <f t="shared" si="29"/>
        <v>3888</v>
      </c>
      <c r="W509" s="11">
        <f t="shared" si="30"/>
        <v>2091</v>
      </c>
      <c r="X509" t="str">
        <f t="shared" si="31"/>
        <v>Cancelled</v>
      </c>
    </row>
    <row r="510" spans="1:24" ht="12.5" x14ac:dyDescent="0.25">
      <c r="A510" s="2" t="s">
        <v>1922</v>
      </c>
      <c r="B510" s="2" t="s">
        <v>729</v>
      </c>
      <c r="C510" s="2" t="s">
        <v>1923</v>
      </c>
      <c r="D510" s="7" t="s">
        <v>1924</v>
      </c>
      <c r="E510" s="7" t="s">
        <v>116</v>
      </c>
      <c r="F510" s="7" t="s">
        <v>117</v>
      </c>
      <c r="G510" s="5">
        <v>4597</v>
      </c>
      <c r="H510" s="5">
        <v>25</v>
      </c>
      <c r="I510" s="5">
        <v>3448</v>
      </c>
      <c r="J510" s="5">
        <v>3</v>
      </c>
      <c r="K510" s="2">
        <v>44</v>
      </c>
      <c r="L510" s="7" t="s">
        <v>64</v>
      </c>
      <c r="M510" s="4">
        <v>4.3</v>
      </c>
      <c r="N510" s="5">
        <v>144</v>
      </c>
      <c r="O510" s="3">
        <v>45812</v>
      </c>
      <c r="P510" s="7" t="s">
        <v>2391</v>
      </c>
      <c r="Q510" s="7" t="s">
        <v>29</v>
      </c>
      <c r="R510" s="7" t="s">
        <v>149</v>
      </c>
      <c r="S510" s="7" t="s">
        <v>150</v>
      </c>
      <c r="T510" s="7" t="s">
        <v>43</v>
      </c>
      <c r="U510" s="11">
        <f t="shared" si="28"/>
        <v>13791</v>
      </c>
      <c r="V510" s="11">
        <f t="shared" si="29"/>
        <v>10344</v>
      </c>
      <c r="W510" s="11">
        <f t="shared" si="30"/>
        <v>3447</v>
      </c>
      <c r="X510" t="str">
        <f t="shared" si="31"/>
        <v>Returned</v>
      </c>
    </row>
    <row r="511" spans="1:24" ht="12.5" x14ac:dyDescent="0.25">
      <c r="A511" s="2" t="s">
        <v>1925</v>
      </c>
      <c r="B511" s="2" t="s">
        <v>1069</v>
      </c>
      <c r="C511" s="2" t="s">
        <v>1926</v>
      </c>
      <c r="D511" s="7" t="s">
        <v>1927</v>
      </c>
      <c r="E511" s="7" t="s">
        <v>122</v>
      </c>
      <c r="F511" s="7" t="s">
        <v>123</v>
      </c>
      <c r="G511" s="5">
        <v>2535</v>
      </c>
      <c r="H511" s="5">
        <v>40</v>
      </c>
      <c r="I511" s="5">
        <v>1521</v>
      </c>
      <c r="J511" s="5">
        <v>2</v>
      </c>
      <c r="K511" s="2" t="s">
        <v>32</v>
      </c>
      <c r="L511" s="7" t="s">
        <v>209</v>
      </c>
      <c r="M511" s="4">
        <v>4.2</v>
      </c>
      <c r="N511" s="5">
        <v>89</v>
      </c>
      <c r="O511" s="3">
        <v>45815</v>
      </c>
      <c r="P511" s="7" t="s">
        <v>2391</v>
      </c>
      <c r="Q511" s="7" t="s">
        <v>78</v>
      </c>
      <c r="R511" s="7" t="s">
        <v>66</v>
      </c>
      <c r="S511" s="7" t="s">
        <v>67</v>
      </c>
      <c r="T511" s="7"/>
      <c r="U511" s="11">
        <f t="shared" si="28"/>
        <v>5070</v>
      </c>
      <c r="V511" s="11">
        <f t="shared" si="29"/>
        <v>3042</v>
      </c>
      <c r="W511" s="11">
        <f t="shared" si="30"/>
        <v>2028</v>
      </c>
      <c r="X511" t="str">
        <f t="shared" si="31"/>
        <v>Returned</v>
      </c>
    </row>
    <row r="512" spans="1:24" ht="12.5" x14ac:dyDescent="0.25">
      <c r="A512" s="2" t="s">
        <v>1928</v>
      </c>
      <c r="B512" s="2" t="s">
        <v>824</v>
      </c>
      <c r="C512" s="2" t="s">
        <v>1929</v>
      </c>
      <c r="D512" s="7" t="s">
        <v>1930</v>
      </c>
      <c r="E512" s="7" t="s">
        <v>132</v>
      </c>
      <c r="F512" s="7" t="s">
        <v>38</v>
      </c>
      <c r="G512" s="5">
        <v>3719</v>
      </c>
      <c r="H512" s="5">
        <v>30</v>
      </c>
      <c r="I512" s="5">
        <v>2604</v>
      </c>
      <c r="J512" s="5">
        <v>3</v>
      </c>
      <c r="K512" s="2" t="s">
        <v>72</v>
      </c>
      <c r="L512" s="7" t="s">
        <v>64</v>
      </c>
      <c r="M512" s="4">
        <v>4.5</v>
      </c>
      <c r="N512" s="5">
        <v>193</v>
      </c>
      <c r="O512" s="3">
        <v>45808</v>
      </c>
      <c r="P512" s="7" t="s">
        <v>2390</v>
      </c>
      <c r="Q512" s="7" t="s">
        <v>29</v>
      </c>
      <c r="R512" s="7" t="s">
        <v>30</v>
      </c>
      <c r="S512" s="7" t="s">
        <v>31</v>
      </c>
      <c r="T512" s="7"/>
      <c r="U512" s="11">
        <f t="shared" si="28"/>
        <v>11157</v>
      </c>
      <c r="V512" s="11">
        <f t="shared" si="29"/>
        <v>7812</v>
      </c>
      <c r="W512" s="11">
        <f t="shared" si="30"/>
        <v>3345</v>
      </c>
      <c r="X512" t="str">
        <f t="shared" si="31"/>
        <v>Completed</v>
      </c>
    </row>
    <row r="513" spans="1:24" ht="12.5" x14ac:dyDescent="0.25">
      <c r="A513" s="2" t="s">
        <v>1931</v>
      </c>
      <c r="B513" s="2" t="s">
        <v>254</v>
      </c>
      <c r="C513" s="2" t="s">
        <v>1932</v>
      </c>
      <c r="D513" s="7" t="s">
        <v>1933</v>
      </c>
      <c r="E513" s="7" t="s">
        <v>247</v>
      </c>
      <c r="F513" s="7" t="s">
        <v>248</v>
      </c>
      <c r="G513" s="5">
        <v>4401</v>
      </c>
      <c r="H513" s="5">
        <v>40</v>
      </c>
      <c r="I513" s="5">
        <v>2641</v>
      </c>
      <c r="J513" s="5">
        <v>1</v>
      </c>
      <c r="K513" s="2" t="s">
        <v>72</v>
      </c>
      <c r="L513" s="7" t="s">
        <v>49</v>
      </c>
      <c r="M513" s="4">
        <v>4.5</v>
      </c>
      <c r="N513" s="5">
        <v>281</v>
      </c>
      <c r="O513" s="3">
        <v>45844</v>
      </c>
      <c r="P513" s="7" t="s">
        <v>2391</v>
      </c>
      <c r="Q513" s="7" t="s">
        <v>78</v>
      </c>
      <c r="R513" s="7" t="s">
        <v>83</v>
      </c>
      <c r="S513" s="7" t="s">
        <v>83</v>
      </c>
      <c r="T513" s="7" t="s">
        <v>134</v>
      </c>
      <c r="U513" s="11">
        <f t="shared" si="28"/>
        <v>4401</v>
      </c>
      <c r="V513" s="11">
        <f t="shared" si="29"/>
        <v>2641</v>
      </c>
      <c r="W513" s="11">
        <f t="shared" si="30"/>
        <v>1760</v>
      </c>
      <c r="X513" t="str">
        <f t="shared" si="31"/>
        <v>Returned</v>
      </c>
    </row>
    <row r="514" spans="1:24" ht="12.5" x14ac:dyDescent="0.25">
      <c r="A514" s="2" t="s">
        <v>1934</v>
      </c>
      <c r="B514" s="2" t="s">
        <v>1385</v>
      </c>
      <c r="C514" s="2" t="s">
        <v>1935</v>
      </c>
      <c r="D514" s="7" t="s">
        <v>1936</v>
      </c>
      <c r="E514" s="7" t="s">
        <v>116</v>
      </c>
      <c r="F514" s="7" t="s">
        <v>117</v>
      </c>
      <c r="G514" s="5">
        <v>3940</v>
      </c>
      <c r="H514" s="5">
        <v>15</v>
      </c>
      <c r="I514" s="5">
        <v>3349</v>
      </c>
      <c r="J514" s="5">
        <v>1</v>
      </c>
      <c r="K514" s="2" t="s">
        <v>261</v>
      </c>
      <c r="L514" s="7" t="s">
        <v>103</v>
      </c>
      <c r="M514" s="4">
        <v>4.9000000000000004</v>
      </c>
      <c r="N514" s="5">
        <v>181</v>
      </c>
      <c r="O514" s="3">
        <v>45775</v>
      </c>
      <c r="P514" s="7" t="s">
        <v>2392</v>
      </c>
      <c r="Q514" s="7" t="s">
        <v>29</v>
      </c>
      <c r="R514" s="7" t="s">
        <v>89</v>
      </c>
      <c r="S514" s="7" t="s">
        <v>90</v>
      </c>
      <c r="T514" s="7"/>
      <c r="U514" s="11">
        <f t="shared" ref="U514:U577" si="32">G514*J514</f>
        <v>3940</v>
      </c>
      <c r="V514" s="11">
        <f t="shared" ref="V514:V577" si="33">I514*J514</f>
        <v>3349</v>
      </c>
      <c r="W514" s="11">
        <f t="shared" ref="W514:W577" si="34">(G514-I514)*J514</f>
        <v>591</v>
      </c>
      <c r="X514" t="str">
        <f t="shared" ref="X514:X577" si="35">IF(P514="DELIVERED","Completed",IF(P514="RETURNED","Returned","Cancelled"))</f>
        <v>Cancelled</v>
      </c>
    </row>
    <row r="515" spans="1:24" ht="12.5" x14ac:dyDescent="0.25">
      <c r="A515" s="2" t="s">
        <v>1937</v>
      </c>
      <c r="B515" s="2" t="s">
        <v>1938</v>
      </c>
      <c r="C515" s="2" t="s">
        <v>1939</v>
      </c>
      <c r="D515" s="7" t="s">
        <v>1940</v>
      </c>
      <c r="E515" s="7" t="s">
        <v>122</v>
      </c>
      <c r="F515" s="7" t="s">
        <v>123</v>
      </c>
      <c r="G515" s="5">
        <v>3286</v>
      </c>
      <c r="H515" s="5">
        <v>30</v>
      </c>
      <c r="I515" s="5">
        <v>2301</v>
      </c>
      <c r="J515" s="5">
        <v>1</v>
      </c>
      <c r="K515" s="2">
        <v>40</v>
      </c>
      <c r="L515" s="7" t="s">
        <v>133</v>
      </c>
      <c r="M515" s="4">
        <v>3.5</v>
      </c>
      <c r="N515" s="5">
        <v>209</v>
      </c>
      <c r="O515" s="3">
        <v>45821</v>
      </c>
      <c r="P515" s="7" t="s">
        <v>2390</v>
      </c>
      <c r="Q515" s="7" t="s">
        <v>78</v>
      </c>
      <c r="R515" s="7" t="s">
        <v>30</v>
      </c>
      <c r="S515" s="7" t="s">
        <v>31</v>
      </c>
      <c r="T515" s="7"/>
      <c r="U515" s="11">
        <f t="shared" si="32"/>
        <v>3286</v>
      </c>
      <c r="V515" s="11">
        <f t="shared" si="33"/>
        <v>2301</v>
      </c>
      <c r="W515" s="11">
        <f t="shared" si="34"/>
        <v>985</v>
      </c>
      <c r="X515" t="str">
        <f t="shared" si="35"/>
        <v>Completed</v>
      </c>
    </row>
    <row r="516" spans="1:24" ht="12.5" x14ac:dyDescent="0.25">
      <c r="A516" s="2" t="s">
        <v>1941</v>
      </c>
      <c r="B516" s="2" t="s">
        <v>884</v>
      </c>
      <c r="C516" s="2" t="s">
        <v>1942</v>
      </c>
      <c r="D516" s="7" t="s">
        <v>1943</v>
      </c>
      <c r="E516" s="7" t="s">
        <v>122</v>
      </c>
      <c r="F516" s="7" t="s">
        <v>123</v>
      </c>
      <c r="G516" s="5">
        <v>2412</v>
      </c>
      <c r="H516" s="5">
        <v>35</v>
      </c>
      <c r="I516" s="5">
        <v>1568</v>
      </c>
      <c r="J516" s="5">
        <v>1</v>
      </c>
      <c r="K516" s="2" t="s">
        <v>72</v>
      </c>
      <c r="L516" s="7" t="s">
        <v>133</v>
      </c>
      <c r="M516" s="4">
        <v>4.8</v>
      </c>
      <c r="N516" s="5">
        <v>233</v>
      </c>
      <c r="O516" s="3">
        <v>45857</v>
      </c>
      <c r="P516" s="7" t="s">
        <v>2391</v>
      </c>
      <c r="Q516" s="7" t="s">
        <v>78</v>
      </c>
      <c r="R516" s="7" t="s">
        <v>41</v>
      </c>
      <c r="S516" s="7" t="s">
        <v>42</v>
      </c>
      <c r="T516" s="7" t="s">
        <v>50</v>
      </c>
      <c r="U516" s="11">
        <f t="shared" si="32"/>
        <v>2412</v>
      </c>
      <c r="V516" s="11">
        <f t="shared" si="33"/>
        <v>1568</v>
      </c>
      <c r="W516" s="11">
        <f t="shared" si="34"/>
        <v>844</v>
      </c>
      <c r="X516" t="str">
        <f t="shared" si="35"/>
        <v>Returned</v>
      </c>
    </row>
    <row r="517" spans="1:24" ht="12.5" x14ac:dyDescent="0.25">
      <c r="A517" s="2" t="s">
        <v>1944</v>
      </c>
      <c r="B517" s="2" t="s">
        <v>577</v>
      </c>
      <c r="C517" s="2" t="s">
        <v>1945</v>
      </c>
      <c r="D517" s="7" t="s">
        <v>1946</v>
      </c>
      <c r="E517" s="7" t="s">
        <v>147</v>
      </c>
      <c r="F517" s="7" t="s">
        <v>148</v>
      </c>
      <c r="G517" s="5">
        <v>4389</v>
      </c>
      <c r="H517" s="5">
        <v>40</v>
      </c>
      <c r="I517" s="5">
        <v>2634</v>
      </c>
      <c r="J517" s="5">
        <v>1</v>
      </c>
      <c r="K517" s="2">
        <v>42</v>
      </c>
      <c r="L517" s="7" t="s">
        <v>27</v>
      </c>
      <c r="M517" s="4">
        <v>4.8</v>
      </c>
      <c r="N517" s="5">
        <v>78</v>
      </c>
      <c r="O517" s="3">
        <v>45825</v>
      </c>
      <c r="P517" s="7" t="s">
        <v>2392</v>
      </c>
      <c r="Q517" s="7" t="s">
        <v>65</v>
      </c>
      <c r="R517" s="7" t="s">
        <v>83</v>
      </c>
      <c r="S517" s="7" t="s">
        <v>83</v>
      </c>
      <c r="T517" s="7"/>
      <c r="U517" s="11">
        <f t="shared" si="32"/>
        <v>4389</v>
      </c>
      <c r="V517" s="11">
        <f t="shared" si="33"/>
        <v>2634</v>
      </c>
      <c r="W517" s="11">
        <f t="shared" si="34"/>
        <v>1755</v>
      </c>
      <c r="X517" t="str">
        <f t="shared" si="35"/>
        <v>Cancelled</v>
      </c>
    </row>
    <row r="518" spans="1:24" ht="12.5" x14ac:dyDescent="0.25">
      <c r="A518" s="2" t="s">
        <v>1947</v>
      </c>
      <c r="B518" s="2" t="s">
        <v>835</v>
      </c>
      <c r="C518" s="2" t="s">
        <v>1948</v>
      </c>
      <c r="D518" s="7" t="s">
        <v>1949</v>
      </c>
      <c r="E518" s="7" t="s">
        <v>37</v>
      </c>
      <c r="F518" s="7" t="s">
        <v>38</v>
      </c>
      <c r="G518" s="5">
        <v>2848</v>
      </c>
      <c r="H518" s="5">
        <v>10</v>
      </c>
      <c r="I518" s="5">
        <v>2564</v>
      </c>
      <c r="J518" s="5">
        <v>3</v>
      </c>
      <c r="K518" s="2">
        <v>40</v>
      </c>
      <c r="L518" s="7" t="s">
        <v>73</v>
      </c>
      <c r="M518" s="4">
        <v>4.4000000000000004</v>
      </c>
      <c r="N518" s="5">
        <v>13</v>
      </c>
      <c r="O518" s="3">
        <v>45855</v>
      </c>
      <c r="P518" s="7" t="s">
        <v>2391</v>
      </c>
      <c r="Q518" s="7" t="s">
        <v>65</v>
      </c>
      <c r="R518" s="7" t="s">
        <v>110</v>
      </c>
      <c r="S518" s="7" t="s">
        <v>111</v>
      </c>
      <c r="T518" s="7"/>
      <c r="U518" s="11">
        <f t="shared" si="32"/>
        <v>8544</v>
      </c>
      <c r="V518" s="11">
        <f t="shared" si="33"/>
        <v>7692</v>
      </c>
      <c r="W518" s="11">
        <f t="shared" si="34"/>
        <v>852</v>
      </c>
      <c r="X518" t="str">
        <f t="shared" si="35"/>
        <v>Returned</v>
      </c>
    </row>
    <row r="519" spans="1:24" ht="12.5" x14ac:dyDescent="0.25">
      <c r="A519" s="2" t="s">
        <v>1950</v>
      </c>
      <c r="B519" s="2" t="s">
        <v>839</v>
      </c>
      <c r="C519" s="2" t="s">
        <v>1951</v>
      </c>
      <c r="D519" s="7" t="s">
        <v>1952</v>
      </c>
      <c r="E519" s="7" t="s">
        <v>48</v>
      </c>
      <c r="F519" s="7" t="s">
        <v>25</v>
      </c>
      <c r="G519" s="5">
        <v>1428</v>
      </c>
      <c r="H519" s="5">
        <v>10</v>
      </c>
      <c r="I519" s="5">
        <v>1286</v>
      </c>
      <c r="J519" s="5">
        <v>2</v>
      </c>
      <c r="K519" s="2" t="s">
        <v>261</v>
      </c>
      <c r="L519" s="7" t="s">
        <v>88</v>
      </c>
      <c r="M519" s="4">
        <v>3.9</v>
      </c>
      <c r="N519" s="5">
        <v>218</v>
      </c>
      <c r="O519" s="3">
        <v>45856</v>
      </c>
      <c r="P519" s="7" t="s">
        <v>2391</v>
      </c>
      <c r="Q519" s="7" t="s">
        <v>65</v>
      </c>
      <c r="R519" s="7" t="s">
        <v>104</v>
      </c>
      <c r="S519" s="7" t="s">
        <v>105</v>
      </c>
      <c r="T519" s="7" t="s">
        <v>203</v>
      </c>
      <c r="U519" s="11">
        <f t="shared" si="32"/>
        <v>2856</v>
      </c>
      <c r="V519" s="11">
        <f t="shared" si="33"/>
        <v>2572</v>
      </c>
      <c r="W519" s="11">
        <f t="shared" si="34"/>
        <v>284</v>
      </c>
      <c r="X519" t="str">
        <f t="shared" si="35"/>
        <v>Returned</v>
      </c>
    </row>
    <row r="520" spans="1:24" ht="12.5" x14ac:dyDescent="0.25">
      <c r="A520" s="2" t="s">
        <v>1953</v>
      </c>
      <c r="B520" s="2" t="s">
        <v>1954</v>
      </c>
      <c r="C520" s="2" t="s">
        <v>1955</v>
      </c>
      <c r="D520" s="7" t="s">
        <v>1956</v>
      </c>
      <c r="E520" s="7" t="s">
        <v>24</v>
      </c>
      <c r="F520" s="7" t="s">
        <v>25</v>
      </c>
      <c r="G520" s="5">
        <v>2023</v>
      </c>
      <c r="H520" s="5">
        <v>35</v>
      </c>
      <c r="I520" s="5">
        <v>1315</v>
      </c>
      <c r="J520" s="5">
        <v>1</v>
      </c>
      <c r="K520" s="2">
        <v>42</v>
      </c>
      <c r="L520" s="7" t="s">
        <v>27</v>
      </c>
      <c r="M520" s="4">
        <v>3.9</v>
      </c>
      <c r="N520" s="5">
        <v>189</v>
      </c>
      <c r="O520" s="3">
        <v>45789</v>
      </c>
      <c r="P520" s="7" t="s">
        <v>2391</v>
      </c>
      <c r="Q520" s="7" t="s">
        <v>29</v>
      </c>
      <c r="R520" s="7" t="s">
        <v>83</v>
      </c>
      <c r="S520" s="7" t="s">
        <v>83</v>
      </c>
      <c r="T520" s="7" t="s">
        <v>50</v>
      </c>
      <c r="U520" s="11">
        <f t="shared" si="32"/>
        <v>2023</v>
      </c>
      <c r="V520" s="11">
        <f t="shared" si="33"/>
        <v>1315</v>
      </c>
      <c r="W520" s="11">
        <f t="shared" si="34"/>
        <v>708</v>
      </c>
      <c r="X520" t="str">
        <f t="shared" si="35"/>
        <v>Returned</v>
      </c>
    </row>
    <row r="521" spans="1:24" ht="12.5" x14ac:dyDescent="0.25">
      <c r="A521" s="2" t="s">
        <v>1957</v>
      </c>
      <c r="B521" s="2" t="s">
        <v>1161</v>
      </c>
      <c r="C521" s="2" t="s">
        <v>1958</v>
      </c>
      <c r="D521" s="7" t="s">
        <v>1959</v>
      </c>
      <c r="E521" s="7" t="s">
        <v>147</v>
      </c>
      <c r="F521" s="7" t="s">
        <v>148</v>
      </c>
      <c r="G521" s="5">
        <v>4094</v>
      </c>
      <c r="H521" s="5">
        <v>15</v>
      </c>
      <c r="I521" s="5">
        <v>3480</v>
      </c>
      <c r="J521" s="5">
        <v>2</v>
      </c>
      <c r="K521" s="2" t="s">
        <v>56</v>
      </c>
      <c r="L521" s="7" t="s">
        <v>88</v>
      </c>
      <c r="M521" s="4">
        <v>4.5999999999999996</v>
      </c>
      <c r="N521" s="5">
        <v>184</v>
      </c>
      <c r="O521" s="3">
        <v>45787</v>
      </c>
      <c r="P521" s="7" t="s">
        <v>2392</v>
      </c>
      <c r="Q521" s="7" t="s">
        <v>29</v>
      </c>
      <c r="R521" s="7" t="s">
        <v>110</v>
      </c>
      <c r="S521" s="7" t="s">
        <v>111</v>
      </c>
      <c r="T521" s="7"/>
      <c r="U521" s="11">
        <f t="shared" si="32"/>
        <v>8188</v>
      </c>
      <c r="V521" s="11">
        <f t="shared" si="33"/>
        <v>6960</v>
      </c>
      <c r="W521" s="11">
        <f t="shared" si="34"/>
        <v>1228</v>
      </c>
      <c r="X521" t="str">
        <f t="shared" si="35"/>
        <v>Cancelled</v>
      </c>
    </row>
    <row r="522" spans="1:24" ht="12.5" x14ac:dyDescent="0.25">
      <c r="A522" s="2" t="s">
        <v>1960</v>
      </c>
      <c r="B522" s="2" t="s">
        <v>1961</v>
      </c>
      <c r="C522" s="2" t="s">
        <v>1962</v>
      </c>
      <c r="D522" s="7" t="s">
        <v>1963</v>
      </c>
      <c r="E522" s="7" t="s">
        <v>55</v>
      </c>
      <c r="F522" s="7" t="s">
        <v>38</v>
      </c>
      <c r="G522" s="5">
        <v>1265</v>
      </c>
      <c r="H522" s="5">
        <v>25</v>
      </c>
      <c r="I522" s="5">
        <v>949</v>
      </c>
      <c r="J522" s="5">
        <v>1</v>
      </c>
      <c r="K522" s="2" t="s">
        <v>56</v>
      </c>
      <c r="L522" s="7" t="s">
        <v>73</v>
      </c>
      <c r="M522" s="4">
        <v>3.8</v>
      </c>
      <c r="N522" s="5">
        <v>282</v>
      </c>
      <c r="O522" s="3">
        <v>45795</v>
      </c>
      <c r="P522" s="7" t="s">
        <v>2390</v>
      </c>
      <c r="Q522" s="7" t="s">
        <v>29</v>
      </c>
      <c r="R522" s="7" t="s">
        <v>104</v>
      </c>
      <c r="S522" s="7" t="s">
        <v>105</v>
      </c>
      <c r="T522" s="7"/>
      <c r="U522" s="11">
        <f t="shared" si="32"/>
        <v>1265</v>
      </c>
      <c r="V522" s="11">
        <f t="shared" si="33"/>
        <v>949</v>
      </c>
      <c r="W522" s="11">
        <f t="shared" si="34"/>
        <v>316</v>
      </c>
      <c r="X522" t="str">
        <f t="shared" si="35"/>
        <v>Completed</v>
      </c>
    </row>
    <row r="523" spans="1:24" ht="12.5" x14ac:dyDescent="0.25">
      <c r="A523" s="2" t="s">
        <v>1964</v>
      </c>
      <c r="B523" s="2" t="s">
        <v>993</v>
      </c>
      <c r="C523" s="2" t="s">
        <v>1965</v>
      </c>
      <c r="D523" s="7" t="s">
        <v>1966</v>
      </c>
      <c r="E523" s="7" t="s">
        <v>48</v>
      </c>
      <c r="F523" s="7" t="s">
        <v>25</v>
      </c>
      <c r="G523" s="5">
        <v>2107</v>
      </c>
      <c r="H523" s="5">
        <v>25</v>
      </c>
      <c r="I523" s="5">
        <v>1581</v>
      </c>
      <c r="J523" s="5">
        <v>1</v>
      </c>
      <c r="K523" s="2" t="s">
        <v>72</v>
      </c>
      <c r="L523" s="7" t="s">
        <v>168</v>
      </c>
      <c r="M523" s="4">
        <v>4</v>
      </c>
      <c r="N523" s="5">
        <v>158</v>
      </c>
      <c r="O523" s="3">
        <v>45770</v>
      </c>
      <c r="P523" s="7" t="s">
        <v>2390</v>
      </c>
      <c r="Q523" s="7" t="s">
        <v>78</v>
      </c>
      <c r="R523" s="7" t="s">
        <v>110</v>
      </c>
      <c r="S523" s="7" t="s">
        <v>111</v>
      </c>
      <c r="T523" s="7"/>
      <c r="U523" s="11">
        <f t="shared" si="32"/>
        <v>2107</v>
      </c>
      <c r="V523" s="11">
        <f t="shared" si="33"/>
        <v>1581</v>
      </c>
      <c r="W523" s="11">
        <f t="shared" si="34"/>
        <v>526</v>
      </c>
      <c r="X523" t="str">
        <f t="shared" si="35"/>
        <v>Completed</v>
      </c>
    </row>
    <row r="524" spans="1:24" ht="12.5" x14ac:dyDescent="0.25">
      <c r="A524" s="2" t="s">
        <v>1967</v>
      </c>
      <c r="B524" s="2" t="s">
        <v>1042</v>
      </c>
      <c r="C524" s="2" t="s">
        <v>1968</v>
      </c>
      <c r="D524" s="7" t="s">
        <v>1969</v>
      </c>
      <c r="E524" s="7" t="s">
        <v>208</v>
      </c>
      <c r="F524" s="7" t="s">
        <v>117</v>
      </c>
      <c r="G524" s="5">
        <v>1040</v>
      </c>
      <c r="H524" s="5">
        <v>10</v>
      </c>
      <c r="I524" s="5">
        <v>936</v>
      </c>
      <c r="J524" s="5">
        <v>2</v>
      </c>
      <c r="K524" s="2" t="s">
        <v>163</v>
      </c>
      <c r="L524" s="7" t="s">
        <v>64</v>
      </c>
      <c r="M524" s="4">
        <v>4.8</v>
      </c>
      <c r="N524" s="5">
        <v>71</v>
      </c>
      <c r="O524" s="3">
        <v>45800</v>
      </c>
      <c r="P524" s="7" t="s">
        <v>2392</v>
      </c>
      <c r="Q524" s="7" t="s">
        <v>29</v>
      </c>
      <c r="R524" s="7" t="s">
        <v>110</v>
      </c>
      <c r="S524" s="7" t="s">
        <v>111</v>
      </c>
      <c r="T524" s="7"/>
      <c r="U524" s="11">
        <f t="shared" si="32"/>
        <v>2080</v>
      </c>
      <c r="V524" s="11">
        <f t="shared" si="33"/>
        <v>1872</v>
      </c>
      <c r="W524" s="11">
        <f t="shared" si="34"/>
        <v>208</v>
      </c>
      <c r="X524" t="str">
        <f t="shared" si="35"/>
        <v>Cancelled</v>
      </c>
    </row>
    <row r="525" spans="1:24" ht="12.5" x14ac:dyDescent="0.25">
      <c r="A525" s="2" t="s">
        <v>1970</v>
      </c>
      <c r="B525" s="2" t="s">
        <v>630</v>
      </c>
      <c r="C525" s="2" t="s">
        <v>1971</v>
      </c>
      <c r="D525" s="7" t="s">
        <v>1972</v>
      </c>
      <c r="E525" s="7" t="s">
        <v>208</v>
      </c>
      <c r="F525" s="7" t="s">
        <v>117</v>
      </c>
      <c r="G525" s="5">
        <v>3263</v>
      </c>
      <c r="H525" s="5">
        <v>15</v>
      </c>
      <c r="I525" s="5">
        <v>2774</v>
      </c>
      <c r="J525" s="5">
        <v>3</v>
      </c>
      <c r="K525" s="2" t="s">
        <v>163</v>
      </c>
      <c r="L525" s="7" t="s">
        <v>88</v>
      </c>
      <c r="M525" s="4">
        <v>4.4000000000000004</v>
      </c>
      <c r="N525" s="5">
        <v>155</v>
      </c>
      <c r="O525" s="3">
        <v>45793</v>
      </c>
      <c r="P525" s="7" t="s">
        <v>2391</v>
      </c>
      <c r="Q525" s="7" t="s">
        <v>29</v>
      </c>
      <c r="R525" s="7" t="s">
        <v>149</v>
      </c>
      <c r="S525" s="7" t="s">
        <v>150</v>
      </c>
      <c r="T525" s="7" t="s">
        <v>50</v>
      </c>
      <c r="U525" s="11">
        <f t="shared" si="32"/>
        <v>9789</v>
      </c>
      <c r="V525" s="11">
        <f t="shared" si="33"/>
        <v>8322</v>
      </c>
      <c r="W525" s="11">
        <f t="shared" si="34"/>
        <v>1467</v>
      </c>
      <c r="X525" t="str">
        <f t="shared" si="35"/>
        <v>Returned</v>
      </c>
    </row>
    <row r="526" spans="1:24" ht="12.5" x14ac:dyDescent="0.25">
      <c r="A526" s="2" t="s">
        <v>1973</v>
      </c>
      <c r="B526" s="2" t="s">
        <v>444</v>
      </c>
      <c r="C526" s="2" t="s">
        <v>1974</v>
      </c>
      <c r="D526" s="7" t="s">
        <v>1975</v>
      </c>
      <c r="E526" s="7" t="s">
        <v>48</v>
      </c>
      <c r="F526" s="7" t="s">
        <v>25</v>
      </c>
      <c r="G526" s="5">
        <v>4097</v>
      </c>
      <c r="H526" s="5">
        <v>25</v>
      </c>
      <c r="I526" s="5">
        <v>3073</v>
      </c>
      <c r="J526" s="5">
        <v>2</v>
      </c>
      <c r="K526" s="2" t="s">
        <v>26</v>
      </c>
      <c r="L526" s="7" t="s">
        <v>88</v>
      </c>
      <c r="M526" s="4">
        <v>4.5999999999999996</v>
      </c>
      <c r="N526" s="5">
        <v>264</v>
      </c>
      <c r="O526" s="3">
        <v>45826</v>
      </c>
      <c r="P526" s="7" t="s">
        <v>2390</v>
      </c>
      <c r="Q526" s="7" t="s">
        <v>29</v>
      </c>
      <c r="R526" s="7" t="s">
        <v>149</v>
      </c>
      <c r="S526" s="7" t="s">
        <v>150</v>
      </c>
      <c r="T526" s="7"/>
      <c r="U526" s="11">
        <f t="shared" si="32"/>
        <v>8194</v>
      </c>
      <c r="V526" s="11">
        <f t="shared" si="33"/>
        <v>6146</v>
      </c>
      <c r="W526" s="11">
        <f t="shared" si="34"/>
        <v>2048</v>
      </c>
      <c r="X526" t="str">
        <f t="shared" si="35"/>
        <v>Completed</v>
      </c>
    </row>
    <row r="527" spans="1:24" ht="12.5" x14ac:dyDescent="0.25">
      <c r="A527" s="2" t="s">
        <v>1976</v>
      </c>
      <c r="B527" s="2" t="s">
        <v>1977</v>
      </c>
      <c r="C527" s="2" t="s">
        <v>1978</v>
      </c>
      <c r="D527" s="7" t="s">
        <v>1979</v>
      </c>
      <c r="E527" s="7" t="s">
        <v>208</v>
      </c>
      <c r="F527" s="7" t="s">
        <v>117</v>
      </c>
      <c r="G527" s="5">
        <v>1794</v>
      </c>
      <c r="H527" s="5">
        <v>20</v>
      </c>
      <c r="I527" s="5">
        <v>1436</v>
      </c>
      <c r="J527" s="5">
        <v>3</v>
      </c>
      <c r="K527" s="2">
        <v>42</v>
      </c>
      <c r="L527" s="7" t="s">
        <v>103</v>
      </c>
      <c r="M527" s="4">
        <v>4.7</v>
      </c>
      <c r="N527" s="5">
        <v>13</v>
      </c>
      <c r="O527" s="3">
        <v>45801</v>
      </c>
      <c r="P527" s="7" t="s">
        <v>2391</v>
      </c>
      <c r="Q527" s="7" t="s">
        <v>78</v>
      </c>
      <c r="R527" s="7" t="s">
        <v>104</v>
      </c>
      <c r="S527" s="7" t="s">
        <v>105</v>
      </c>
      <c r="T527" s="7" t="s">
        <v>43</v>
      </c>
      <c r="U527" s="11">
        <f t="shared" si="32"/>
        <v>5382</v>
      </c>
      <c r="V527" s="11">
        <f t="shared" si="33"/>
        <v>4308</v>
      </c>
      <c r="W527" s="11">
        <f t="shared" si="34"/>
        <v>1074</v>
      </c>
      <c r="X527" t="str">
        <f t="shared" si="35"/>
        <v>Returned</v>
      </c>
    </row>
    <row r="528" spans="1:24" ht="12.5" x14ac:dyDescent="0.25">
      <c r="A528" s="2" t="s">
        <v>1980</v>
      </c>
      <c r="B528" s="2" t="s">
        <v>125</v>
      </c>
      <c r="C528" s="2" t="s">
        <v>1981</v>
      </c>
      <c r="D528" s="7" t="s">
        <v>1982</v>
      </c>
      <c r="E528" s="7" t="s">
        <v>48</v>
      </c>
      <c r="F528" s="7" t="s">
        <v>25</v>
      </c>
      <c r="G528" s="5">
        <v>754</v>
      </c>
      <c r="H528" s="5">
        <v>25</v>
      </c>
      <c r="I528" s="5">
        <v>566</v>
      </c>
      <c r="J528" s="5">
        <v>2</v>
      </c>
      <c r="K528" s="2" t="s">
        <v>226</v>
      </c>
      <c r="L528" s="7" t="s">
        <v>209</v>
      </c>
      <c r="M528" s="4">
        <v>4.0999999999999996</v>
      </c>
      <c r="N528" s="5">
        <v>97</v>
      </c>
      <c r="O528" s="3">
        <v>45772</v>
      </c>
      <c r="P528" s="7" t="s">
        <v>2392</v>
      </c>
      <c r="Q528" s="7" t="s">
        <v>65</v>
      </c>
      <c r="R528" s="7" t="s">
        <v>110</v>
      </c>
      <c r="S528" s="7" t="s">
        <v>111</v>
      </c>
      <c r="T528" s="7"/>
      <c r="U528" s="11">
        <f t="shared" si="32"/>
        <v>1508</v>
      </c>
      <c r="V528" s="11">
        <f t="shared" si="33"/>
        <v>1132</v>
      </c>
      <c r="W528" s="11">
        <f t="shared" si="34"/>
        <v>376</v>
      </c>
      <c r="X528" t="str">
        <f t="shared" si="35"/>
        <v>Cancelled</v>
      </c>
    </row>
    <row r="529" spans="1:24" ht="12.5" x14ac:dyDescent="0.25">
      <c r="A529" s="2" t="s">
        <v>1983</v>
      </c>
      <c r="B529" s="2" t="s">
        <v>1984</v>
      </c>
      <c r="C529" s="2" t="s">
        <v>604</v>
      </c>
      <c r="D529" s="7" t="s">
        <v>1985</v>
      </c>
      <c r="E529" s="7" t="s">
        <v>122</v>
      </c>
      <c r="F529" s="7" t="s">
        <v>123</v>
      </c>
      <c r="G529" s="5">
        <v>2758</v>
      </c>
      <c r="H529" s="5">
        <v>35</v>
      </c>
      <c r="I529" s="5">
        <v>1793</v>
      </c>
      <c r="J529" s="5">
        <v>3</v>
      </c>
      <c r="K529" s="2" t="s">
        <v>26</v>
      </c>
      <c r="L529" s="7" t="s">
        <v>103</v>
      </c>
      <c r="M529" s="4">
        <v>4.5999999999999996</v>
      </c>
      <c r="N529" s="5">
        <v>52</v>
      </c>
      <c r="O529" s="3">
        <v>45833</v>
      </c>
      <c r="P529" s="7" t="s">
        <v>2391</v>
      </c>
      <c r="Q529" s="7" t="s">
        <v>65</v>
      </c>
      <c r="R529" s="7" t="s">
        <v>104</v>
      </c>
      <c r="S529" s="7" t="s">
        <v>105</v>
      </c>
      <c r="T529" s="7" t="s">
        <v>203</v>
      </c>
      <c r="U529" s="11">
        <f t="shared" si="32"/>
        <v>8274</v>
      </c>
      <c r="V529" s="11">
        <f t="shared" si="33"/>
        <v>5379</v>
      </c>
      <c r="W529" s="11">
        <f t="shared" si="34"/>
        <v>2895</v>
      </c>
      <c r="X529" t="str">
        <f t="shared" si="35"/>
        <v>Returned</v>
      </c>
    </row>
    <row r="530" spans="1:24" ht="12.5" x14ac:dyDescent="0.25">
      <c r="A530" s="2" t="s">
        <v>1986</v>
      </c>
      <c r="B530" s="2" t="s">
        <v>1175</v>
      </c>
      <c r="C530" s="2" t="s">
        <v>1987</v>
      </c>
      <c r="D530" s="7" t="s">
        <v>1988</v>
      </c>
      <c r="E530" s="7" t="s">
        <v>48</v>
      </c>
      <c r="F530" s="7" t="s">
        <v>25</v>
      </c>
      <c r="G530" s="5">
        <v>2932</v>
      </c>
      <c r="H530" s="5">
        <v>40</v>
      </c>
      <c r="I530" s="5">
        <v>1760</v>
      </c>
      <c r="J530" s="5">
        <v>3</v>
      </c>
      <c r="K530" s="2" t="s">
        <v>72</v>
      </c>
      <c r="L530" s="7" t="s">
        <v>73</v>
      </c>
      <c r="M530" s="4">
        <v>4</v>
      </c>
      <c r="N530" s="5">
        <v>267</v>
      </c>
      <c r="O530" s="3">
        <v>45846</v>
      </c>
      <c r="P530" s="7" t="s">
        <v>2392</v>
      </c>
      <c r="Q530" s="7" t="s">
        <v>65</v>
      </c>
      <c r="R530" s="7" t="s">
        <v>30</v>
      </c>
      <c r="S530" s="7" t="s">
        <v>31</v>
      </c>
      <c r="T530" s="7"/>
      <c r="U530" s="11">
        <f t="shared" si="32"/>
        <v>8796</v>
      </c>
      <c r="V530" s="11">
        <f t="shared" si="33"/>
        <v>5280</v>
      </c>
      <c r="W530" s="11">
        <f t="shared" si="34"/>
        <v>3516</v>
      </c>
      <c r="X530" t="str">
        <f t="shared" si="35"/>
        <v>Cancelled</v>
      </c>
    </row>
    <row r="531" spans="1:24" ht="12.5" x14ac:dyDescent="0.25">
      <c r="A531" s="2" t="s">
        <v>1989</v>
      </c>
      <c r="B531" s="2" t="s">
        <v>1990</v>
      </c>
      <c r="C531" s="2" t="s">
        <v>1991</v>
      </c>
      <c r="D531" s="7" t="s">
        <v>1992</v>
      </c>
      <c r="E531" s="7" t="s">
        <v>48</v>
      </c>
      <c r="F531" s="7" t="s">
        <v>25</v>
      </c>
      <c r="G531" s="5">
        <v>604</v>
      </c>
      <c r="H531" s="5">
        <v>10</v>
      </c>
      <c r="I531" s="5">
        <v>544</v>
      </c>
      <c r="J531" s="5">
        <v>3</v>
      </c>
      <c r="K531" s="2" t="s">
        <v>26</v>
      </c>
      <c r="L531" s="7" t="s">
        <v>73</v>
      </c>
      <c r="M531" s="4">
        <v>4.7</v>
      </c>
      <c r="N531" s="5">
        <v>172</v>
      </c>
      <c r="O531" s="3">
        <v>45799</v>
      </c>
      <c r="P531" s="7" t="s">
        <v>2392</v>
      </c>
      <c r="Q531" s="7" t="s">
        <v>78</v>
      </c>
      <c r="R531" s="7" t="s">
        <v>89</v>
      </c>
      <c r="S531" s="7" t="s">
        <v>90</v>
      </c>
      <c r="T531" s="7"/>
      <c r="U531" s="11">
        <f t="shared" si="32"/>
        <v>1812</v>
      </c>
      <c r="V531" s="11">
        <f t="shared" si="33"/>
        <v>1632</v>
      </c>
      <c r="W531" s="11">
        <f t="shared" si="34"/>
        <v>180</v>
      </c>
      <c r="X531" t="str">
        <f t="shared" si="35"/>
        <v>Cancelled</v>
      </c>
    </row>
    <row r="532" spans="1:24" ht="12.5" x14ac:dyDescent="0.25">
      <c r="A532" s="2" t="s">
        <v>1993</v>
      </c>
      <c r="B532" s="2" t="s">
        <v>1073</v>
      </c>
      <c r="C532" s="2" t="s">
        <v>1994</v>
      </c>
      <c r="D532" s="7" t="s">
        <v>1995</v>
      </c>
      <c r="E532" s="7" t="s">
        <v>37</v>
      </c>
      <c r="F532" s="7" t="s">
        <v>38</v>
      </c>
      <c r="G532" s="5">
        <v>1317</v>
      </c>
      <c r="H532" s="5">
        <v>40</v>
      </c>
      <c r="I532" s="5">
        <v>791</v>
      </c>
      <c r="J532" s="5">
        <v>3</v>
      </c>
      <c r="K532" s="2" t="s">
        <v>26</v>
      </c>
      <c r="L532" s="7" t="s">
        <v>168</v>
      </c>
      <c r="M532" s="4">
        <v>4.7</v>
      </c>
      <c r="N532" s="5">
        <v>178</v>
      </c>
      <c r="O532" s="3">
        <v>45812</v>
      </c>
      <c r="P532" s="7" t="s">
        <v>2391</v>
      </c>
      <c r="Q532" s="7" t="s">
        <v>29</v>
      </c>
      <c r="R532" s="7" t="s">
        <v>41</v>
      </c>
      <c r="S532" s="7" t="s">
        <v>42</v>
      </c>
      <c r="T532" s="7" t="s">
        <v>203</v>
      </c>
      <c r="U532" s="11">
        <f t="shared" si="32"/>
        <v>3951</v>
      </c>
      <c r="V532" s="11">
        <f t="shared" si="33"/>
        <v>2373</v>
      </c>
      <c r="W532" s="11">
        <f t="shared" si="34"/>
        <v>1578</v>
      </c>
      <c r="X532" t="str">
        <f t="shared" si="35"/>
        <v>Returned</v>
      </c>
    </row>
    <row r="533" spans="1:24" ht="12.5" x14ac:dyDescent="0.25">
      <c r="A533" s="2" t="s">
        <v>1996</v>
      </c>
      <c r="B533" s="2" t="s">
        <v>1265</v>
      </c>
      <c r="C533" s="2" t="s">
        <v>1997</v>
      </c>
      <c r="D533" s="7" t="s">
        <v>1998</v>
      </c>
      <c r="E533" s="7" t="s">
        <v>147</v>
      </c>
      <c r="F533" s="7" t="s">
        <v>148</v>
      </c>
      <c r="G533" s="5">
        <v>1900</v>
      </c>
      <c r="H533" s="5">
        <v>10</v>
      </c>
      <c r="I533" s="5">
        <v>1710</v>
      </c>
      <c r="J533" s="5">
        <v>3</v>
      </c>
      <c r="K533" s="2" t="s">
        <v>26</v>
      </c>
      <c r="L533" s="7" t="s">
        <v>39</v>
      </c>
      <c r="M533" s="4">
        <v>4.5</v>
      </c>
      <c r="N533" s="5">
        <v>202</v>
      </c>
      <c r="O533" s="3">
        <v>45778</v>
      </c>
      <c r="P533" s="7" t="s">
        <v>2391</v>
      </c>
      <c r="Q533" s="7" t="s">
        <v>65</v>
      </c>
      <c r="R533" s="7" t="s">
        <v>58</v>
      </c>
      <c r="S533" s="7" t="s">
        <v>59</v>
      </c>
      <c r="T533" s="7" t="s">
        <v>203</v>
      </c>
      <c r="U533" s="11">
        <f t="shared" si="32"/>
        <v>5700</v>
      </c>
      <c r="V533" s="11">
        <f t="shared" si="33"/>
        <v>5130</v>
      </c>
      <c r="W533" s="11">
        <f t="shared" si="34"/>
        <v>570</v>
      </c>
      <c r="X533" t="str">
        <f t="shared" si="35"/>
        <v>Returned</v>
      </c>
    </row>
    <row r="534" spans="1:24" ht="12.5" x14ac:dyDescent="0.25">
      <c r="A534" s="2" t="s">
        <v>1999</v>
      </c>
      <c r="B534" s="2" t="s">
        <v>2000</v>
      </c>
      <c r="C534" s="2" t="s">
        <v>2001</v>
      </c>
      <c r="D534" s="7" t="s">
        <v>2002</v>
      </c>
      <c r="E534" s="7" t="s">
        <v>116</v>
      </c>
      <c r="F534" s="7" t="s">
        <v>117</v>
      </c>
      <c r="G534" s="5">
        <v>2335</v>
      </c>
      <c r="H534" s="5">
        <v>20</v>
      </c>
      <c r="I534" s="5">
        <v>1868</v>
      </c>
      <c r="J534" s="5">
        <v>1</v>
      </c>
      <c r="K534" s="2" t="s">
        <v>163</v>
      </c>
      <c r="L534" s="7" t="s">
        <v>168</v>
      </c>
      <c r="M534" s="4">
        <v>4.2</v>
      </c>
      <c r="N534" s="5">
        <v>87</v>
      </c>
      <c r="O534" s="3">
        <v>45798</v>
      </c>
      <c r="P534" s="7" t="s">
        <v>2390</v>
      </c>
      <c r="Q534" s="7" t="s">
        <v>78</v>
      </c>
      <c r="R534" s="7" t="s">
        <v>83</v>
      </c>
      <c r="S534" s="7" t="s">
        <v>83</v>
      </c>
      <c r="T534" s="7"/>
      <c r="U534" s="11">
        <f t="shared" si="32"/>
        <v>2335</v>
      </c>
      <c r="V534" s="11">
        <f t="shared" si="33"/>
        <v>1868</v>
      </c>
      <c r="W534" s="11">
        <f t="shared" si="34"/>
        <v>467</v>
      </c>
      <c r="X534" t="str">
        <f t="shared" si="35"/>
        <v>Completed</v>
      </c>
    </row>
    <row r="535" spans="1:24" ht="12.5" x14ac:dyDescent="0.25">
      <c r="A535" s="2" t="s">
        <v>2003</v>
      </c>
      <c r="B535" s="2" t="s">
        <v>659</v>
      </c>
      <c r="C535" s="2" t="s">
        <v>2004</v>
      </c>
      <c r="D535" s="7" t="s">
        <v>2005</v>
      </c>
      <c r="E535" s="7" t="s">
        <v>55</v>
      </c>
      <c r="F535" s="7" t="s">
        <v>38</v>
      </c>
      <c r="G535" s="5">
        <v>2505</v>
      </c>
      <c r="H535" s="5">
        <v>20</v>
      </c>
      <c r="I535" s="5">
        <v>2004</v>
      </c>
      <c r="J535" s="5">
        <v>3</v>
      </c>
      <c r="K535" s="2" t="s">
        <v>56</v>
      </c>
      <c r="L535" s="7" t="s">
        <v>103</v>
      </c>
      <c r="M535" s="4">
        <v>3.8</v>
      </c>
      <c r="N535" s="5">
        <v>80</v>
      </c>
      <c r="O535" s="3">
        <v>45853</v>
      </c>
      <c r="P535" s="7" t="s">
        <v>2390</v>
      </c>
      <c r="Q535" s="7" t="s">
        <v>29</v>
      </c>
      <c r="R535" s="7" t="s">
        <v>41</v>
      </c>
      <c r="S535" s="7" t="s">
        <v>42</v>
      </c>
      <c r="T535" s="7"/>
      <c r="U535" s="11">
        <f t="shared" si="32"/>
        <v>7515</v>
      </c>
      <c r="V535" s="11">
        <f t="shared" si="33"/>
        <v>6012</v>
      </c>
      <c r="W535" s="11">
        <f t="shared" si="34"/>
        <v>1503</v>
      </c>
      <c r="X535" t="str">
        <f t="shared" si="35"/>
        <v>Completed</v>
      </c>
    </row>
    <row r="536" spans="1:24" ht="12.5" x14ac:dyDescent="0.25">
      <c r="A536" s="2" t="s">
        <v>2006</v>
      </c>
      <c r="B536" s="2" t="s">
        <v>1412</v>
      </c>
      <c r="C536" s="2" t="s">
        <v>2007</v>
      </c>
      <c r="D536" s="7" t="s">
        <v>2008</v>
      </c>
      <c r="E536" s="7" t="s">
        <v>24</v>
      </c>
      <c r="F536" s="7" t="s">
        <v>25</v>
      </c>
      <c r="G536" s="5">
        <v>2591</v>
      </c>
      <c r="H536" s="5">
        <v>15</v>
      </c>
      <c r="I536" s="5">
        <v>2203</v>
      </c>
      <c r="J536" s="5">
        <v>1</v>
      </c>
      <c r="K536" s="2" t="s">
        <v>32</v>
      </c>
      <c r="L536" s="7" t="s">
        <v>88</v>
      </c>
      <c r="M536" s="4">
        <v>4.5</v>
      </c>
      <c r="N536" s="5">
        <v>109</v>
      </c>
      <c r="O536" s="3">
        <v>45769</v>
      </c>
      <c r="P536" s="7" t="s">
        <v>2391</v>
      </c>
      <c r="Q536" s="7" t="s">
        <v>78</v>
      </c>
      <c r="R536" s="7" t="s">
        <v>104</v>
      </c>
      <c r="S536" s="7" t="s">
        <v>105</v>
      </c>
      <c r="T536" s="7" t="s">
        <v>134</v>
      </c>
      <c r="U536" s="11">
        <f t="shared" si="32"/>
        <v>2591</v>
      </c>
      <c r="V536" s="11">
        <f t="shared" si="33"/>
        <v>2203</v>
      </c>
      <c r="W536" s="11">
        <f t="shared" si="34"/>
        <v>388</v>
      </c>
      <c r="X536" t="str">
        <f t="shared" si="35"/>
        <v>Returned</v>
      </c>
    </row>
    <row r="537" spans="1:24" ht="12.5" x14ac:dyDescent="0.25">
      <c r="A537" s="2" t="s">
        <v>2009</v>
      </c>
      <c r="B537" s="2" t="s">
        <v>2010</v>
      </c>
      <c r="C537" s="2" t="s">
        <v>2011</v>
      </c>
      <c r="D537" s="7" t="s">
        <v>2012</v>
      </c>
      <c r="E537" s="7" t="s">
        <v>24</v>
      </c>
      <c r="F537" s="7" t="s">
        <v>25</v>
      </c>
      <c r="G537" s="5">
        <v>2641</v>
      </c>
      <c r="H537" s="5">
        <v>10</v>
      </c>
      <c r="I537" s="5">
        <v>2377</v>
      </c>
      <c r="J537" s="5">
        <v>3</v>
      </c>
      <c r="K537" s="2">
        <v>40</v>
      </c>
      <c r="L537" s="7" t="s">
        <v>27</v>
      </c>
      <c r="M537" s="4">
        <v>3.9</v>
      </c>
      <c r="N537" s="5">
        <v>34</v>
      </c>
      <c r="O537" s="3">
        <v>45836</v>
      </c>
      <c r="P537" s="7" t="s">
        <v>2390</v>
      </c>
      <c r="Q537" s="7" t="s">
        <v>65</v>
      </c>
      <c r="R537" s="7" t="s">
        <v>149</v>
      </c>
      <c r="S537" s="7" t="s">
        <v>150</v>
      </c>
      <c r="T537" s="7"/>
      <c r="U537" s="11">
        <f t="shared" si="32"/>
        <v>7923</v>
      </c>
      <c r="V537" s="11">
        <f t="shared" si="33"/>
        <v>7131</v>
      </c>
      <c r="W537" s="11">
        <f t="shared" si="34"/>
        <v>792</v>
      </c>
      <c r="X537" t="str">
        <f t="shared" si="35"/>
        <v>Completed</v>
      </c>
    </row>
    <row r="538" spans="1:24" ht="12.5" x14ac:dyDescent="0.25">
      <c r="A538" s="2" t="s">
        <v>2013</v>
      </c>
      <c r="B538" s="2" t="s">
        <v>1807</v>
      </c>
      <c r="C538" s="2" t="s">
        <v>2014</v>
      </c>
      <c r="D538" s="7" t="s">
        <v>2015</v>
      </c>
      <c r="E538" s="7" t="s">
        <v>116</v>
      </c>
      <c r="F538" s="7" t="s">
        <v>117</v>
      </c>
      <c r="G538" s="5">
        <v>2832</v>
      </c>
      <c r="H538" s="5">
        <v>20</v>
      </c>
      <c r="I538" s="5">
        <v>2266</v>
      </c>
      <c r="J538" s="5">
        <v>3</v>
      </c>
      <c r="K538" s="2">
        <v>40</v>
      </c>
      <c r="L538" s="7" t="s">
        <v>103</v>
      </c>
      <c r="M538" s="4">
        <v>3.8</v>
      </c>
      <c r="N538" s="5">
        <v>68</v>
      </c>
      <c r="O538" s="3">
        <v>45856</v>
      </c>
      <c r="P538" s="7" t="s">
        <v>2392</v>
      </c>
      <c r="Q538" s="7" t="s">
        <v>78</v>
      </c>
      <c r="R538" s="7" t="s">
        <v>58</v>
      </c>
      <c r="S538" s="7" t="s">
        <v>59</v>
      </c>
      <c r="T538" s="7"/>
      <c r="U538" s="11">
        <f t="shared" si="32"/>
        <v>8496</v>
      </c>
      <c r="V538" s="11">
        <f t="shared" si="33"/>
        <v>6798</v>
      </c>
      <c r="W538" s="11">
        <f t="shared" si="34"/>
        <v>1698</v>
      </c>
      <c r="X538" t="str">
        <f t="shared" si="35"/>
        <v>Cancelled</v>
      </c>
    </row>
    <row r="539" spans="1:24" ht="12.5" x14ac:dyDescent="0.25">
      <c r="A539" s="2" t="s">
        <v>2016</v>
      </c>
      <c r="B539" s="2" t="s">
        <v>2017</v>
      </c>
      <c r="C539" s="2" t="s">
        <v>2018</v>
      </c>
      <c r="D539" s="7" t="s">
        <v>2019</v>
      </c>
      <c r="E539" s="7" t="s">
        <v>147</v>
      </c>
      <c r="F539" s="7" t="s">
        <v>148</v>
      </c>
      <c r="G539" s="5">
        <v>4272</v>
      </c>
      <c r="H539" s="5">
        <v>10</v>
      </c>
      <c r="I539" s="5">
        <v>3845</v>
      </c>
      <c r="J539" s="5">
        <v>3</v>
      </c>
      <c r="K539" s="2" t="s">
        <v>32</v>
      </c>
      <c r="L539" s="7" t="s">
        <v>103</v>
      </c>
      <c r="M539" s="4">
        <v>4.5</v>
      </c>
      <c r="N539" s="5">
        <v>188</v>
      </c>
      <c r="O539" s="3">
        <v>45787</v>
      </c>
      <c r="P539" s="7" t="s">
        <v>2390</v>
      </c>
      <c r="Q539" s="7" t="s">
        <v>78</v>
      </c>
      <c r="R539" s="7" t="s">
        <v>110</v>
      </c>
      <c r="S539" s="7" t="s">
        <v>111</v>
      </c>
      <c r="T539" s="7"/>
      <c r="U539" s="11">
        <f t="shared" si="32"/>
        <v>12816</v>
      </c>
      <c r="V539" s="11">
        <f t="shared" si="33"/>
        <v>11535</v>
      </c>
      <c r="W539" s="11">
        <f t="shared" si="34"/>
        <v>1281</v>
      </c>
      <c r="X539" t="str">
        <f t="shared" si="35"/>
        <v>Completed</v>
      </c>
    </row>
    <row r="540" spans="1:24" ht="12.5" x14ac:dyDescent="0.25">
      <c r="A540" s="2" t="s">
        <v>2020</v>
      </c>
      <c r="B540" s="2" t="s">
        <v>307</v>
      </c>
      <c r="C540" s="2" t="s">
        <v>2021</v>
      </c>
      <c r="D540" s="7" t="s">
        <v>2022</v>
      </c>
      <c r="E540" s="7" t="s">
        <v>37</v>
      </c>
      <c r="F540" s="7" t="s">
        <v>38</v>
      </c>
      <c r="G540" s="5">
        <v>3097</v>
      </c>
      <c r="H540" s="5">
        <v>40</v>
      </c>
      <c r="I540" s="5">
        <v>1859</v>
      </c>
      <c r="J540" s="5">
        <v>1</v>
      </c>
      <c r="K540" s="2">
        <v>40</v>
      </c>
      <c r="L540" s="7" t="s">
        <v>168</v>
      </c>
      <c r="M540" s="4">
        <v>4.8</v>
      </c>
      <c r="N540" s="5">
        <v>195</v>
      </c>
      <c r="O540" s="3">
        <v>45819</v>
      </c>
      <c r="P540" s="7" t="s">
        <v>2392</v>
      </c>
      <c r="Q540" s="7" t="s">
        <v>78</v>
      </c>
      <c r="R540" s="7" t="s">
        <v>30</v>
      </c>
      <c r="S540" s="7" t="s">
        <v>31</v>
      </c>
      <c r="T540" s="7"/>
      <c r="U540" s="11">
        <f t="shared" si="32"/>
        <v>3097</v>
      </c>
      <c r="V540" s="11">
        <f t="shared" si="33"/>
        <v>1859</v>
      </c>
      <c r="W540" s="11">
        <f t="shared" si="34"/>
        <v>1238</v>
      </c>
      <c r="X540" t="str">
        <f t="shared" si="35"/>
        <v>Cancelled</v>
      </c>
    </row>
    <row r="541" spans="1:24" ht="12.5" x14ac:dyDescent="0.25">
      <c r="A541" s="2" t="s">
        <v>2023</v>
      </c>
      <c r="B541" s="2" t="s">
        <v>2024</v>
      </c>
      <c r="C541" s="2" t="s">
        <v>2025</v>
      </c>
      <c r="D541" s="7" t="s">
        <v>2026</v>
      </c>
      <c r="E541" s="7" t="s">
        <v>132</v>
      </c>
      <c r="F541" s="7" t="s">
        <v>38</v>
      </c>
      <c r="G541" s="5">
        <v>2185</v>
      </c>
      <c r="H541" s="5">
        <v>15</v>
      </c>
      <c r="I541" s="5">
        <v>1858</v>
      </c>
      <c r="J541" s="5">
        <v>2</v>
      </c>
      <c r="K541" s="2" t="s">
        <v>261</v>
      </c>
      <c r="L541" s="7" t="s">
        <v>49</v>
      </c>
      <c r="M541" s="4">
        <v>4.8</v>
      </c>
      <c r="N541" s="5">
        <v>215</v>
      </c>
      <c r="O541" s="3">
        <v>45840</v>
      </c>
      <c r="P541" s="7" t="s">
        <v>2392</v>
      </c>
      <c r="Q541" s="7" t="s">
        <v>65</v>
      </c>
      <c r="R541" s="7" t="s">
        <v>58</v>
      </c>
      <c r="S541" s="7" t="s">
        <v>59</v>
      </c>
      <c r="T541" s="7"/>
      <c r="U541" s="11">
        <f t="shared" si="32"/>
        <v>4370</v>
      </c>
      <c r="V541" s="11">
        <f t="shared" si="33"/>
        <v>3716</v>
      </c>
      <c r="W541" s="11">
        <f t="shared" si="34"/>
        <v>654</v>
      </c>
      <c r="X541" t="str">
        <f t="shared" si="35"/>
        <v>Cancelled</v>
      </c>
    </row>
    <row r="542" spans="1:24" ht="12.5" x14ac:dyDescent="0.25">
      <c r="A542" s="2" t="s">
        <v>2027</v>
      </c>
      <c r="B542" s="2" t="s">
        <v>769</v>
      </c>
      <c r="C542" s="2" t="s">
        <v>2028</v>
      </c>
      <c r="D542" s="7" t="s">
        <v>2029</v>
      </c>
      <c r="E542" s="7" t="s">
        <v>247</v>
      </c>
      <c r="F542" s="7" t="s">
        <v>248</v>
      </c>
      <c r="G542" s="5">
        <v>2573</v>
      </c>
      <c r="H542" s="5">
        <v>20</v>
      </c>
      <c r="I542" s="5">
        <v>2059</v>
      </c>
      <c r="J542" s="5">
        <v>3</v>
      </c>
      <c r="K542" s="2" t="s">
        <v>32</v>
      </c>
      <c r="L542" s="7" t="s">
        <v>168</v>
      </c>
      <c r="M542" s="4">
        <v>4.5</v>
      </c>
      <c r="N542" s="5">
        <v>228</v>
      </c>
      <c r="O542" s="3">
        <v>45787</v>
      </c>
      <c r="P542" s="7" t="s">
        <v>2392</v>
      </c>
      <c r="Q542" s="7" t="s">
        <v>65</v>
      </c>
      <c r="R542" s="7" t="s">
        <v>41</v>
      </c>
      <c r="S542" s="7" t="s">
        <v>42</v>
      </c>
      <c r="T542" s="7"/>
      <c r="U542" s="11">
        <f t="shared" si="32"/>
        <v>7719</v>
      </c>
      <c r="V542" s="11">
        <f t="shared" si="33"/>
        <v>6177</v>
      </c>
      <c r="W542" s="11">
        <f t="shared" si="34"/>
        <v>1542</v>
      </c>
      <c r="X542" t="str">
        <f t="shared" si="35"/>
        <v>Cancelled</v>
      </c>
    </row>
    <row r="543" spans="1:24" ht="12.5" x14ac:dyDescent="0.25">
      <c r="A543" s="2" t="s">
        <v>2030</v>
      </c>
      <c r="B543" s="2" t="s">
        <v>1284</v>
      </c>
      <c r="C543" s="2" t="s">
        <v>2031</v>
      </c>
      <c r="D543" s="7" t="s">
        <v>2032</v>
      </c>
      <c r="E543" s="7" t="s">
        <v>247</v>
      </c>
      <c r="F543" s="7" t="s">
        <v>248</v>
      </c>
      <c r="G543" s="5">
        <v>2963</v>
      </c>
      <c r="H543" s="5">
        <v>30</v>
      </c>
      <c r="I543" s="5">
        <v>2075</v>
      </c>
      <c r="J543" s="5">
        <v>3</v>
      </c>
      <c r="K543" s="2">
        <v>44</v>
      </c>
      <c r="L543" s="7" t="s">
        <v>168</v>
      </c>
      <c r="M543" s="4">
        <v>4.4000000000000004</v>
      </c>
      <c r="N543" s="5">
        <v>205</v>
      </c>
      <c r="O543" s="3">
        <v>45782</v>
      </c>
      <c r="P543" s="7" t="s">
        <v>2391</v>
      </c>
      <c r="Q543" s="7" t="s">
        <v>29</v>
      </c>
      <c r="R543" s="7" t="s">
        <v>149</v>
      </c>
      <c r="S543" s="7" t="s">
        <v>150</v>
      </c>
      <c r="T543" s="7"/>
      <c r="U543" s="11">
        <f t="shared" si="32"/>
        <v>8889</v>
      </c>
      <c r="V543" s="11">
        <f t="shared" si="33"/>
        <v>6225</v>
      </c>
      <c r="W543" s="11">
        <f t="shared" si="34"/>
        <v>2664</v>
      </c>
      <c r="X543" t="str">
        <f t="shared" si="35"/>
        <v>Returned</v>
      </c>
    </row>
    <row r="544" spans="1:24" ht="12.5" x14ac:dyDescent="0.25">
      <c r="A544" s="2" t="s">
        <v>2033</v>
      </c>
      <c r="B544" s="2" t="s">
        <v>464</v>
      </c>
      <c r="C544" s="2" t="s">
        <v>2034</v>
      </c>
      <c r="D544" s="7" t="s">
        <v>2035</v>
      </c>
      <c r="E544" s="7" t="s">
        <v>48</v>
      </c>
      <c r="F544" s="7" t="s">
        <v>25</v>
      </c>
      <c r="G544" s="5">
        <v>1646</v>
      </c>
      <c r="H544" s="5">
        <v>20</v>
      </c>
      <c r="I544" s="5">
        <v>1317</v>
      </c>
      <c r="J544" s="5">
        <v>3</v>
      </c>
      <c r="K544" s="2">
        <v>40</v>
      </c>
      <c r="L544" s="7" t="s">
        <v>168</v>
      </c>
      <c r="M544" s="4">
        <v>4.8</v>
      </c>
      <c r="N544" s="5">
        <v>191</v>
      </c>
      <c r="O544" s="3">
        <v>45840</v>
      </c>
      <c r="P544" s="7" t="s">
        <v>2392</v>
      </c>
      <c r="Q544" s="7" t="s">
        <v>78</v>
      </c>
      <c r="R544" s="7" t="s">
        <v>66</v>
      </c>
      <c r="S544" s="7" t="s">
        <v>67</v>
      </c>
      <c r="T544" s="7"/>
      <c r="U544" s="11">
        <f t="shared" si="32"/>
        <v>4938</v>
      </c>
      <c r="V544" s="11">
        <f t="shared" si="33"/>
        <v>3951</v>
      </c>
      <c r="W544" s="11">
        <f t="shared" si="34"/>
        <v>987</v>
      </c>
      <c r="X544" t="str">
        <f t="shared" si="35"/>
        <v>Cancelled</v>
      </c>
    </row>
    <row r="545" spans="1:24" ht="12.5" x14ac:dyDescent="0.25">
      <c r="A545" s="2" t="s">
        <v>2036</v>
      </c>
      <c r="B545" s="2" t="s">
        <v>136</v>
      </c>
      <c r="C545" s="2" t="s">
        <v>2037</v>
      </c>
      <c r="D545" s="7" t="s">
        <v>2038</v>
      </c>
      <c r="E545" s="7" t="s">
        <v>122</v>
      </c>
      <c r="F545" s="7" t="s">
        <v>123</v>
      </c>
      <c r="G545" s="5">
        <v>3935</v>
      </c>
      <c r="H545" s="5">
        <v>20</v>
      </c>
      <c r="I545" s="5">
        <v>3148</v>
      </c>
      <c r="J545" s="5">
        <v>3</v>
      </c>
      <c r="K545" s="2" t="s">
        <v>56</v>
      </c>
      <c r="L545" s="7" t="s">
        <v>88</v>
      </c>
      <c r="M545" s="4">
        <v>4.2</v>
      </c>
      <c r="N545" s="5">
        <v>252</v>
      </c>
      <c r="O545" s="3">
        <v>45790</v>
      </c>
      <c r="P545" s="7" t="s">
        <v>2390</v>
      </c>
      <c r="Q545" s="7" t="s">
        <v>29</v>
      </c>
      <c r="R545" s="7" t="s">
        <v>66</v>
      </c>
      <c r="S545" s="7" t="s">
        <v>67</v>
      </c>
      <c r="T545" s="7"/>
      <c r="U545" s="11">
        <f t="shared" si="32"/>
        <v>11805</v>
      </c>
      <c r="V545" s="11">
        <f t="shared" si="33"/>
        <v>9444</v>
      </c>
      <c r="W545" s="11">
        <f t="shared" si="34"/>
        <v>2361</v>
      </c>
      <c r="X545" t="str">
        <f t="shared" si="35"/>
        <v>Completed</v>
      </c>
    </row>
    <row r="546" spans="1:24" ht="12.5" x14ac:dyDescent="0.25">
      <c r="A546" s="2" t="s">
        <v>2039</v>
      </c>
      <c r="B546" s="2" t="s">
        <v>2040</v>
      </c>
      <c r="C546" s="2" t="s">
        <v>2041</v>
      </c>
      <c r="D546" s="7" t="s">
        <v>2042</v>
      </c>
      <c r="E546" s="7" t="s">
        <v>147</v>
      </c>
      <c r="F546" s="7" t="s">
        <v>148</v>
      </c>
      <c r="G546" s="5">
        <v>4654</v>
      </c>
      <c r="H546" s="5">
        <v>10</v>
      </c>
      <c r="I546" s="5">
        <v>4189</v>
      </c>
      <c r="J546" s="5">
        <v>2</v>
      </c>
      <c r="K546" s="2" t="s">
        <v>72</v>
      </c>
      <c r="L546" s="7" t="s">
        <v>27</v>
      </c>
      <c r="M546" s="4">
        <v>3.6</v>
      </c>
      <c r="N546" s="5">
        <v>125</v>
      </c>
      <c r="O546" s="3">
        <v>45832</v>
      </c>
      <c r="P546" s="7" t="s">
        <v>2391</v>
      </c>
      <c r="Q546" s="7" t="s">
        <v>78</v>
      </c>
      <c r="R546" s="7" t="s">
        <v>30</v>
      </c>
      <c r="S546" s="7" t="s">
        <v>31</v>
      </c>
      <c r="T546" s="7" t="s">
        <v>50</v>
      </c>
      <c r="U546" s="11">
        <f t="shared" si="32"/>
        <v>9308</v>
      </c>
      <c r="V546" s="11">
        <f t="shared" si="33"/>
        <v>8378</v>
      </c>
      <c r="W546" s="11">
        <f t="shared" si="34"/>
        <v>930</v>
      </c>
      <c r="X546" t="str">
        <f t="shared" si="35"/>
        <v>Returned</v>
      </c>
    </row>
    <row r="547" spans="1:24" ht="12.5" x14ac:dyDescent="0.25">
      <c r="A547" s="2" t="s">
        <v>2043</v>
      </c>
      <c r="B547" s="2" t="s">
        <v>1765</v>
      </c>
      <c r="C547" s="2" t="s">
        <v>2044</v>
      </c>
      <c r="D547" s="7" t="s">
        <v>2045</v>
      </c>
      <c r="E547" s="7" t="s">
        <v>24</v>
      </c>
      <c r="F547" s="7" t="s">
        <v>25</v>
      </c>
      <c r="G547" s="5">
        <v>3692</v>
      </c>
      <c r="H547" s="5">
        <v>20</v>
      </c>
      <c r="I547" s="5">
        <v>2954</v>
      </c>
      <c r="J547" s="5">
        <v>1</v>
      </c>
      <c r="K547" s="2" t="s">
        <v>261</v>
      </c>
      <c r="L547" s="7" t="s">
        <v>168</v>
      </c>
      <c r="M547" s="4">
        <v>4.8</v>
      </c>
      <c r="N547" s="5">
        <v>68</v>
      </c>
      <c r="O547" s="3">
        <v>45793</v>
      </c>
      <c r="P547" s="7" t="s">
        <v>2392</v>
      </c>
      <c r="Q547" s="7" t="s">
        <v>29</v>
      </c>
      <c r="R547" s="7" t="s">
        <v>83</v>
      </c>
      <c r="S547" s="7" t="s">
        <v>83</v>
      </c>
      <c r="T547" s="7"/>
      <c r="U547" s="11">
        <f t="shared" si="32"/>
        <v>3692</v>
      </c>
      <c r="V547" s="11">
        <f t="shared" si="33"/>
        <v>2954</v>
      </c>
      <c r="W547" s="11">
        <f t="shared" si="34"/>
        <v>738</v>
      </c>
      <c r="X547" t="str">
        <f t="shared" si="35"/>
        <v>Cancelled</v>
      </c>
    </row>
    <row r="548" spans="1:24" ht="12.5" x14ac:dyDescent="0.25">
      <c r="A548" s="2" t="s">
        <v>2046</v>
      </c>
      <c r="B548" s="2" t="s">
        <v>295</v>
      </c>
      <c r="C548" s="2" t="s">
        <v>2047</v>
      </c>
      <c r="D548" s="7" t="s">
        <v>2048</v>
      </c>
      <c r="E548" s="7" t="s">
        <v>24</v>
      </c>
      <c r="F548" s="7" t="s">
        <v>25</v>
      </c>
      <c r="G548" s="5">
        <v>4250</v>
      </c>
      <c r="H548" s="5">
        <v>35</v>
      </c>
      <c r="I548" s="5">
        <v>2763</v>
      </c>
      <c r="J548" s="5">
        <v>1</v>
      </c>
      <c r="K548" s="2" t="s">
        <v>226</v>
      </c>
      <c r="L548" s="7" t="s">
        <v>39</v>
      </c>
      <c r="M548" s="4">
        <v>4.4000000000000004</v>
      </c>
      <c r="N548" s="5">
        <v>124</v>
      </c>
      <c r="O548" s="3">
        <v>45800</v>
      </c>
      <c r="P548" s="7" t="s">
        <v>2391</v>
      </c>
      <c r="Q548" s="7" t="s">
        <v>29</v>
      </c>
      <c r="R548" s="7" t="s">
        <v>58</v>
      </c>
      <c r="S548" s="7" t="s">
        <v>59</v>
      </c>
      <c r="T548" s="7" t="s">
        <v>43</v>
      </c>
      <c r="U548" s="11">
        <f t="shared" si="32"/>
        <v>4250</v>
      </c>
      <c r="V548" s="11">
        <f t="shared" si="33"/>
        <v>2763</v>
      </c>
      <c r="W548" s="11">
        <f t="shared" si="34"/>
        <v>1487</v>
      </c>
      <c r="X548" t="str">
        <f t="shared" si="35"/>
        <v>Returned</v>
      </c>
    </row>
    <row r="549" spans="1:24" ht="12.5" x14ac:dyDescent="0.25">
      <c r="A549" s="2" t="s">
        <v>2049</v>
      </c>
      <c r="B549" s="2" t="s">
        <v>1909</v>
      </c>
      <c r="C549" s="2" t="s">
        <v>2050</v>
      </c>
      <c r="D549" s="7" t="s">
        <v>2051</v>
      </c>
      <c r="E549" s="7" t="s">
        <v>116</v>
      </c>
      <c r="F549" s="7" t="s">
        <v>117</v>
      </c>
      <c r="G549" s="5">
        <v>4728</v>
      </c>
      <c r="H549" s="5">
        <v>10</v>
      </c>
      <c r="I549" s="5">
        <v>4256</v>
      </c>
      <c r="J549" s="5">
        <v>3</v>
      </c>
      <c r="K549" s="2" t="s">
        <v>56</v>
      </c>
      <c r="L549" s="7" t="s">
        <v>27</v>
      </c>
      <c r="M549" s="4">
        <v>4.9000000000000004</v>
      </c>
      <c r="N549" s="5">
        <v>249</v>
      </c>
      <c r="O549" s="3">
        <v>45825</v>
      </c>
      <c r="P549" s="7" t="s">
        <v>2391</v>
      </c>
      <c r="Q549" s="7" t="s">
        <v>29</v>
      </c>
      <c r="R549" s="7" t="s">
        <v>58</v>
      </c>
      <c r="S549" s="7" t="s">
        <v>59</v>
      </c>
      <c r="T549" s="7" t="s">
        <v>43</v>
      </c>
      <c r="U549" s="11">
        <f t="shared" si="32"/>
        <v>14184</v>
      </c>
      <c r="V549" s="11">
        <f t="shared" si="33"/>
        <v>12768</v>
      </c>
      <c r="W549" s="11">
        <f t="shared" si="34"/>
        <v>1416</v>
      </c>
      <c r="X549" t="str">
        <f t="shared" si="35"/>
        <v>Returned</v>
      </c>
    </row>
    <row r="550" spans="1:24" ht="12.5" x14ac:dyDescent="0.25">
      <c r="A550" s="2" t="s">
        <v>2052</v>
      </c>
      <c r="B550" s="2" t="s">
        <v>2053</v>
      </c>
      <c r="C550" s="2" t="s">
        <v>2054</v>
      </c>
      <c r="D550" s="7" t="s">
        <v>2055</v>
      </c>
      <c r="E550" s="7" t="s">
        <v>247</v>
      </c>
      <c r="F550" s="7" t="s">
        <v>248</v>
      </c>
      <c r="G550" s="5">
        <v>3716</v>
      </c>
      <c r="H550" s="5">
        <v>20</v>
      </c>
      <c r="I550" s="5">
        <v>2973</v>
      </c>
      <c r="J550" s="5">
        <v>1</v>
      </c>
      <c r="K550" s="2" t="s">
        <v>163</v>
      </c>
      <c r="L550" s="7" t="s">
        <v>27</v>
      </c>
      <c r="M550" s="4">
        <v>4.5999999999999996</v>
      </c>
      <c r="N550" s="5">
        <v>105</v>
      </c>
      <c r="O550" s="3">
        <v>45773</v>
      </c>
      <c r="P550" s="7" t="s">
        <v>2392</v>
      </c>
      <c r="Q550" s="7" t="s">
        <v>29</v>
      </c>
      <c r="R550" s="7" t="s">
        <v>83</v>
      </c>
      <c r="S550" s="7" t="s">
        <v>83</v>
      </c>
      <c r="T550" s="7"/>
      <c r="U550" s="11">
        <f t="shared" si="32"/>
        <v>3716</v>
      </c>
      <c r="V550" s="11">
        <f t="shared" si="33"/>
        <v>2973</v>
      </c>
      <c r="W550" s="11">
        <f t="shared" si="34"/>
        <v>743</v>
      </c>
      <c r="X550" t="str">
        <f t="shared" si="35"/>
        <v>Cancelled</v>
      </c>
    </row>
    <row r="551" spans="1:24" ht="12.5" x14ac:dyDescent="0.25">
      <c r="A551" s="2" t="s">
        <v>2056</v>
      </c>
      <c r="B551" s="2" t="s">
        <v>948</v>
      </c>
      <c r="C551" s="2" t="s">
        <v>2057</v>
      </c>
      <c r="D551" s="7" t="s">
        <v>2058</v>
      </c>
      <c r="E551" s="7" t="s">
        <v>48</v>
      </c>
      <c r="F551" s="7" t="s">
        <v>25</v>
      </c>
      <c r="G551" s="5">
        <v>1765</v>
      </c>
      <c r="H551" s="5">
        <v>20</v>
      </c>
      <c r="I551" s="5">
        <v>1412</v>
      </c>
      <c r="J551" s="5">
        <v>2</v>
      </c>
      <c r="K551" s="2" t="s">
        <v>26</v>
      </c>
      <c r="L551" s="7" t="s">
        <v>88</v>
      </c>
      <c r="M551" s="4">
        <v>4.9000000000000004</v>
      </c>
      <c r="N551" s="5">
        <v>78</v>
      </c>
      <c r="O551" s="3">
        <v>45805</v>
      </c>
      <c r="P551" s="7" t="s">
        <v>2392</v>
      </c>
      <c r="Q551" s="7" t="s">
        <v>78</v>
      </c>
      <c r="R551" s="7" t="s">
        <v>149</v>
      </c>
      <c r="S551" s="7" t="s">
        <v>150</v>
      </c>
      <c r="T551" s="7"/>
      <c r="U551" s="11">
        <f t="shared" si="32"/>
        <v>3530</v>
      </c>
      <c r="V551" s="11">
        <f t="shared" si="33"/>
        <v>2824</v>
      </c>
      <c r="W551" s="11">
        <f t="shared" si="34"/>
        <v>706</v>
      </c>
      <c r="X551" t="str">
        <f t="shared" si="35"/>
        <v>Cancelled</v>
      </c>
    </row>
    <row r="552" spans="1:24" ht="12.5" x14ac:dyDescent="0.25">
      <c r="A552" s="2" t="s">
        <v>2059</v>
      </c>
      <c r="B552" s="2" t="s">
        <v>897</v>
      </c>
      <c r="C552" s="2" t="s">
        <v>2060</v>
      </c>
      <c r="D552" s="7" t="s">
        <v>2061</v>
      </c>
      <c r="E552" s="7" t="s">
        <v>132</v>
      </c>
      <c r="F552" s="7" t="s">
        <v>38</v>
      </c>
      <c r="G552" s="5">
        <v>2373</v>
      </c>
      <c r="H552" s="5">
        <v>15</v>
      </c>
      <c r="I552" s="5">
        <v>2018</v>
      </c>
      <c r="J552" s="5">
        <v>3</v>
      </c>
      <c r="K552" s="2">
        <v>42</v>
      </c>
      <c r="L552" s="7" t="s">
        <v>49</v>
      </c>
      <c r="M552" s="4">
        <v>4.2</v>
      </c>
      <c r="N552" s="5">
        <v>186</v>
      </c>
      <c r="O552" s="3">
        <v>45816</v>
      </c>
      <c r="P552" s="7" t="s">
        <v>2391</v>
      </c>
      <c r="Q552" s="7" t="s">
        <v>65</v>
      </c>
      <c r="R552" s="7" t="s">
        <v>104</v>
      </c>
      <c r="S552" s="7" t="s">
        <v>105</v>
      </c>
      <c r="T552" s="7"/>
      <c r="U552" s="11">
        <f t="shared" si="32"/>
        <v>7119</v>
      </c>
      <c r="V552" s="11">
        <f t="shared" si="33"/>
        <v>6054</v>
      </c>
      <c r="W552" s="11">
        <f t="shared" si="34"/>
        <v>1065</v>
      </c>
      <c r="X552" t="str">
        <f t="shared" si="35"/>
        <v>Returned</v>
      </c>
    </row>
    <row r="553" spans="1:24" ht="12.5" x14ac:dyDescent="0.25">
      <c r="A553" s="2" t="s">
        <v>2062</v>
      </c>
      <c r="B553" s="2" t="s">
        <v>2063</v>
      </c>
      <c r="C553" s="2" t="s">
        <v>2064</v>
      </c>
      <c r="D553" s="7" t="s">
        <v>2065</v>
      </c>
      <c r="E553" s="7" t="s">
        <v>116</v>
      </c>
      <c r="F553" s="7" t="s">
        <v>117</v>
      </c>
      <c r="G553" s="5">
        <v>2708</v>
      </c>
      <c r="H553" s="5">
        <v>15</v>
      </c>
      <c r="I553" s="5">
        <v>2302</v>
      </c>
      <c r="J553" s="5">
        <v>1</v>
      </c>
      <c r="K553" s="2" t="s">
        <v>72</v>
      </c>
      <c r="L553" s="7" t="s">
        <v>39</v>
      </c>
      <c r="M553" s="4">
        <v>4.5999999999999996</v>
      </c>
      <c r="N553" s="5">
        <v>35</v>
      </c>
      <c r="O553" s="3">
        <v>45790</v>
      </c>
      <c r="P553" s="7" t="s">
        <v>2392</v>
      </c>
      <c r="Q553" s="7" t="s">
        <v>29</v>
      </c>
      <c r="R553" s="7" t="s">
        <v>58</v>
      </c>
      <c r="S553" s="7" t="s">
        <v>59</v>
      </c>
      <c r="T553" s="7"/>
      <c r="U553" s="11">
        <f t="shared" si="32"/>
        <v>2708</v>
      </c>
      <c r="V553" s="11">
        <f t="shared" si="33"/>
        <v>2302</v>
      </c>
      <c r="W553" s="11">
        <f t="shared" si="34"/>
        <v>406</v>
      </c>
      <c r="X553" t="str">
        <f t="shared" si="35"/>
        <v>Cancelled</v>
      </c>
    </row>
    <row r="554" spans="1:24" ht="12.5" x14ac:dyDescent="0.25">
      <c r="A554" s="2" t="s">
        <v>2066</v>
      </c>
      <c r="B554" s="2" t="s">
        <v>140</v>
      </c>
      <c r="C554" s="2" t="s">
        <v>2067</v>
      </c>
      <c r="D554" s="7" t="s">
        <v>2068</v>
      </c>
      <c r="E554" s="7" t="s">
        <v>147</v>
      </c>
      <c r="F554" s="7" t="s">
        <v>148</v>
      </c>
      <c r="G554" s="5">
        <v>683</v>
      </c>
      <c r="H554" s="5">
        <v>15</v>
      </c>
      <c r="I554" s="5">
        <v>581</v>
      </c>
      <c r="J554" s="5">
        <v>1</v>
      </c>
      <c r="K554" s="2" t="s">
        <v>26</v>
      </c>
      <c r="L554" s="7" t="s">
        <v>39</v>
      </c>
      <c r="M554" s="4">
        <v>4.0999999999999996</v>
      </c>
      <c r="N554" s="5">
        <v>52</v>
      </c>
      <c r="O554" s="3">
        <v>45771</v>
      </c>
      <c r="P554" s="7" t="s">
        <v>2392</v>
      </c>
      <c r="Q554" s="7" t="s">
        <v>78</v>
      </c>
      <c r="R554" s="7" t="s">
        <v>58</v>
      </c>
      <c r="S554" s="7" t="s">
        <v>59</v>
      </c>
      <c r="T554" s="7"/>
      <c r="U554" s="11">
        <f t="shared" si="32"/>
        <v>683</v>
      </c>
      <c r="V554" s="11">
        <f t="shared" si="33"/>
        <v>581</v>
      </c>
      <c r="W554" s="11">
        <f t="shared" si="34"/>
        <v>102</v>
      </c>
      <c r="X554" t="str">
        <f t="shared" si="35"/>
        <v>Cancelled</v>
      </c>
    </row>
    <row r="555" spans="1:24" ht="12.5" x14ac:dyDescent="0.25">
      <c r="A555" s="2" t="s">
        <v>2069</v>
      </c>
      <c r="B555" s="2" t="s">
        <v>228</v>
      </c>
      <c r="C555" s="2" t="s">
        <v>2070</v>
      </c>
      <c r="D555" s="7" t="s">
        <v>2071</v>
      </c>
      <c r="E555" s="7" t="s">
        <v>122</v>
      </c>
      <c r="F555" s="7" t="s">
        <v>123</v>
      </c>
      <c r="G555" s="5">
        <v>4380</v>
      </c>
      <c r="H555" s="5">
        <v>35</v>
      </c>
      <c r="I555" s="5">
        <v>2847</v>
      </c>
      <c r="J555" s="5">
        <v>1</v>
      </c>
      <c r="K555" s="2" t="s">
        <v>226</v>
      </c>
      <c r="L555" s="7" t="s">
        <v>39</v>
      </c>
      <c r="M555" s="4">
        <v>4.8</v>
      </c>
      <c r="N555" s="5">
        <v>64</v>
      </c>
      <c r="O555" s="3">
        <v>45847</v>
      </c>
      <c r="P555" s="7" t="s">
        <v>2391</v>
      </c>
      <c r="Q555" s="7" t="s">
        <v>78</v>
      </c>
      <c r="R555" s="7" t="s">
        <v>83</v>
      </c>
      <c r="S555" s="7" t="s">
        <v>83</v>
      </c>
      <c r="T555" s="7" t="s">
        <v>43</v>
      </c>
      <c r="U555" s="11">
        <f t="shared" si="32"/>
        <v>4380</v>
      </c>
      <c r="V555" s="11">
        <f t="shared" si="33"/>
        <v>2847</v>
      </c>
      <c r="W555" s="11">
        <f t="shared" si="34"/>
        <v>1533</v>
      </c>
      <c r="X555" t="str">
        <f t="shared" si="35"/>
        <v>Returned</v>
      </c>
    </row>
    <row r="556" spans="1:24" ht="12.5" x14ac:dyDescent="0.25">
      <c r="A556" s="2" t="s">
        <v>2072</v>
      </c>
      <c r="B556" s="2" t="s">
        <v>2073</v>
      </c>
      <c r="C556" s="2" t="s">
        <v>2074</v>
      </c>
      <c r="D556" s="7" t="s">
        <v>2075</v>
      </c>
      <c r="E556" s="7" t="s">
        <v>132</v>
      </c>
      <c r="F556" s="7" t="s">
        <v>38</v>
      </c>
      <c r="G556" s="5">
        <v>2605</v>
      </c>
      <c r="H556" s="5">
        <v>10</v>
      </c>
      <c r="I556" s="5">
        <v>2345</v>
      </c>
      <c r="J556" s="5">
        <v>1</v>
      </c>
      <c r="K556" s="2" t="s">
        <v>261</v>
      </c>
      <c r="L556" s="7" t="s">
        <v>73</v>
      </c>
      <c r="M556" s="4">
        <v>4.5</v>
      </c>
      <c r="N556" s="5">
        <v>41</v>
      </c>
      <c r="O556" s="3">
        <v>45786</v>
      </c>
      <c r="P556" s="7" t="s">
        <v>2390</v>
      </c>
      <c r="Q556" s="7" t="s">
        <v>78</v>
      </c>
      <c r="R556" s="7" t="s">
        <v>83</v>
      </c>
      <c r="S556" s="7" t="s">
        <v>83</v>
      </c>
      <c r="T556" s="7"/>
      <c r="U556" s="11">
        <f t="shared" si="32"/>
        <v>2605</v>
      </c>
      <c r="V556" s="11">
        <f t="shared" si="33"/>
        <v>2345</v>
      </c>
      <c r="W556" s="11">
        <f t="shared" si="34"/>
        <v>260</v>
      </c>
      <c r="X556" t="str">
        <f t="shared" si="35"/>
        <v>Completed</v>
      </c>
    </row>
    <row r="557" spans="1:24" ht="12.5" x14ac:dyDescent="0.25">
      <c r="A557" s="2" t="s">
        <v>2076</v>
      </c>
      <c r="B557" s="2" t="s">
        <v>769</v>
      </c>
      <c r="C557" s="2" t="s">
        <v>2077</v>
      </c>
      <c r="D557" s="7" t="s">
        <v>2078</v>
      </c>
      <c r="E557" s="7" t="s">
        <v>37</v>
      </c>
      <c r="F557" s="7" t="s">
        <v>38</v>
      </c>
      <c r="G557" s="5">
        <v>4198</v>
      </c>
      <c r="H557" s="5">
        <v>25</v>
      </c>
      <c r="I557" s="5">
        <v>3149</v>
      </c>
      <c r="J557" s="5">
        <v>1</v>
      </c>
      <c r="K557" s="2">
        <v>42</v>
      </c>
      <c r="L557" s="7" t="s">
        <v>209</v>
      </c>
      <c r="M557" s="4">
        <v>4.2</v>
      </c>
      <c r="N557" s="5">
        <v>141</v>
      </c>
      <c r="O557" s="3">
        <v>45823</v>
      </c>
      <c r="P557" s="7" t="s">
        <v>2390</v>
      </c>
      <c r="Q557" s="7" t="s">
        <v>78</v>
      </c>
      <c r="R557" s="7" t="s">
        <v>89</v>
      </c>
      <c r="S557" s="7" t="s">
        <v>90</v>
      </c>
      <c r="T557" s="7"/>
      <c r="U557" s="11">
        <f t="shared" si="32"/>
        <v>4198</v>
      </c>
      <c r="V557" s="11">
        <f t="shared" si="33"/>
        <v>3149</v>
      </c>
      <c r="W557" s="11">
        <f t="shared" si="34"/>
        <v>1049</v>
      </c>
      <c r="X557" t="str">
        <f t="shared" si="35"/>
        <v>Completed</v>
      </c>
    </row>
    <row r="558" spans="1:24" ht="12.5" x14ac:dyDescent="0.25">
      <c r="A558" s="2" t="s">
        <v>2079</v>
      </c>
      <c r="B558" s="2" t="s">
        <v>1254</v>
      </c>
      <c r="C558" s="2" t="s">
        <v>2080</v>
      </c>
      <c r="D558" s="7" t="s">
        <v>2081</v>
      </c>
      <c r="E558" s="7" t="s">
        <v>208</v>
      </c>
      <c r="F558" s="7" t="s">
        <v>117</v>
      </c>
      <c r="G558" s="5">
        <v>1717</v>
      </c>
      <c r="H558" s="5">
        <v>10</v>
      </c>
      <c r="I558" s="5">
        <v>1546</v>
      </c>
      <c r="J558" s="5">
        <v>2</v>
      </c>
      <c r="K558" s="2" t="s">
        <v>261</v>
      </c>
      <c r="L558" s="7" t="s">
        <v>133</v>
      </c>
      <c r="M558" s="4">
        <v>3.7</v>
      </c>
      <c r="N558" s="5">
        <v>148</v>
      </c>
      <c r="O558" s="3">
        <v>45850</v>
      </c>
      <c r="P558" s="7" t="s">
        <v>2392</v>
      </c>
      <c r="Q558" s="7" t="s">
        <v>65</v>
      </c>
      <c r="R558" s="7" t="s">
        <v>58</v>
      </c>
      <c r="S558" s="7" t="s">
        <v>59</v>
      </c>
      <c r="T558" s="7"/>
      <c r="U558" s="11">
        <f t="shared" si="32"/>
        <v>3434</v>
      </c>
      <c r="V558" s="11">
        <f t="shared" si="33"/>
        <v>3092</v>
      </c>
      <c r="W558" s="11">
        <f t="shared" si="34"/>
        <v>342</v>
      </c>
      <c r="X558" t="str">
        <f t="shared" si="35"/>
        <v>Cancelled</v>
      </c>
    </row>
    <row r="559" spans="1:24" ht="12.5" x14ac:dyDescent="0.25">
      <c r="A559" s="2" t="s">
        <v>2082</v>
      </c>
      <c r="B559" s="2" t="s">
        <v>2083</v>
      </c>
      <c r="C559" s="2" t="s">
        <v>2084</v>
      </c>
      <c r="D559" s="7" t="s">
        <v>2085</v>
      </c>
      <c r="E559" s="7" t="s">
        <v>247</v>
      </c>
      <c r="F559" s="7" t="s">
        <v>248</v>
      </c>
      <c r="G559" s="5">
        <v>1142</v>
      </c>
      <c r="H559" s="5">
        <v>20</v>
      </c>
      <c r="I559" s="5">
        <v>914</v>
      </c>
      <c r="J559" s="5">
        <v>3</v>
      </c>
      <c r="K559" s="2">
        <v>40</v>
      </c>
      <c r="L559" s="7" t="s">
        <v>73</v>
      </c>
      <c r="M559" s="4">
        <v>3.5</v>
      </c>
      <c r="N559" s="5">
        <v>72</v>
      </c>
      <c r="O559" s="3">
        <v>45797</v>
      </c>
      <c r="P559" s="7" t="s">
        <v>2392</v>
      </c>
      <c r="Q559" s="7" t="s">
        <v>78</v>
      </c>
      <c r="R559" s="7" t="s">
        <v>58</v>
      </c>
      <c r="S559" s="7" t="s">
        <v>59</v>
      </c>
      <c r="T559" s="7"/>
      <c r="U559" s="11">
        <f t="shared" si="32"/>
        <v>3426</v>
      </c>
      <c r="V559" s="11">
        <f t="shared" si="33"/>
        <v>2742</v>
      </c>
      <c r="W559" s="11">
        <f t="shared" si="34"/>
        <v>684</v>
      </c>
      <c r="X559" t="str">
        <f t="shared" si="35"/>
        <v>Cancelled</v>
      </c>
    </row>
    <row r="560" spans="1:24" ht="12.5" x14ac:dyDescent="0.25">
      <c r="A560" s="2" t="s">
        <v>2086</v>
      </c>
      <c r="B560" s="2" t="s">
        <v>271</v>
      </c>
      <c r="C560" s="2" t="s">
        <v>2087</v>
      </c>
      <c r="D560" s="7" t="s">
        <v>2088</v>
      </c>
      <c r="E560" s="7" t="s">
        <v>37</v>
      </c>
      <c r="F560" s="7" t="s">
        <v>38</v>
      </c>
      <c r="G560" s="5">
        <v>2616</v>
      </c>
      <c r="H560" s="5">
        <v>25</v>
      </c>
      <c r="I560" s="5">
        <v>1962</v>
      </c>
      <c r="J560" s="5">
        <v>3</v>
      </c>
      <c r="K560" s="2">
        <v>42</v>
      </c>
      <c r="L560" s="7" t="s">
        <v>168</v>
      </c>
      <c r="M560" s="4">
        <v>4.7</v>
      </c>
      <c r="N560" s="5">
        <v>268</v>
      </c>
      <c r="O560" s="3">
        <v>45827</v>
      </c>
      <c r="P560" s="7" t="s">
        <v>2391</v>
      </c>
      <c r="Q560" s="7" t="s">
        <v>65</v>
      </c>
      <c r="R560" s="7" t="s">
        <v>149</v>
      </c>
      <c r="S560" s="7" t="s">
        <v>150</v>
      </c>
      <c r="T560" s="7" t="s">
        <v>203</v>
      </c>
      <c r="U560" s="11">
        <f t="shared" si="32"/>
        <v>7848</v>
      </c>
      <c r="V560" s="11">
        <f t="shared" si="33"/>
        <v>5886</v>
      </c>
      <c r="W560" s="11">
        <f t="shared" si="34"/>
        <v>1962</v>
      </c>
      <c r="X560" t="str">
        <f t="shared" si="35"/>
        <v>Returned</v>
      </c>
    </row>
    <row r="561" spans="1:24" ht="12.5" x14ac:dyDescent="0.25">
      <c r="A561" s="2" t="s">
        <v>2089</v>
      </c>
      <c r="B561" s="2" t="s">
        <v>599</v>
      </c>
      <c r="C561" s="2" t="s">
        <v>2090</v>
      </c>
      <c r="D561" s="7" t="s">
        <v>2091</v>
      </c>
      <c r="E561" s="7" t="s">
        <v>208</v>
      </c>
      <c r="F561" s="7" t="s">
        <v>117</v>
      </c>
      <c r="G561" s="5">
        <v>4753</v>
      </c>
      <c r="H561" s="5">
        <v>20</v>
      </c>
      <c r="I561" s="5">
        <v>3803</v>
      </c>
      <c r="J561" s="5">
        <v>3</v>
      </c>
      <c r="K561" s="2">
        <v>44</v>
      </c>
      <c r="L561" s="7" t="s">
        <v>39</v>
      </c>
      <c r="M561" s="4">
        <v>4.5</v>
      </c>
      <c r="N561" s="5">
        <v>253</v>
      </c>
      <c r="O561" s="3">
        <v>45827</v>
      </c>
      <c r="P561" s="7" t="s">
        <v>2391</v>
      </c>
      <c r="Q561" s="7" t="s">
        <v>29</v>
      </c>
      <c r="R561" s="7" t="s">
        <v>104</v>
      </c>
      <c r="S561" s="7" t="s">
        <v>105</v>
      </c>
      <c r="T561" s="7" t="s">
        <v>43</v>
      </c>
      <c r="U561" s="11">
        <f t="shared" si="32"/>
        <v>14259</v>
      </c>
      <c r="V561" s="11">
        <f t="shared" si="33"/>
        <v>11409</v>
      </c>
      <c r="W561" s="11">
        <f t="shared" si="34"/>
        <v>2850</v>
      </c>
      <c r="X561" t="str">
        <f t="shared" si="35"/>
        <v>Returned</v>
      </c>
    </row>
    <row r="562" spans="1:24" ht="12.5" x14ac:dyDescent="0.25">
      <c r="A562" s="2" t="s">
        <v>2092</v>
      </c>
      <c r="B562" s="2" t="s">
        <v>2093</v>
      </c>
      <c r="C562" s="2" t="s">
        <v>2094</v>
      </c>
      <c r="D562" s="7" t="s">
        <v>2095</v>
      </c>
      <c r="E562" s="7" t="s">
        <v>132</v>
      </c>
      <c r="F562" s="7" t="s">
        <v>38</v>
      </c>
      <c r="G562" s="5">
        <v>2539</v>
      </c>
      <c r="H562" s="5">
        <v>10</v>
      </c>
      <c r="I562" s="5">
        <v>2286</v>
      </c>
      <c r="J562" s="5">
        <v>3</v>
      </c>
      <c r="K562" s="2" t="s">
        <v>72</v>
      </c>
      <c r="L562" s="7" t="s">
        <v>27</v>
      </c>
      <c r="M562" s="4">
        <v>4</v>
      </c>
      <c r="N562" s="5">
        <v>32</v>
      </c>
      <c r="O562" s="3">
        <v>45775</v>
      </c>
      <c r="P562" s="7" t="s">
        <v>2391</v>
      </c>
      <c r="Q562" s="7" t="s">
        <v>78</v>
      </c>
      <c r="R562" s="7" t="s">
        <v>41</v>
      </c>
      <c r="S562" s="7" t="s">
        <v>42</v>
      </c>
      <c r="T562" s="7"/>
      <c r="U562" s="11">
        <f t="shared" si="32"/>
        <v>7617</v>
      </c>
      <c r="V562" s="11">
        <f t="shared" si="33"/>
        <v>6858</v>
      </c>
      <c r="W562" s="11">
        <f t="shared" si="34"/>
        <v>759</v>
      </c>
      <c r="X562" t="str">
        <f t="shared" si="35"/>
        <v>Returned</v>
      </c>
    </row>
    <row r="563" spans="1:24" ht="12.5" x14ac:dyDescent="0.25">
      <c r="A563" s="2" t="s">
        <v>2096</v>
      </c>
      <c r="B563" s="2" t="s">
        <v>1359</v>
      </c>
      <c r="C563" s="2" t="s">
        <v>2097</v>
      </c>
      <c r="D563" s="7" t="s">
        <v>2098</v>
      </c>
      <c r="E563" s="7" t="s">
        <v>37</v>
      </c>
      <c r="F563" s="7" t="s">
        <v>38</v>
      </c>
      <c r="G563" s="5">
        <v>1866</v>
      </c>
      <c r="H563" s="5">
        <v>40</v>
      </c>
      <c r="I563" s="5">
        <v>1120</v>
      </c>
      <c r="J563" s="5">
        <v>3</v>
      </c>
      <c r="K563" s="2">
        <v>42</v>
      </c>
      <c r="L563" s="7" t="s">
        <v>73</v>
      </c>
      <c r="M563" s="4">
        <v>3.6</v>
      </c>
      <c r="N563" s="5">
        <v>66</v>
      </c>
      <c r="O563" s="3">
        <v>45835</v>
      </c>
      <c r="P563" s="7" t="s">
        <v>2392</v>
      </c>
      <c r="Q563" s="7" t="s">
        <v>29</v>
      </c>
      <c r="R563" s="7" t="s">
        <v>30</v>
      </c>
      <c r="S563" s="7" t="s">
        <v>31</v>
      </c>
      <c r="T563" s="7"/>
      <c r="U563" s="11">
        <f t="shared" si="32"/>
        <v>5598</v>
      </c>
      <c r="V563" s="11">
        <f t="shared" si="33"/>
        <v>3360</v>
      </c>
      <c r="W563" s="11">
        <f t="shared" si="34"/>
        <v>2238</v>
      </c>
      <c r="X563" t="str">
        <f t="shared" si="35"/>
        <v>Cancelled</v>
      </c>
    </row>
    <row r="564" spans="1:24" ht="12.5" x14ac:dyDescent="0.25">
      <c r="A564" s="2" t="s">
        <v>2099</v>
      </c>
      <c r="B564" s="2" t="s">
        <v>2100</v>
      </c>
      <c r="C564" s="2" t="s">
        <v>2101</v>
      </c>
      <c r="D564" s="7" t="s">
        <v>2102</v>
      </c>
      <c r="E564" s="7" t="s">
        <v>48</v>
      </c>
      <c r="F564" s="7" t="s">
        <v>25</v>
      </c>
      <c r="G564" s="5">
        <v>3701</v>
      </c>
      <c r="H564" s="5">
        <v>30</v>
      </c>
      <c r="I564" s="5">
        <v>2591</v>
      </c>
      <c r="J564" s="5">
        <v>3</v>
      </c>
      <c r="K564" s="2">
        <v>44</v>
      </c>
      <c r="L564" s="7" t="s">
        <v>49</v>
      </c>
      <c r="M564" s="4">
        <v>5</v>
      </c>
      <c r="N564" s="5">
        <v>229</v>
      </c>
      <c r="O564" s="3">
        <v>45811</v>
      </c>
      <c r="P564" s="7" t="s">
        <v>2392</v>
      </c>
      <c r="Q564" s="7" t="s">
        <v>29</v>
      </c>
      <c r="R564" s="7" t="s">
        <v>110</v>
      </c>
      <c r="S564" s="7" t="s">
        <v>111</v>
      </c>
      <c r="T564" s="7"/>
      <c r="U564" s="11">
        <f t="shared" si="32"/>
        <v>11103</v>
      </c>
      <c r="V564" s="11">
        <f t="shared" si="33"/>
        <v>7773</v>
      </c>
      <c r="W564" s="11">
        <f t="shared" si="34"/>
        <v>3330</v>
      </c>
      <c r="X564" t="str">
        <f t="shared" si="35"/>
        <v>Cancelled</v>
      </c>
    </row>
    <row r="565" spans="1:24" ht="12.5" x14ac:dyDescent="0.25">
      <c r="A565" s="2" t="s">
        <v>2103</v>
      </c>
      <c r="B565" s="2" t="s">
        <v>1425</v>
      </c>
      <c r="C565" s="2" t="s">
        <v>2104</v>
      </c>
      <c r="D565" s="7" t="s">
        <v>2105</v>
      </c>
      <c r="E565" s="7" t="s">
        <v>122</v>
      </c>
      <c r="F565" s="7" t="s">
        <v>123</v>
      </c>
      <c r="G565" s="5">
        <v>4433</v>
      </c>
      <c r="H565" s="5">
        <v>35</v>
      </c>
      <c r="I565" s="5">
        <v>2882</v>
      </c>
      <c r="J565" s="5">
        <v>3</v>
      </c>
      <c r="K565" s="2" t="s">
        <v>26</v>
      </c>
      <c r="L565" s="7" t="s">
        <v>168</v>
      </c>
      <c r="M565" s="4">
        <v>4.3</v>
      </c>
      <c r="N565" s="5">
        <v>227</v>
      </c>
      <c r="O565" s="3">
        <v>45817</v>
      </c>
      <c r="P565" s="7" t="s">
        <v>2390</v>
      </c>
      <c r="Q565" s="7" t="s">
        <v>29</v>
      </c>
      <c r="R565" s="7" t="s">
        <v>66</v>
      </c>
      <c r="S565" s="7" t="s">
        <v>67</v>
      </c>
      <c r="T565" s="7"/>
      <c r="U565" s="11">
        <f t="shared" si="32"/>
        <v>13299</v>
      </c>
      <c r="V565" s="11">
        <f t="shared" si="33"/>
        <v>8646</v>
      </c>
      <c r="W565" s="11">
        <f t="shared" si="34"/>
        <v>4653</v>
      </c>
      <c r="X565" t="str">
        <f t="shared" si="35"/>
        <v>Completed</v>
      </c>
    </row>
    <row r="566" spans="1:24" ht="12.5" x14ac:dyDescent="0.25">
      <c r="A566" s="2" t="s">
        <v>2106</v>
      </c>
      <c r="B566" s="2" t="s">
        <v>1901</v>
      </c>
      <c r="C566" s="2" t="s">
        <v>2107</v>
      </c>
      <c r="D566" s="7" t="s">
        <v>2108</v>
      </c>
      <c r="E566" s="7" t="s">
        <v>116</v>
      </c>
      <c r="F566" s="7" t="s">
        <v>117</v>
      </c>
      <c r="G566" s="5">
        <v>3761</v>
      </c>
      <c r="H566" s="5">
        <v>30</v>
      </c>
      <c r="I566" s="5">
        <v>2633</v>
      </c>
      <c r="J566" s="5">
        <v>1</v>
      </c>
      <c r="K566" s="2" t="s">
        <v>163</v>
      </c>
      <c r="L566" s="7" t="s">
        <v>88</v>
      </c>
      <c r="M566" s="4">
        <v>4.2</v>
      </c>
      <c r="N566" s="5">
        <v>200</v>
      </c>
      <c r="O566" s="3">
        <v>45826</v>
      </c>
      <c r="P566" s="7" t="s">
        <v>2392</v>
      </c>
      <c r="Q566" s="7" t="s">
        <v>29</v>
      </c>
      <c r="R566" s="7" t="s">
        <v>58</v>
      </c>
      <c r="S566" s="7" t="s">
        <v>59</v>
      </c>
      <c r="T566" s="7"/>
      <c r="U566" s="11">
        <f t="shared" si="32"/>
        <v>3761</v>
      </c>
      <c r="V566" s="11">
        <f t="shared" si="33"/>
        <v>2633</v>
      </c>
      <c r="W566" s="11">
        <f t="shared" si="34"/>
        <v>1128</v>
      </c>
      <c r="X566" t="str">
        <f t="shared" si="35"/>
        <v>Cancelled</v>
      </c>
    </row>
    <row r="567" spans="1:24" ht="12.5" x14ac:dyDescent="0.25">
      <c r="A567" s="2" t="s">
        <v>2109</v>
      </c>
      <c r="B567" s="2" t="s">
        <v>981</v>
      </c>
      <c r="C567" s="2" t="s">
        <v>2110</v>
      </c>
      <c r="D567" s="7" t="s">
        <v>2111</v>
      </c>
      <c r="E567" s="7" t="s">
        <v>122</v>
      </c>
      <c r="F567" s="7" t="s">
        <v>123</v>
      </c>
      <c r="G567" s="5">
        <v>3694</v>
      </c>
      <c r="H567" s="5">
        <v>15</v>
      </c>
      <c r="I567" s="5">
        <v>3140</v>
      </c>
      <c r="J567" s="5">
        <v>2</v>
      </c>
      <c r="K567" s="2" t="s">
        <v>163</v>
      </c>
      <c r="L567" s="7" t="s">
        <v>209</v>
      </c>
      <c r="M567" s="4">
        <v>3.6</v>
      </c>
      <c r="N567" s="5">
        <v>85</v>
      </c>
      <c r="O567" s="3">
        <v>45821</v>
      </c>
      <c r="P567" s="7" t="s">
        <v>2391</v>
      </c>
      <c r="Q567" s="7" t="s">
        <v>78</v>
      </c>
      <c r="R567" s="7" t="s">
        <v>149</v>
      </c>
      <c r="S567" s="7" t="s">
        <v>150</v>
      </c>
      <c r="T567" s="7" t="s">
        <v>43</v>
      </c>
      <c r="U567" s="11">
        <f t="shared" si="32"/>
        <v>7388</v>
      </c>
      <c r="V567" s="11">
        <f t="shared" si="33"/>
        <v>6280</v>
      </c>
      <c r="W567" s="11">
        <f t="shared" si="34"/>
        <v>1108</v>
      </c>
      <c r="X567" t="str">
        <f t="shared" si="35"/>
        <v>Returned</v>
      </c>
    </row>
    <row r="568" spans="1:24" ht="12.5" x14ac:dyDescent="0.25">
      <c r="A568" s="2" t="s">
        <v>2112</v>
      </c>
      <c r="B568" s="2" t="s">
        <v>2100</v>
      </c>
      <c r="C568" s="2" t="s">
        <v>2113</v>
      </c>
      <c r="D568" s="7" t="s">
        <v>2114</v>
      </c>
      <c r="E568" s="7" t="s">
        <v>37</v>
      </c>
      <c r="F568" s="7" t="s">
        <v>38</v>
      </c>
      <c r="G568" s="5">
        <v>4621</v>
      </c>
      <c r="H568" s="5">
        <v>10</v>
      </c>
      <c r="I568" s="5">
        <v>4159</v>
      </c>
      <c r="J568" s="5">
        <v>1</v>
      </c>
      <c r="K568" s="2" t="s">
        <v>26</v>
      </c>
      <c r="L568" s="7" t="s">
        <v>73</v>
      </c>
      <c r="M568" s="4">
        <v>3.9</v>
      </c>
      <c r="N568" s="5">
        <v>260</v>
      </c>
      <c r="O568" s="3">
        <v>45820</v>
      </c>
      <c r="P568" s="7" t="s">
        <v>2391</v>
      </c>
      <c r="Q568" s="7" t="s">
        <v>29</v>
      </c>
      <c r="R568" s="7" t="s">
        <v>41</v>
      </c>
      <c r="S568" s="7" t="s">
        <v>42</v>
      </c>
      <c r="T568" s="7" t="s">
        <v>203</v>
      </c>
      <c r="U568" s="11">
        <f t="shared" si="32"/>
        <v>4621</v>
      </c>
      <c r="V568" s="11">
        <f t="shared" si="33"/>
        <v>4159</v>
      </c>
      <c r="W568" s="11">
        <f t="shared" si="34"/>
        <v>462</v>
      </c>
      <c r="X568" t="str">
        <f t="shared" si="35"/>
        <v>Returned</v>
      </c>
    </row>
    <row r="569" spans="1:24" ht="12.5" x14ac:dyDescent="0.25">
      <c r="A569" s="2" t="s">
        <v>2115</v>
      </c>
      <c r="B569" s="2" t="s">
        <v>2116</v>
      </c>
      <c r="C569" s="2" t="s">
        <v>2117</v>
      </c>
      <c r="D569" s="7" t="s">
        <v>2118</v>
      </c>
      <c r="E569" s="7" t="s">
        <v>24</v>
      </c>
      <c r="F569" s="7" t="s">
        <v>25</v>
      </c>
      <c r="G569" s="5">
        <v>4720</v>
      </c>
      <c r="H569" s="5">
        <v>10</v>
      </c>
      <c r="I569" s="5">
        <v>4248</v>
      </c>
      <c r="J569" s="5">
        <v>1</v>
      </c>
      <c r="K569" s="2" t="s">
        <v>32</v>
      </c>
      <c r="L569" s="7" t="s">
        <v>133</v>
      </c>
      <c r="M569" s="4">
        <v>4.5999999999999996</v>
      </c>
      <c r="N569" s="5">
        <v>290</v>
      </c>
      <c r="O569" s="3">
        <v>45834</v>
      </c>
      <c r="P569" s="7" t="s">
        <v>2391</v>
      </c>
      <c r="Q569" s="7" t="s">
        <v>29</v>
      </c>
      <c r="R569" s="7" t="s">
        <v>149</v>
      </c>
      <c r="S569" s="7" t="s">
        <v>150</v>
      </c>
      <c r="T569" s="7" t="s">
        <v>203</v>
      </c>
      <c r="U569" s="11">
        <f t="shared" si="32"/>
        <v>4720</v>
      </c>
      <c r="V569" s="11">
        <f t="shared" si="33"/>
        <v>4248</v>
      </c>
      <c r="W569" s="11">
        <f t="shared" si="34"/>
        <v>472</v>
      </c>
      <c r="X569" t="str">
        <f t="shared" si="35"/>
        <v>Returned</v>
      </c>
    </row>
    <row r="570" spans="1:24" ht="12.5" x14ac:dyDescent="0.25">
      <c r="A570" s="2" t="s">
        <v>2119</v>
      </c>
      <c r="B570" s="2" t="s">
        <v>2120</v>
      </c>
      <c r="C570" s="2" t="s">
        <v>2121</v>
      </c>
      <c r="D570" s="7" t="s">
        <v>2122</v>
      </c>
      <c r="E570" s="7" t="s">
        <v>55</v>
      </c>
      <c r="F570" s="7" t="s">
        <v>38</v>
      </c>
      <c r="G570" s="5">
        <v>1535</v>
      </c>
      <c r="H570" s="5">
        <v>40</v>
      </c>
      <c r="I570" s="5">
        <v>921</v>
      </c>
      <c r="J570" s="5">
        <v>3</v>
      </c>
      <c r="K570" s="2">
        <v>42</v>
      </c>
      <c r="L570" s="7" t="s">
        <v>209</v>
      </c>
      <c r="M570" s="4">
        <v>3.9</v>
      </c>
      <c r="N570" s="5">
        <v>44</v>
      </c>
      <c r="O570" s="3">
        <v>45826</v>
      </c>
      <c r="P570" s="7" t="s">
        <v>2390</v>
      </c>
      <c r="Q570" s="7" t="s">
        <v>65</v>
      </c>
      <c r="R570" s="7" t="s">
        <v>66</v>
      </c>
      <c r="S570" s="7" t="s">
        <v>67</v>
      </c>
      <c r="T570" s="7"/>
      <c r="U570" s="11">
        <f t="shared" si="32"/>
        <v>4605</v>
      </c>
      <c r="V570" s="11">
        <f t="shared" si="33"/>
        <v>2763</v>
      </c>
      <c r="W570" s="11">
        <f t="shared" si="34"/>
        <v>1842</v>
      </c>
      <c r="X570" t="str">
        <f t="shared" si="35"/>
        <v>Completed</v>
      </c>
    </row>
    <row r="571" spans="1:24" ht="12.5" x14ac:dyDescent="0.25">
      <c r="A571" s="2" t="s">
        <v>2123</v>
      </c>
      <c r="B571" s="2" t="s">
        <v>1961</v>
      </c>
      <c r="C571" s="2" t="s">
        <v>2124</v>
      </c>
      <c r="D571" s="7" t="s">
        <v>2125</v>
      </c>
      <c r="E571" s="7" t="s">
        <v>37</v>
      </c>
      <c r="F571" s="7" t="s">
        <v>38</v>
      </c>
      <c r="G571" s="5">
        <v>4823</v>
      </c>
      <c r="H571" s="5">
        <v>10</v>
      </c>
      <c r="I571" s="5">
        <v>4341</v>
      </c>
      <c r="J571" s="5">
        <v>3</v>
      </c>
      <c r="K571" s="2" t="s">
        <v>72</v>
      </c>
      <c r="L571" s="7" t="s">
        <v>49</v>
      </c>
      <c r="M571" s="4">
        <v>3.6</v>
      </c>
      <c r="N571" s="5">
        <v>161</v>
      </c>
      <c r="O571" s="3">
        <v>45770</v>
      </c>
      <c r="P571" s="7" t="s">
        <v>2391</v>
      </c>
      <c r="Q571" s="7" t="s">
        <v>78</v>
      </c>
      <c r="R571" s="7" t="s">
        <v>110</v>
      </c>
      <c r="S571" s="7" t="s">
        <v>111</v>
      </c>
      <c r="T571" s="7" t="s">
        <v>203</v>
      </c>
      <c r="U571" s="11">
        <f t="shared" si="32"/>
        <v>14469</v>
      </c>
      <c r="V571" s="11">
        <f t="shared" si="33"/>
        <v>13023</v>
      </c>
      <c r="W571" s="11">
        <f t="shared" si="34"/>
        <v>1446</v>
      </c>
      <c r="X571" t="str">
        <f t="shared" si="35"/>
        <v>Returned</v>
      </c>
    </row>
    <row r="572" spans="1:24" ht="12.5" x14ac:dyDescent="0.25">
      <c r="A572" s="2" t="s">
        <v>2126</v>
      </c>
      <c r="B572" s="2" t="s">
        <v>2127</v>
      </c>
      <c r="C572" s="2" t="s">
        <v>2128</v>
      </c>
      <c r="D572" s="7" t="s">
        <v>2129</v>
      </c>
      <c r="E572" s="7" t="s">
        <v>122</v>
      </c>
      <c r="F572" s="7" t="s">
        <v>123</v>
      </c>
      <c r="G572" s="5">
        <v>3718</v>
      </c>
      <c r="H572" s="5">
        <v>35</v>
      </c>
      <c r="I572" s="5">
        <v>2417</v>
      </c>
      <c r="J572" s="5">
        <v>1</v>
      </c>
      <c r="K572" s="2" t="s">
        <v>56</v>
      </c>
      <c r="L572" s="7" t="s">
        <v>27</v>
      </c>
      <c r="M572" s="4">
        <v>4.2</v>
      </c>
      <c r="N572" s="5">
        <v>37</v>
      </c>
      <c r="O572" s="3">
        <v>45840</v>
      </c>
      <c r="P572" s="7" t="s">
        <v>2390</v>
      </c>
      <c r="Q572" s="7" t="s">
        <v>78</v>
      </c>
      <c r="R572" s="7" t="s">
        <v>89</v>
      </c>
      <c r="S572" s="7" t="s">
        <v>90</v>
      </c>
      <c r="T572" s="7"/>
      <c r="U572" s="11">
        <f t="shared" si="32"/>
        <v>3718</v>
      </c>
      <c r="V572" s="11">
        <f t="shared" si="33"/>
        <v>2417</v>
      </c>
      <c r="W572" s="11">
        <f t="shared" si="34"/>
        <v>1301</v>
      </c>
      <c r="X572" t="str">
        <f t="shared" si="35"/>
        <v>Completed</v>
      </c>
    </row>
    <row r="573" spans="1:24" ht="12.5" x14ac:dyDescent="0.25">
      <c r="A573" s="2" t="s">
        <v>2130</v>
      </c>
      <c r="B573" s="2" t="s">
        <v>2131</v>
      </c>
      <c r="C573" s="2" t="s">
        <v>2007</v>
      </c>
      <c r="D573" s="7" t="s">
        <v>2132</v>
      </c>
      <c r="E573" s="7" t="s">
        <v>132</v>
      </c>
      <c r="F573" s="7" t="s">
        <v>38</v>
      </c>
      <c r="G573" s="5">
        <v>1350</v>
      </c>
      <c r="H573" s="5">
        <v>15</v>
      </c>
      <c r="I573" s="5">
        <v>1148</v>
      </c>
      <c r="J573" s="5">
        <v>3</v>
      </c>
      <c r="K573" s="2">
        <v>42</v>
      </c>
      <c r="L573" s="7" t="s">
        <v>39</v>
      </c>
      <c r="M573" s="4">
        <v>3.7</v>
      </c>
      <c r="N573" s="5">
        <v>248</v>
      </c>
      <c r="O573" s="3">
        <v>45837</v>
      </c>
      <c r="P573" s="7" t="s">
        <v>2390</v>
      </c>
      <c r="Q573" s="7" t="s">
        <v>65</v>
      </c>
      <c r="R573" s="7" t="s">
        <v>83</v>
      </c>
      <c r="S573" s="7" t="s">
        <v>83</v>
      </c>
      <c r="T573" s="7"/>
      <c r="U573" s="11">
        <f t="shared" si="32"/>
        <v>4050</v>
      </c>
      <c r="V573" s="11">
        <f t="shared" si="33"/>
        <v>3444</v>
      </c>
      <c r="W573" s="11">
        <f t="shared" si="34"/>
        <v>606</v>
      </c>
      <c r="X573" t="str">
        <f t="shared" si="35"/>
        <v>Completed</v>
      </c>
    </row>
    <row r="574" spans="1:24" ht="12.5" x14ac:dyDescent="0.25">
      <c r="A574" s="2" t="s">
        <v>2133</v>
      </c>
      <c r="B574" s="2" t="s">
        <v>2134</v>
      </c>
      <c r="C574" s="2" t="s">
        <v>2135</v>
      </c>
      <c r="D574" s="7" t="s">
        <v>2136</v>
      </c>
      <c r="E574" s="7" t="s">
        <v>24</v>
      </c>
      <c r="F574" s="7" t="s">
        <v>25</v>
      </c>
      <c r="G574" s="5">
        <v>4562</v>
      </c>
      <c r="H574" s="5">
        <v>15</v>
      </c>
      <c r="I574" s="5">
        <v>3878</v>
      </c>
      <c r="J574" s="5">
        <v>2</v>
      </c>
      <c r="K574" s="2" t="s">
        <v>226</v>
      </c>
      <c r="L574" s="7" t="s">
        <v>73</v>
      </c>
      <c r="M574" s="4">
        <v>3.7</v>
      </c>
      <c r="N574" s="5">
        <v>150</v>
      </c>
      <c r="O574" s="3">
        <v>45856</v>
      </c>
      <c r="P574" s="7" t="s">
        <v>2390</v>
      </c>
      <c r="Q574" s="7" t="s">
        <v>29</v>
      </c>
      <c r="R574" s="7" t="s">
        <v>83</v>
      </c>
      <c r="S574" s="7" t="s">
        <v>83</v>
      </c>
      <c r="T574" s="7"/>
      <c r="U574" s="11">
        <f t="shared" si="32"/>
        <v>9124</v>
      </c>
      <c r="V574" s="11">
        <f t="shared" si="33"/>
        <v>7756</v>
      </c>
      <c r="W574" s="11">
        <f t="shared" si="34"/>
        <v>1368</v>
      </c>
      <c r="X574" t="str">
        <f t="shared" si="35"/>
        <v>Completed</v>
      </c>
    </row>
    <row r="575" spans="1:24" ht="12.5" x14ac:dyDescent="0.25">
      <c r="A575" s="2" t="s">
        <v>2137</v>
      </c>
      <c r="B575" s="2" t="s">
        <v>880</v>
      </c>
      <c r="C575" s="2" t="s">
        <v>2138</v>
      </c>
      <c r="D575" s="7" t="s">
        <v>2139</v>
      </c>
      <c r="E575" s="7" t="s">
        <v>208</v>
      </c>
      <c r="F575" s="7" t="s">
        <v>117</v>
      </c>
      <c r="G575" s="5">
        <v>4638</v>
      </c>
      <c r="H575" s="5">
        <v>15</v>
      </c>
      <c r="I575" s="5">
        <v>3943</v>
      </c>
      <c r="J575" s="5">
        <v>3</v>
      </c>
      <c r="K575" s="2" t="s">
        <v>261</v>
      </c>
      <c r="L575" s="7" t="s">
        <v>73</v>
      </c>
      <c r="M575" s="4">
        <v>5</v>
      </c>
      <c r="N575" s="5">
        <v>171</v>
      </c>
      <c r="O575" s="3">
        <v>45846</v>
      </c>
      <c r="P575" s="7" t="s">
        <v>2391</v>
      </c>
      <c r="Q575" s="7" t="s">
        <v>78</v>
      </c>
      <c r="R575" s="7" t="s">
        <v>30</v>
      </c>
      <c r="S575" s="7" t="s">
        <v>31</v>
      </c>
      <c r="T575" s="7"/>
      <c r="U575" s="11">
        <f t="shared" si="32"/>
        <v>13914</v>
      </c>
      <c r="V575" s="11">
        <f t="shared" si="33"/>
        <v>11829</v>
      </c>
      <c r="W575" s="11">
        <f t="shared" si="34"/>
        <v>2085</v>
      </c>
      <c r="X575" t="str">
        <f t="shared" si="35"/>
        <v>Returned</v>
      </c>
    </row>
    <row r="576" spans="1:24" ht="12.5" x14ac:dyDescent="0.25">
      <c r="A576" s="2" t="s">
        <v>2140</v>
      </c>
      <c r="B576" s="2" t="s">
        <v>909</v>
      </c>
      <c r="C576" s="2" t="s">
        <v>2141</v>
      </c>
      <c r="D576" s="7" t="s">
        <v>2142</v>
      </c>
      <c r="E576" s="7" t="s">
        <v>55</v>
      </c>
      <c r="F576" s="7" t="s">
        <v>38</v>
      </c>
      <c r="G576" s="5">
        <v>4764</v>
      </c>
      <c r="H576" s="5">
        <v>40</v>
      </c>
      <c r="I576" s="5">
        <v>2859</v>
      </c>
      <c r="J576" s="5">
        <v>3</v>
      </c>
      <c r="K576" s="2" t="s">
        <v>261</v>
      </c>
      <c r="L576" s="7" t="s">
        <v>27</v>
      </c>
      <c r="M576" s="4">
        <v>4.2</v>
      </c>
      <c r="N576" s="5">
        <v>207</v>
      </c>
      <c r="O576" s="3">
        <v>45814</v>
      </c>
      <c r="P576" s="7" t="s">
        <v>2392</v>
      </c>
      <c r="Q576" s="7" t="s">
        <v>78</v>
      </c>
      <c r="R576" s="7" t="s">
        <v>149</v>
      </c>
      <c r="S576" s="7" t="s">
        <v>150</v>
      </c>
      <c r="T576" s="7"/>
      <c r="U576" s="11">
        <f t="shared" si="32"/>
        <v>14292</v>
      </c>
      <c r="V576" s="11">
        <f t="shared" si="33"/>
        <v>8577</v>
      </c>
      <c r="W576" s="11">
        <f t="shared" si="34"/>
        <v>5715</v>
      </c>
      <c r="X576" t="str">
        <f t="shared" si="35"/>
        <v>Cancelled</v>
      </c>
    </row>
    <row r="577" spans="1:24" ht="12.5" x14ac:dyDescent="0.25">
      <c r="A577" s="2" t="s">
        <v>2143</v>
      </c>
      <c r="B577" s="2" t="s">
        <v>349</v>
      </c>
      <c r="C577" s="2" t="s">
        <v>2144</v>
      </c>
      <c r="D577" s="7" t="s">
        <v>2145</v>
      </c>
      <c r="E577" s="7" t="s">
        <v>48</v>
      </c>
      <c r="F577" s="7" t="s">
        <v>25</v>
      </c>
      <c r="G577" s="5">
        <v>4125</v>
      </c>
      <c r="H577" s="5">
        <v>40</v>
      </c>
      <c r="I577" s="5">
        <v>2475</v>
      </c>
      <c r="J577" s="5">
        <v>3</v>
      </c>
      <c r="K577" s="2">
        <v>44</v>
      </c>
      <c r="L577" s="7" t="s">
        <v>39</v>
      </c>
      <c r="M577" s="4">
        <v>4.8</v>
      </c>
      <c r="N577" s="5">
        <v>136</v>
      </c>
      <c r="O577" s="3">
        <v>45849</v>
      </c>
      <c r="P577" s="7" t="s">
        <v>2392</v>
      </c>
      <c r="Q577" s="7" t="s">
        <v>78</v>
      </c>
      <c r="R577" s="7" t="s">
        <v>83</v>
      </c>
      <c r="S577" s="7" t="s">
        <v>83</v>
      </c>
      <c r="T577" s="7"/>
      <c r="U577" s="11">
        <f t="shared" si="32"/>
        <v>12375</v>
      </c>
      <c r="V577" s="11">
        <f t="shared" si="33"/>
        <v>7425</v>
      </c>
      <c r="W577" s="11">
        <f t="shared" si="34"/>
        <v>4950</v>
      </c>
      <c r="X577" t="str">
        <f t="shared" si="35"/>
        <v>Cancelled</v>
      </c>
    </row>
    <row r="578" spans="1:24" ht="12.5" x14ac:dyDescent="0.25">
      <c r="A578" s="2" t="s">
        <v>2146</v>
      </c>
      <c r="B578" s="2" t="s">
        <v>1803</v>
      </c>
      <c r="C578" s="2" t="s">
        <v>2147</v>
      </c>
      <c r="D578" s="7" t="s">
        <v>2148</v>
      </c>
      <c r="E578" s="7" t="s">
        <v>122</v>
      </c>
      <c r="F578" s="7" t="s">
        <v>123</v>
      </c>
      <c r="G578" s="5">
        <v>4779</v>
      </c>
      <c r="H578" s="5">
        <v>25</v>
      </c>
      <c r="I578" s="5">
        <v>3585</v>
      </c>
      <c r="J578" s="5">
        <v>1</v>
      </c>
      <c r="K578" s="2">
        <v>40</v>
      </c>
      <c r="L578" s="7" t="s">
        <v>64</v>
      </c>
      <c r="M578" s="4">
        <v>4.9000000000000004</v>
      </c>
      <c r="N578" s="5">
        <v>186</v>
      </c>
      <c r="O578" s="3">
        <v>45821</v>
      </c>
      <c r="P578" s="7" t="s">
        <v>2390</v>
      </c>
      <c r="Q578" s="7" t="s">
        <v>78</v>
      </c>
      <c r="R578" s="7" t="s">
        <v>41</v>
      </c>
      <c r="S578" s="7" t="s">
        <v>42</v>
      </c>
      <c r="T578" s="7"/>
      <c r="U578" s="11">
        <f t="shared" ref="U578:U641" si="36">G578*J578</f>
        <v>4779</v>
      </c>
      <c r="V578" s="11">
        <f t="shared" ref="V578:V641" si="37">I578*J578</f>
        <v>3585</v>
      </c>
      <c r="W578" s="11">
        <f t="shared" ref="W578:W641" si="38">(G578-I578)*J578</f>
        <v>1194</v>
      </c>
      <c r="X578" t="str">
        <f t="shared" ref="X578:X641" si="39">IF(P578="DELIVERED","Completed",IF(P578="RETURNED","Returned","Cancelled"))</f>
        <v>Completed</v>
      </c>
    </row>
    <row r="579" spans="1:24" ht="12.5" x14ac:dyDescent="0.25">
      <c r="A579" s="2" t="s">
        <v>2149</v>
      </c>
      <c r="B579" s="2" t="s">
        <v>215</v>
      </c>
      <c r="C579" s="2" t="s">
        <v>2150</v>
      </c>
      <c r="D579" s="7" t="s">
        <v>2151</v>
      </c>
      <c r="E579" s="7" t="s">
        <v>247</v>
      </c>
      <c r="F579" s="7" t="s">
        <v>248</v>
      </c>
      <c r="G579" s="5">
        <v>1379</v>
      </c>
      <c r="H579" s="5">
        <v>15</v>
      </c>
      <c r="I579" s="5">
        <v>1173</v>
      </c>
      <c r="J579" s="5">
        <v>3</v>
      </c>
      <c r="K579" s="2" t="s">
        <v>72</v>
      </c>
      <c r="L579" s="7" t="s">
        <v>88</v>
      </c>
      <c r="M579" s="4">
        <v>4</v>
      </c>
      <c r="N579" s="5">
        <v>63</v>
      </c>
      <c r="O579" s="3">
        <v>45810</v>
      </c>
      <c r="P579" s="7" t="s">
        <v>2391</v>
      </c>
      <c r="Q579" s="7" t="s">
        <v>65</v>
      </c>
      <c r="R579" s="7" t="s">
        <v>83</v>
      </c>
      <c r="S579" s="7" t="s">
        <v>83</v>
      </c>
      <c r="T579" s="7"/>
      <c r="U579" s="11">
        <f t="shared" si="36"/>
        <v>4137</v>
      </c>
      <c r="V579" s="11">
        <f t="shared" si="37"/>
        <v>3519</v>
      </c>
      <c r="W579" s="11">
        <f t="shared" si="38"/>
        <v>618</v>
      </c>
      <c r="X579" t="str">
        <f t="shared" si="39"/>
        <v>Returned</v>
      </c>
    </row>
    <row r="580" spans="1:24" ht="12.5" x14ac:dyDescent="0.25">
      <c r="A580" s="2" t="s">
        <v>2152</v>
      </c>
      <c r="B580" s="2" t="s">
        <v>2153</v>
      </c>
      <c r="C580" s="2" t="s">
        <v>2154</v>
      </c>
      <c r="D580" s="7" t="s">
        <v>2155</v>
      </c>
      <c r="E580" s="7" t="s">
        <v>122</v>
      </c>
      <c r="F580" s="7" t="s">
        <v>123</v>
      </c>
      <c r="G580" s="5">
        <v>3120</v>
      </c>
      <c r="H580" s="5">
        <v>25</v>
      </c>
      <c r="I580" s="5">
        <v>2340</v>
      </c>
      <c r="J580" s="5">
        <v>1</v>
      </c>
      <c r="K580" s="2" t="s">
        <v>226</v>
      </c>
      <c r="L580" s="7" t="s">
        <v>73</v>
      </c>
      <c r="M580" s="4">
        <v>4.8</v>
      </c>
      <c r="N580" s="5">
        <v>252</v>
      </c>
      <c r="O580" s="3">
        <v>45820</v>
      </c>
      <c r="P580" s="7" t="s">
        <v>2392</v>
      </c>
      <c r="Q580" s="7" t="s">
        <v>78</v>
      </c>
      <c r="R580" s="7" t="s">
        <v>104</v>
      </c>
      <c r="S580" s="7" t="s">
        <v>105</v>
      </c>
      <c r="T580" s="7"/>
      <c r="U580" s="11">
        <f t="shared" si="36"/>
        <v>3120</v>
      </c>
      <c r="V580" s="11">
        <f t="shared" si="37"/>
        <v>2340</v>
      </c>
      <c r="W580" s="11">
        <f t="shared" si="38"/>
        <v>780</v>
      </c>
      <c r="X580" t="str">
        <f t="shared" si="39"/>
        <v>Cancelled</v>
      </c>
    </row>
    <row r="581" spans="1:24" ht="12.5" x14ac:dyDescent="0.25">
      <c r="A581" s="2" t="s">
        <v>2156</v>
      </c>
      <c r="B581" s="2" t="s">
        <v>2157</v>
      </c>
      <c r="C581" s="2" t="s">
        <v>2158</v>
      </c>
      <c r="D581" s="7" t="s">
        <v>2159</v>
      </c>
      <c r="E581" s="7" t="s">
        <v>37</v>
      </c>
      <c r="F581" s="7" t="s">
        <v>38</v>
      </c>
      <c r="G581" s="5">
        <v>1003</v>
      </c>
      <c r="H581" s="5">
        <v>35</v>
      </c>
      <c r="I581" s="5">
        <v>652</v>
      </c>
      <c r="J581" s="5">
        <v>2</v>
      </c>
      <c r="K581" s="2" t="s">
        <v>72</v>
      </c>
      <c r="L581" s="7" t="s">
        <v>64</v>
      </c>
      <c r="M581" s="4">
        <v>4.8</v>
      </c>
      <c r="N581" s="5">
        <v>171</v>
      </c>
      <c r="O581" s="3">
        <v>45837</v>
      </c>
      <c r="P581" s="7" t="s">
        <v>2391</v>
      </c>
      <c r="Q581" s="7" t="s">
        <v>78</v>
      </c>
      <c r="R581" s="7" t="s">
        <v>41</v>
      </c>
      <c r="S581" s="7" t="s">
        <v>42</v>
      </c>
      <c r="T581" s="7" t="s">
        <v>50</v>
      </c>
      <c r="U581" s="11">
        <f t="shared" si="36"/>
        <v>2006</v>
      </c>
      <c r="V581" s="11">
        <f t="shared" si="37"/>
        <v>1304</v>
      </c>
      <c r="W581" s="11">
        <f t="shared" si="38"/>
        <v>702</v>
      </c>
      <c r="X581" t="str">
        <f t="shared" si="39"/>
        <v>Returned</v>
      </c>
    </row>
    <row r="582" spans="1:24" ht="12.5" x14ac:dyDescent="0.25">
      <c r="A582" s="2" t="s">
        <v>2160</v>
      </c>
      <c r="B582" s="2" t="s">
        <v>589</v>
      </c>
      <c r="C582" s="2" t="s">
        <v>2161</v>
      </c>
      <c r="D582" s="7" t="s">
        <v>2162</v>
      </c>
      <c r="E582" s="7" t="s">
        <v>122</v>
      </c>
      <c r="F582" s="7" t="s">
        <v>123</v>
      </c>
      <c r="G582" s="5">
        <v>3019</v>
      </c>
      <c r="H582" s="5">
        <v>15</v>
      </c>
      <c r="I582" s="5">
        <v>2567</v>
      </c>
      <c r="J582" s="5">
        <v>2</v>
      </c>
      <c r="K582" s="2" t="s">
        <v>226</v>
      </c>
      <c r="L582" s="7" t="s">
        <v>88</v>
      </c>
      <c r="M582" s="4">
        <v>3.9</v>
      </c>
      <c r="N582" s="5">
        <v>154</v>
      </c>
      <c r="O582" s="3">
        <v>45796</v>
      </c>
      <c r="P582" s="7" t="s">
        <v>2392</v>
      </c>
      <c r="Q582" s="7" t="s">
        <v>65</v>
      </c>
      <c r="R582" s="7" t="s">
        <v>149</v>
      </c>
      <c r="S582" s="7" t="s">
        <v>150</v>
      </c>
      <c r="T582" s="7"/>
      <c r="U582" s="11">
        <f t="shared" si="36"/>
        <v>6038</v>
      </c>
      <c r="V582" s="11">
        <f t="shared" si="37"/>
        <v>5134</v>
      </c>
      <c r="W582" s="11">
        <f t="shared" si="38"/>
        <v>904</v>
      </c>
      <c r="X582" t="str">
        <f t="shared" si="39"/>
        <v>Cancelled</v>
      </c>
    </row>
    <row r="583" spans="1:24" ht="12.5" x14ac:dyDescent="0.25">
      <c r="A583" s="2" t="s">
        <v>2163</v>
      </c>
      <c r="B583" s="2" t="s">
        <v>959</v>
      </c>
      <c r="C583" s="2" t="s">
        <v>2164</v>
      </c>
      <c r="D583" s="7" t="s">
        <v>2165</v>
      </c>
      <c r="E583" s="7" t="s">
        <v>37</v>
      </c>
      <c r="F583" s="7" t="s">
        <v>38</v>
      </c>
      <c r="G583" s="5">
        <v>3113</v>
      </c>
      <c r="H583" s="5">
        <v>25</v>
      </c>
      <c r="I583" s="5">
        <v>2335</v>
      </c>
      <c r="J583" s="5">
        <v>2</v>
      </c>
      <c r="K583" s="2" t="s">
        <v>56</v>
      </c>
      <c r="L583" s="7" t="s">
        <v>209</v>
      </c>
      <c r="M583" s="4">
        <v>3.8</v>
      </c>
      <c r="N583" s="5">
        <v>99</v>
      </c>
      <c r="O583" s="3">
        <v>45827</v>
      </c>
      <c r="P583" s="7" t="s">
        <v>2390</v>
      </c>
      <c r="Q583" s="7" t="s">
        <v>29</v>
      </c>
      <c r="R583" s="7" t="s">
        <v>83</v>
      </c>
      <c r="S583" s="7" t="s">
        <v>83</v>
      </c>
      <c r="T583" s="7"/>
      <c r="U583" s="11">
        <f t="shared" si="36"/>
        <v>6226</v>
      </c>
      <c r="V583" s="11">
        <f t="shared" si="37"/>
        <v>4670</v>
      </c>
      <c r="W583" s="11">
        <f t="shared" si="38"/>
        <v>1556</v>
      </c>
      <c r="X583" t="str">
        <f t="shared" si="39"/>
        <v>Completed</v>
      </c>
    </row>
    <row r="584" spans="1:24" ht="12.5" x14ac:dyDescent="0.25">
      <c r="A584" s="2" t="s">
        <v>2166</v>
      </c>
      <c r="B584" s="2" t="s">
        <v>119</v>
      </c>
      <c r="C584" s="2" t="s">
        <v>2167</v>
      </c>
      <c r="D584" s="7" t="s">
        <v>2168</v>
      </c>
      <c r="E584" s="7" t="s">
        <v>37</v>
      </c>
      <c r="F584" s="7" t="s">
        <v>38</v>
      </c>
      <c r="G584" s="5">
        <v>684</v>
      </c>
      <c r="H584" s="5">
        <v>35</v>
      </c>
      <c r="I584" s="5">
        <v>445</v>
      </c>
      <c r="J584" s="5">
        <v>1</v>
      </c>
      <c r="K584" s="2" t="s">
        <v>226</v>
      </c>
      <c r="L584" s="7" t="s">
        <v>209</v>
      </c>
      <c r="M584" s="4">
        <v>4.4000000000000004</v>
      </c>
      <c r="N584" s="5">
        <v>208</v>
      </c>
      <c r="O584" s="3">
        <v>45786</v>
      </c>
      <c r="P584" s="7" t="s">
        <v>2392</v>
      </c>
      <c r="Q584" s="7" t="s">
        <v>29</v>
      </c>
      <c r="R584" s="7" t="s">
        <v>83</v>
      </c>
      <c r="S584" s="7" t="s">
        <v>83</v>
      </c>
      <c r="T584" s="7"/>
      <c r="U584" s="11">
        <f t="shared" si="36"/>
        <v>684</v>
      </c>
      <c r="V584" s="11">
        <f t="shared" si="37"/>
        <v>445</v>
      </c>
      <c r="W584" s="11">
        <f t="shared" si="38"/>
        <v>239</v>
      </c>
      <c r="X584" t="str">
        <f t="shared" si="39"/>
        <v>Cancelled</v>
      </c>
    </row>
    <row r="585" spans="1:24" ht="12.5" x14ac:dyDescent="0.25">
      <c r="A585" s="2" t="s">
        <v>2169</v>
      </c>
      <c r="B585" s="2" t="s">
        <v>1676</v>
      </c>
      <c r="C585" s="2" t="s">
        <v>2170</v>
      </c>
      <c r="D585" s="7" t="s">
        <v>2171</v>
      </c>
      <c r="E585" s="7" t="s">
        <v>208</v>
      </c>
      <c r="F585" s="7" t="s">
        <v>117</v>
      </c>
      <c r="G585" s="5">
        <v>882</v>
      </c>
      <c r="H585" s="5">
        <v>10</v>
      </c>
      <c r="I585" s="5">
        <v>794</v>
      </c>
      <c r="J585" s="5">
        <v>2</v>
      </c>
      <c r="K585" s="2">
        <v>42</v>
      </c>
      <c r="L585" s="7" t="s">
        <v>73</v>
      </c>
      <c r="M585" s="4">
        <v>4</v>
      </c>
      <c r="N585" s="5">
        <v>51</v>
      </c>
      <c r="O585" s="3">
        <v>45829</v>
      </c>
      <c r="P585" s="7" t="s">
        <v>2392</v>
      </c>
      <c r="Q585" s="7" t="s">
        <v>78</v>
      </c>
      <c r="R585" s="7" t="s">
        <v>149</v>
      </c>
      <c r="S585" s="7" t="s">
        <v>150</v>
      </c>
      <c r="T585" s="7"/>
      <c r="U585" s="11">
        <f t="shared" si="36"/>
        <v>1764</v>
      </c>
      <c r="V585" s="11">
        <f t="shared" si="37"/>
        <v>1588</v>
      </c>
      <c r="W585" s="11">
        <f t="shared" si="38"/>
        <v>176</v>
      </c>
      <c r="X585" t="str">
        <f t="shared" si="39"/>
        <v>Cancelled</v>
      </c>
    </row>
    <row r="586" spans="1:24" ht="12.5" x14ac:dyDescent="0.25">
      <c r="A586" s="2" t="s">
        <v>2172</v>
      </c>
      <c r="B586" s="2" t="s">
        <v>1696</v>
      </c>
      <c r="C586" s="2" t="s">
        <v>1721</v>
      </c>
      <c r="D586" s="7" t="s">
        <v>2173</v>
      </c>
      <c r="E586" s="7" t="s">
        <v>247</v>
      </c>
      <c r="F586" s="7" t="s">
        <v>248</v>
      </c>
      <c r="G586" s="5">
        <v>2671</v>
      </c>
      <c r="H586" s="5">
        <v>35</v>
      </c>
      <c r="I586" s="5">
        <v>1737</v>
      </c>
      <c r="J586" s="5">
        <v>3</v>
      </c>
      <c r="K586" s="2">
        <v>42</v>
      </c>
      <c r="L586" s="7" t="s">
        <v>27</v>
      </c>
      <c r="M586" s="4">
        <v>3.8</v>
      </c>
      <c r="N586" s="5">
        <v>145</v>
      </c>
      <c r="O586" s="3">
        <v>45803</v>
      </c>
      <c r="P586" s="7" t="s">
        <v>2390</v>
      </c>
      <c r="Q586" s="7" t="s">
        <v>78</v>
      </c>
      <c r="R586" s="7" t="s">
        <v>66</v>
      </c>
      <c r="S586" s="7" t="s">
        <v>67</v>
      </c>
      <c r="T586" s="7"/>
      <c r="U586" s="11">
        <f t="shared" si="36"/>
        <v>8013</v>
      </c>
      <c r="V586" s="11">
        <f t="shared" si="37"/>
        <v>5211</v>
      </c>
      <c r="W586" s="11">
        <f t="shared" si="38"/>
        <v>2802</v>
      </c>
      <c r="X586" t="str">
        <f t="shared" si="39"/>
        <v>Completed</v>
      </c>
    </row>
    <row r="587" spans="1:24" ht="12.5" x14ac:dyDescent="0.25">
      <c r="A587" s="2" t="s">
        <v>2174</v>
      </c>
      <c r="B587" s="2" t="s">
        <v>2175</v>
      </c>
      <c r="C587" s="2" t="s">
        <v>2176</v>
      </c>
      <c r="D587" s="7" t="s">
        <v>2177</v>
      </c>
      <c r="E587" s="7" t="s">
        <v>122</v>
      </c>
      <c r="F587" s="7" t="s">
        <v>123</v>
      </c>
      <c r="G587" s="5">
        <v>3643</v>
      </c>
      <c r="H587" s="5">
        <v>40</v>
      </c>
      <c r="I587" s="5">
        <v>2186</v>
      </c>
      <c r="J587" s="5">
        <v>2</v>
      </c>
      <c r="K587" s="2" t="s">
        <v>72</v>
      </c>
      <c r="L587" s="7" t="s">
        <v>64</v>
      </c>
      <c r="M587" s="4">
        <v>4.2</v>
      </c>
      <c r="N587" s="5">
        <v>118</v>
      </c>
      <c r="O587" s="3">
        <v>45821</v>
      </c>
      <c r="P587" s="7" t="s">
        <v>2390</v>
      </c>
      <c r="Q587" s="7" t="s">
        <v>78</v>
      </c>
      <c r="R587" s="7" t="s">
        <v>30</v>
      </c>
      <c r="S587" s="7" t="s">
        <v>31</v>
      </c>
      <c r="T587" s="7"/>
      <c r="U587" s="11">
        <f t="shared" si="36"/>
        <v>7286</v>
      </c>
      <c r="V587" s="11">
        <f t="shared" si="37"/>
        <v>4372</v>
      </c>
      <c r="W587" s="11">
        <f t="shared" si="38"/>
        <v>2914</v>
      </c>
      <c r="X587" t="str">
        <f t="shared" si="39"/>
        <v>Completed</v>
      </c>
    </row>
    <row r="588" spans="1:24" ht="12.5" x14ac:dyDescent="0.25">
      <c r="A588" s="2" t="s">
        <v>2178</v>
      </c>
      <c r="B588" s="2" t="s">
        <v>802</v>
      </c>
      <c r="C588" s="2" t="s">
        <v>2179</v>
      </c>
      <c r="D588" s="7" t="s">
        <v>2180</v>
      </c>
      <c r="E588" s="7" t="s">
        <v>132</v>
      </c>
      <c r="F588" s="7" t="s">
        <v>38</v>
      </c>
      <c r="G588" s="5">
        <v>2378</v>
      </c>
      <c r="H588" s="5">
        <v>15</v>
      </c>
      <c r="I588" s="5">
        <v>2022</v>
      </c>
      <c r="J588" s="5">
        <v>2</v>
      </c>
      <c r="K588" s="2" t="s">
        <v>32</v>
      </c>
      <c r="L588" s="7" t="s">
        <v>88</v>
      </c>
      <c r="M588" s="4">
        <v>4.5999999999999996</v>
      </c>
      <c r="N588" s="5">
        <v>17</v>
      </c>
      <c r="O588" s="3">
        <v>45821</v>
      </c>
      <c r="P588" s="7" t="s">
        <v>2392</v>
      </c>
      <c r="Q588" s="7" t="s">
        <v>29</v>
      </c>
      <c r="R588" s="7" t="s">
        <v>30</v>
      </c>
      <c r="S588" s="7" t="s">
        <v>31</v>
      </c>
      <c r="T588" s="7"/>
      <c r="U588" s="11">
        <f t="shared" si="36"/>
        <v>4756</v>
      </c>
      <c r="V588" s="11">
        <f t="shared" si="37"/>
        <v>4044</v>
      </c>
      <c r="W588" s="11">
        <f t="shared" si="38"/>
        <v>712</v>
      </c>
      <c r="X588" t="str">
        <f t="shared" si="39"/>
        <v>Cancelled</v>
      </c>
    </row>
    <row r="589" spans="1:24" ht="12.5" x14ac:dyDescent="0.25">
      <c r="A589" s="2" t="s">
        <v>2181</v>
      </c>
      <c r="B589" s="2" t="s">
        <v>1385</v>
      </c>
      <c r="C589" s="2" t="s">
        <v>2182</v>
      </c>
      <c r="D589" s="7" t="s">
        <v>2183</v>
      </c>
      <c r="E589" s="7" t="s">
        <v>208</v>
      </c>
      <c r="F589" s="7" t="s">
        <v>117</v>
      </c>
      <c r="G589" s="5">
        <v>1802</v>
      </c>
      <c r="H589" s="5">
        <v>15</v>
      </c>
      <c r="I589" s="5">
        <v>1532</v>
      </c>
      <c r="J589" s="5">
        <v>3</v>
      </c>
      <c r="K589" s="2">
        <v>42</v>
      </c>
      <c r="L589" s="7" t="s">
        <v>168</v>
      </c>
      <c r="M589" s="4">
        <v>4.3</v>
      </c>
      <c r="N589" s="5">
        <v>110</v>
      </c>
      <c r="O589" s="3">
        <v>45842</v>
      </c>
      <c r="P589" s="7" t="s">
        <v>2390</v>
      </c>
      <c r="Q589" s="7" t="s">
        <v>29</v>
      </c>
      <c r="R589" s="7" t="s">
        <v>66</v>
      </c>
      <c r="S589" s="7" t="s">
        <v>67</v>
      </c>
      <c r="T589" s="7"/>
      <c r="U589" s="11">
        <f t="shared" si="36"/>
        <v>5406</v>
      </c>
      <c r="V589" s="11">
        <f t="shared" si="37"/>
        <v>4596</v>
      </c>
      <c r="W589" s="11">
        <f t="shared" si="38"/>
        <v>810</v>
      </c>
      <c r="X589" t="str">
        <f t="shared" si="39"/>
        <v>Completed</v>
      </c>
    </row>
    <row r="590" spans="1:24" ht="12.5" x14ac:dyDescent="0.25">
      <c r="A590" s="2" t="s">
        <v>2184</v>
      </c>
      <c r="B590" s="2" t="s">
        <v>2185</v>
      </c>
      <c r="C590" s="2" t="s">
        <v>2186</v>
      </c>
      <c r="D590" s="7" t="s">
        <v>2187</v>
      </c>
      <c r="E590" s="7" t="s">
        <v>132</v>
      </c>
      <c r="F590" s="7" t="s">
        <v>38</v>
      </c>
      <c r="G590" s="5">
        <v>2904</v>
      </c>
      <c r="H590" s="5">
        <v>40</v>
      </c>
      <c r="I590" s="5">
        <v>1743</v>
      </c>
      <c r="J590" s="5">
        <v>3</v>
      </c>
      <c r="K590" s="2">
        <v>42</v>
      </c>
      <c r="L590" s="7" t="s">
        <v>133</v>
      </c>
      <c r="M590" s="4">
        <v>3.9</v>
      </c>
      <c r="N590" s="5">
        <v>264</v>
      </c>
      <c r="O590" s="3">
        <v>45794</v>
      </c>
      <c r="P590" s="7" t="s">
        <v>2390</v>
      </c>
      <c r="Q590" s="7" t="s">
        <v>65</v>
      </c>
      <c r="R590" s="7" t="s">
        <v>89</v>
      </c>
      <c r="S590" s="7" t="s">
        <v>90</v>
      </c>
      <c r="T590" s="7"/>
      <c r="U590" s="11">
        <f t="shared" si="36"/>
        <v>8712</v>
      </c>
      <c r="V590" s="11">
        <f t="shared" si="37"/>
        <v>5229</v>
      </c>
      <c r="W590" s="11">
        <f t="shared" si="38"/>
        <v>3483</v>
      </c>
      <c r="X590" t="str">
        <f t="shared" si="39"/>
        <v>Completed</v>
      </c>
    </row>
    <row r="591" spans="1:24" ht="12.5" x14ac:dyDescent="0.25">
      <c r="A591" s="2" t="s">
        <v>2188</v>
      </c>
      <c r="B591" s="2" t="s">
        <v>2093</v>
      </c>
      <c r="C591" s="2" t="s">
        <v>2189</v>
      </c>
      <c r="D591" s="7" t="s">
        <v>2190</v>
      </c>
      <c r="E591" s="7" t="s">
        <v>132</v>
      </c>
      <c r="F591" s="7" t="s">
        <v>38</v>
      </c>
      <c r="G591" s="5">
        <v>1846</v>
      </c>
      <c r="H591" s="5">
        <v>25</v>
      </c>
      <c r="I591" s="5">
        <v>1385</v>
      </c>
      <c r="J591" s="5">
        <v>2</v>
      </c>
      <c r="K591" s="2" t="s">
        <v>26</v>
      </c>
      <c r="L591" s="7" t="s">
        <v>133</v>
      </c>
      <c r="M591" s="4">
        <v>4.5999999999999996</v>
      </c>
      <c r="N591" s="5">
        <v>285</v>
      </c>
      <c r="O591" s="3">
        <v>45784</v>
      </c>
      <c r="P591" s="7" t="s">
        <v>2390</v>
      </c>
      <c r="Q591" s="7" t="s">
        <v>78</v>
      </c>
      <c r="R591" s="7" t="s">
        <v>149</v>
      </c>
      <c r="S591" s="7" t="s">
        <v>150</v>
      </c>
      <c r="T591" s="7"/>
      <c r="U591" s="11">
        <f t="shared" si="36"/>
        <v>3692</v>
      </c>
      <c r="V591" s="11">
        <f t="shared" si="37"/>
        <v>2770</v>
      </c>
      <c r="W591" s="11">
        <f t="shared" si="38"/>
        <v>922</v>
      </c>
      <c r="X591" t="str">
        <f t="shared" si="39"/>
        <v>Completed</v>
      </c>
    </row>
    <row r="592" spans="1:24" ht="12.5" x14ac:dyDescent="0.25">
      <c r="A592" s="2" t="s">
        <v>2191</v>
      </c>
      <c r="B592" s="2" t="s">
        <v>1516</v>
      </c>
      <c r="C592" s="2" t="s">
        <v>2192</v>
      </c>
      <c r="D592" s="7" t="s">
        <v>2193</v>
      </c>
      <c r="E592" s="7" t="s">
        <v>116</v>
      </c>
      <c r="F592" s="7" t="s">
        <v>117</v>
      </c>
      <c r="G592" s="5">
        <v>3956</v>
      </c>
      <c r="H592" s="5">
        <v>35</v>
      </c>
      <c r="I592" s="5">
        <v>2572</v>
      </c>
      <c r="J592" s="5">
        <v>3</v>
      </c>
      <c r="K592" s="2" t="s">
        <v>72</v>
      </c>
      <c r="L592" s="7" t="s">
        <v>209</v>
      </c>
      <c r="M592" s="4">
        <v>3.9</v>
      </c>
      <c r="N592" s="5">
        <v>152</v>
      </c>
      <c r="O592" s="3">
        <v>45851</v>
      </c>
      <c r="P592" s="7" t="s">
        <v>2392</v>
      </c>
      <c r="Q592" s="7" t="s">
        <v>29</v>
      </c>
      <c r="R592" s="7" t="s">
        <v>83</v>
      </c>
      <c r="S592" s="7" t="s">
        <v>83</v>
      </c>
      <c r="T592" s="7"/>
      <c r="U592" s="11">
        <f t="shared" si="36"/>
        <v>11868</v>
      </c>
      <c r="V592" s="11">
        <f t="shared" si="37"/>
        <v>7716</v>
      </c>
      <c r="W592" s="11">
        <f t="shared" si="38"/>
        <v>4152</v>
      </c>
      <c r="X592" t="str">
        <f t="shared" si="39"/>
        <v>Cancelled</v>
      </c>
    </row>
    <row r="593" spans="1:24" ht="12.5" x14ac:dyDescent="0.25">
      <c r="A593" s="2" t="s">
        <v>2194</v>
      </c>
      <c r="B593" s="2" t="s">
        <v>1227</v>
      </c>
      <c r="C593" s="2" t="s">
        <v>2195</v>
      </c>
      <c r="D593" s="7" t="s">
        <v>2196</v>
      </c>
      <c r="E593" s="7" t="s">
        <v>208</v>
      </c>
      <c r="F593" s="7" t="s">
        <v>117</v>
      </c>
      <c r="G593" s="5">
        <v>876</v>
      </c>
      <c r="H593" s="5">
        <v>40</v>
      </c>
      <c r="I593" s="5">
        <v>526</v>
      </c>
      <c r="J593" s="5">
        <v>1</v>
      </c>
      <c r="K593" s="2">
        <v>42</v>
      </c>
      <c r="L593" s="7" t="s">
        <v>73</v>
      </c>
      <c r="M593" s="4">
        <v>3.5</v>
      </c>
      <c r="N593" s="5">
        <v>237</v>
      </c>
      <c r="O593" s="3">
        <v>45811</v>
      </c>
      <c r="P593" s="7" t="s">
        <v>2390</v>
      </c>
      <c r="Q593" s="7" t="s">
        <v>78</v>
      </c>
      <c r="R593" s="7" t="s">
        <v>110</v>
      </c>
      <c r="S593" s="7" t="s">
        <v>111</v>
      </c>
      <c r="T593" s="7"/>
      <c r="U593" s="11">
        <f t="shared" si="36"/>
        <v>876</v>
      </c>
      <c r="V593" s="11">
        <f t="shared" si="37"/>
        <v>526</v>
      </c>
      <c r="W593" s="11">
        <f t="shared" si="38"/>
        <v>350</v>
      </c>
      <c r="X593" t="str">
        <f t="shared" si="39"/>
        <v>Completed</v>
      </c>
    </row>
    <row r="594" spans="1:24" ht="12.5" x14ac:dyDescent="0.25">
      <c r="A594" s="2" t="s">
        <v>2197</v>
      </c>
      <c r="B594" s="2" t="s">
        <v>2198</v>
      </c>
      <c r="C594" s="2" t="s">
        <v>2199</v>
      </c>
      <c r="D594" s="7" t="s">
        <v>2200</v>
      </c>
      <c r="E594" s="7" t="s">
        <v>247</v>
      </c>
      <c r="F594" s="7" t="s">
        <v>248</v>
      </c>
      <c r="G594" s="5">
        <v>4591</v>
      </c>
      <c r="H594" s="5">
        <v>15</v>
      </c>
      <c r="I594" s="5">
        <v>3903</v>
      </c>
      <c r="J594" s="5">
        <v>3</v>
      </c>
      <c r="K594" s="2">
        <v>40</v>
      </c>
      <c r="L594" s="7" t="s">
        <v>64</v>
      </c>
      <c r="M594" s="4">
        <v>3.9</v>
      </c>
      <c r="N594" s="5">
        <v>255</v>
      </c>
      <c r="O594" s="3">
        <v>45787</v>
      </c>
      <c r="P594" s="7" t="s">
        <v>2390</v>
      </c>
      <c r="Q594" s="7" t="s">
        <v>29</v>
      </c>
      <c r="R594" s="7" t="s">
        <v>58</v>
      </c>
      <c r="S594" s="7" t="s">
        <v>59</v>
      </c>
      <c r="T594" s="7"/>
      <c r="U594" s="11">
        <f t="shared" si="36"/>
        <v>13773</v>
      </c>
      <c r="V594" s="11">
        <f t="shared" si="37"/>
        <v>11709</v>
      </c>
      <c r="W594" s="11">
        <f t="shared" si="38"/>
        <v>2064</v>
      </c>
      <c r="X594" t="str">
        <f t="shared" si="39"/>
        <v>Completed</v>
      </c>
    </row>
    <row r="595" spans="1:24" ht="12.5" x14ac:dyDescent="0.25">
      <c r="A595" s="2" t="s">
        <v>2201</v>
      </c>
      <c r="B595" s="2" t="s">
        <v>2202</v>
      </c>
      <c r="C595" s="2" t="s">
        <v>2203</v>
      </c>
      <c r="D595" s="7" t="s">
        <v>2204</v>
      </c>
      <c r="E595" s="7" t="s">
        <v>48</v>
      </c>
      <c r="F595" s="7" t="s">
        <v>25</v>
      </c>
      <c r="G595" s="5">
        <v>3307</v>
      </c>
      <c r="H595" s="5">
        <v>30</v>
      </c>
      <c r="I595" s="5">
        <v>2315</v>
      </c>
      <c r="J595" s="5">
        <v>2</v>
      </c>
      <c r="K595" s="2" t="s">
        <v>163</v>
      </c>
      <c r="L595" s="7" t="s">
        <v>88</v>
      </c>
      <c r="M595" s="4">
        <v>3.9</v>
      </c>
      <c r="N595" s="5">
        <v>197</v>
      </c>
      <c r="O595" s="3">
        <v>45841</v>
      </c>
      <c r="P595" s="7" t="s">
        <v>2391</v>
      </c>
      <c r="Q595" s="7" t="s">
        <v>78</v>
      </c>
      <c r="R595" s="7" t="s">
        <v>41</v>
      </c>
      <c r="S595" s="7" t="s">
        <v>42</v>
      </c>
      <c r="T595" s="7" t="s">
        <v>50</v>
      </c>
      <c r="U595" s="11">
        <f t="shared" si="36"/>
        <v>6614</v>
      </c>
      <c r="V595" s="11">
        <f t="shared" si="37"/>
        <v>4630</v>
      </c>
      <c r="W595" s="11">
        <f t="shared" si="38"/>
        <v>1984</v>
      </c>
      <c r="X595" t="str">
        <f t="shared" si="39"/>
        <v>Returned</v>
      </c>
    </row>
    <row r="596" spans="1:24" ht="12.5" x14ac:dyDescent="0.25">
      <c r="A596" s="2" t="s">
        <v>2205</v>
      </c>
      <c r="B596" s="2" t="s">
        <v>460</v>
      </c>
      <c r="C596" s="2" t="s">
        <v>2206</v>
      </c>
      <c r="D596" s="7" t="s">
        <v>2207</v>
      </c>
      <c r="E596" s="7" t="s">
        <v>147</v>
      </c>
      <c r="F596" s="7" t="s">
        <v>148</v>
      </c>
      <c r="G596" s="5">
        <v>2504</v>
      </c>
      <c r="H596" s="5">
        <v>35</v>
      </c>
      <c r="I596" s="5">
        <v>1628</v>
      </c>
      <c r="J596" s="5">
        <v>3</v>
      </c>
      <c r="K596" s="2" t="s">
        <v>26</v>
      </c>
      <c r="L596" s="7" t="s">
        <v>88</v>
      </c>
      <c r="M596" s="4">
        <v>4.4000000000000004</v>
      </c>
      <c r="N596" s="5">
        <v>159</v>
      </c>
      <c r="O596" s="3">
        <v>45809</v>
      </c>
      <c r="P596" s="7" t="s">
        <v>2390</v>
      </c>
      <c r="Q596" s="7" t="s">
        <v>65</v>
      </c>
      <c r="R596" s="7" t="s">
        <v>185</v>
      </c>
      <c r="S596" s="7" t="s">
        <v>186</v>
      </c>
      <c r="T596" s="7"/>
      <c r="U596" s="11">
        <f t="shared" si="36"/>
        <v>7512</v>
      </c>
      <c r="V596" s="11">
        <f t="shared" si="37"/>
        <v>4884</v>
      </c>
      <c r="W596" s="11">
        <f t="shared" si="38"/>
        <v>2628</v>
      </c>
      <c r="X596" t="str">
        <f t="shared" si="39"/>
        <v>Completed</v>
      </c>
    </row>
    <row r="597" spans="1:24" ht="12.5" x14ac:dyDescent="0.25">
      <c r="A597" s="2" t="s">
        <v>2208</v>
      </c>
      <c r="B597" s="2" t="s">
        <v>1990</v>
      </c>
      <c r="C597" s="2" t="s">
        <v>2209</v>
      </c>
      <c r="D597" s="7" t="s">
        <v>2210</v>
      </c>
      <c r="E597" s="7" t="s">
        <v>37</v>
      </c>
      <c r="F597" s="7" t="s">
        <v>38</v>
      </c>
      <c r="G597" s="5">
        <v>2409</v>
      </c>
      <c r="H597" s="5">
        <v>30</v>
      </c>
      <c r="I597" s="5">
        <v>1687</v>
      </c>
      <c r="J597" s="5">
        <v>2</v>
      </c>
      <c r="K597" s="2" t="s">
        <v>226</v>
      </c>
      <c r="L597" s="7" t="s">
        <v>27</v>
      </c>
      <c r="M597" s="4">
        <v>3.8</v>
      </c>
      <c r="N597" s="5">
        <v>76</v>
      </c>
      <c r="O597" s="3">
        <v>45836</v>
      </c>
      <c r="P597" s="7" t="s">
        <v>2391</v>
      </c>
      <c r="Q597" s="7" t="s">
        <v>78</v>
      </c>
      <c r="R597" s="7" t="s">
        <v>185</v>
      </c>
      <c r="S597" s="7" t="s">
        <v>186</v>
      </c>
      <c r="T597" s="7" t="s">
        <v>50</v>
      </c>
      <c r="U597" s="11">
        <f t="shared" si="36"/>
        <v>4818</v>
      </c>
      <c r="V597" s="11">
        <f t="shared" si="37"/>
        <v>3374</v>
      </c>
      <c r="W597" s="11">
        <f t="shared" si="38"/>
        <v>1444</v>
      </c>
      <c r="X597" t="str">
        <f t="shared" si="39"/>
        <v>Returned</v>
      </c>
    </row>
    <row r="598" spans="1:24" ht="12.5" x14ac:dyDescent="0.25">
      <c r="A598" s="2" t="s">
        <v>2211</v>
      </c>
      <c r="B598" s="2" t="s">
        <v>713</v>
      </c>
      <c r="C598" s="2" t="s">
        <v>1207</v>
      </c>
      <c r="D598" s="7" t="s">
        <v>2212</v>
      </c>
      <c r="E598" s="7" t="s">
        <v>122</v>
      </c>
      <c r="F598" s="7" t="s">
        <v>123</v>
      </c>
      <c r="G598" s="5">
        <v>3307</v>
      </c>
      <c r="H598" s="5">
        <v>40</v>
      </c>
      <c r="I598" s="5">
        <v>1985</v>
      </c>
      <c r="J598" s="5">
        <v>2</v>
      </c>
      <c r="K598" s="2" t="s">
        <v>26</v>
      </c>
      <c r="L598" s="7" t="s">
        <v>27</v>
      </c>
      <c r="M598" s="4">
        <v>4.4000000000000004</v>
      </c>
      <c r="N598" s="5">
        <v>220</v>
      </c>
      <c r="O598" s="3">
        <v>45858</v>
      </c>
      <c r="P598" s="7" t="s">
        <v>2390</v>
      </c>
      <c r="Q598" s="7" t="s">
        <v>65</v>
      </c>
      <c r="R598" s="7" t="s">
        <v>58</v>
      </c>
      <c r="S598" s="7" t="s">
        <v>59</v>
      </c>
      <c r="T598" s="7"/>
      <c r="U598" s="11">
        <f t="shared" si="36"/>
        <v>6614</v>
      </c>
      <c r="V598" s="11">
        <f t="shared" si="37"/>
        <v>3970</v>
      </c>
      <c r="W598" s="11">
        <f t="shared" si="38"/>
        <v>2644</v>
      </c>
      <c r="X598" t="str">
        <f t="shared" si="39"/>
        <v>Completed</v>
      </c>
    </row>
    <row r="599" spans="1:24" ht="12.5" x14ac:dyDescent="0.25">
      <c r="A599" s="2" t="s">
        <v>2213</v>
      </c>
      <c r="B599" s="2" t="s">
        <v>2214</v>
      </c>
      <c r="C599" s="2" t="s">
        <v>1659</v>
      </c>
      <c r="D599" s="7" t="s">
        <v>2215</v>
      </c>
      <c r="E599" s="7" t="s">
        <v>147</v>
      </c>
      <c r="F599" s="7" t="s">
        <v>148</v>
      </c>
      <c r="G599" s="5">
        <v>1640</v>
      </c>
      <c r="H599" s="5">
        <v>20</v>
      </c>
      <c r="I599" s="5">
        <v>1312</v>
      </c>
      <c r="J599" s="5">
        <v>1</v>
      </c>
      <c r="K599" s="2" t="s">
        <v>163</v>
      </c>
      <c r="L599" s="7" t="s">
        <v>49</v>
      </c>
      <c r="M599" s="4">
        <v>3.7</v>
      </c>
      <c r="N599" s="5">
        <v>242</v>
      </c>
      <c r="O599" s="3">
        <v>45809</v>
      </c>
      <c r="P599" s="7" t="s">
        <v>2392</v>
      </c>
      <c r="Q599" s="7" t="s">
        <v>78</v>
      </c>
      <c r="R599" s="7" t="s">
        <v>30</v>
      </c>
      <c r="S599" s="7" t="s">
        <v>31</v>
      </c>
      <c r="T599" s="7"/>
      <c r="U599" s="11">
        <f t="shared" si="36"/>
        <v>1640</v>
      </c>
      <c r="V599" s="11">
        <f t="shared" si="37"/>
        <v>1312</v>
      </c>
      <c r="W599" s="11">
        <f t="shared" si="38"/>
        <v>328</v>
      </c>
      <c r="X599" t="str">
        <f t="shared" si="39"/>
        <v>Cancelled</v>
      </c>
    </row>
    <row r="600" spans="1:24" ht="12.5" x14ac:dyDescent="0.25">
      <c r="A600" s="2" t="s">
        <v>2216</v>
      </c>
      <c r="B600" s="2" t="s">
        <v>2217</v>
      </c>
      <c r="C600" s="2" t="s">
        <v>2218</v>
      </c>
      <c r="D600" s="7" t="s">
        <v>2219</v>
      </c>
      <c r="E600" s="7" t="s">
        <v>147</v>
      </c>
      <c r="F600" s="7" t="s">
        <v>148</v>
      </c>
      <c r="G600" s="5">
        <v>948</v>
      </c>
      <c r="H600" s="5">
        <v>20</v>
      </c>
      <c r="I600" s="5">
        <v>759</v>
      </c>
      <c r="J600" s="5">
        <v>3</v>
      </c>
      <c r="K600" s="2">
        <v>40</v>
      </c>
      <c r="L600" s="7" t="s">
        <v>168</v>
      </c>
      <c r="M600" s="4">
        <v>4.5</v>
      </c>
      <c r="N600" s="5">
        <v>57</v>
      </c>
      <c r="O600" s="3">
        <v>45792</v>
      </c>
      <c r="P600" s="7" t="s">
        <v>2390</v>
      </c>
      <c r="Q600" s="7" t="s">
        <v>29</v>
      </c>
      <c r="R600" s="7" t="s">
        <v>30</v>
      </c>
      <c r="S600" s="7" t="s">
        <v>31</v>
      </c>
      <c r="T600" s="7"/>
      <c r="U600" s="11">
        <f t="shared" si="36"/>
        <v>2844</v>
      </c>
      <c r="V600" s="11">
        <f t="shared" si="37"/>
        <v>2277</v>
      </c>
      <c r="W600" s="11">
        <f t="shared" si="38"/>
        <v>567</v>
      </c>
      <c r="X600" t="str">
        <f t="shared" si="39"/>
        <v>Completed</v>
      </c>
    </row>
    <row r="601" spans="1:24" ht="12.5" x14ac:dyDescent="0.25">
      <c r="A601" s="2" t="s">
        <v>2220</v>
      </c>
      <c r="B601" s="2" t="s">
        <v>659</v>
      </c>
      <c r="C601" s="2" t="s">
        <v>2221</v>
      </c>
      <c r="D601" s="7" t="s">
        <v>2222</v>
      </c>
      <c r="E601" s="7" t="s">
        <v>55</v>
      </c>
      <c r="F601" s="7" t="s">
        <v>38</v>
      </c>
      <c r="G601" s="5">
        <v>4541</v>
      </c>
      <c r="H601" s="5">
        <v>20</v>
      </c>
      <c r="I601" s="5">
        <v>3633</v>
      </c>
      <c r="J601" s="5">
        <v>3</v>
      </c>
      <c r="K601" s="2" t="s">
        <v>26</v>
      </c>
      <c r="L601" s="7" t="s">
        <v>209</v>
      </c>
      <c r="M601" s="4">
        <v>3.8</v>
      </c>
      <c r="N601" s="5">
        <v>225</v>
      </c>
      <c r="O601" s="3">
        <v>45805</v>
      </c>
      <c r="P601" s="7" t="s">
        <v>2390</v>
      </c>
      <c r="Q601" s="7" t="s">
        <v>29</v>
      </c>
      <c r="R601" s="7" t="s">
        <v>149</v>
      </c>
      <c r="S601" s="7" t="s">
        <v>150</v>
      </c>
      <c r="T601" s="7"/>
      <c r="U601" s="11">
        <f t="shared" si="36"/>
        <v>13623</v>
      </c>
      <c r="V601" s="11">
        <f t="shared" si="37"/>
        <v>10899</v>
      </c>
      <c r="W601" s="11">
        <f t="shared" si="38"/>
        <v>2724</v>
      </c>
      <c r="X601" t="str">
        <f t="shared" si="39"/>
        <v>Completed</v>
      </c>
    </row>
    <row r="602" spans="1:24" ht="12.5" x14ac:dyDescent="0.25">
      <c r="A602" s="2" t="s">
        <v>2223</v>
      </c>
      <c r="B602" s="2" t="s">
        <v>2224</v>
      </c>
      <c r="C602" s="2" t="s">
        <v>2225</v>
      </c>
      <c r="D602" s="7" t="s">
        <v>2226</v>
      </c>
      <c r="E602" s="7" t="s">
        <v>247</v>
      </c>
      <c r="F602" s="7" t="s">
        <v>248</v>
      </c>
      <c r="G602" s="5">
        <v>3056</v>
      </c>
      <c r="H602" s="5">
        <v>10</v>
      </c>
      <c r="I602" s="5">
        <v>2751</v>
      </c>
      <c r="J602" s="5">
        <v>1</v>
      </c>
      <c r="K602" s="2">
        <v>40</v>
      </c>
      <c r="L602" s="7" t="s">
        <v>64</v>
      </c>
      <c r="M602" s="4">
        <v>5</v>
      </c>
      <c r="N602" s="5">
        <v>48</v>
      </c>
      <c r="O602" s="3">
        <v>45794</v>
      </c>
      <c r="P602" s="7" t="s">
        <v>2392</v>
      </c>
      <c r="Q602" s="7" t="s">
        <v>65</v>
      </c>
      <c r="R602" s="7" t="s">
        <v>58</v>
      </c>
      <c r="S602" s="7" t="s">
        <v>59</v>
      </c>
      <c r="T602" s="7"/>
      <c r="U602" s="11">
        <f t="shared" si="36"/>
        <v>3056</v>
      </c>
      <c r="V602" s="11">
        <f t="shared" si="37"/>
        <v>2751</v>
      </c>
      <c r="W602" s="11">
        <f t="shared" si="38"/>
        <v>305</v>
      </c>
      <c r="X602" t="str">
        <f t="shared" si="39"/>
        <v>Cancelled</v>
      </c>
    </row>
    <row r="603" spans="1:24" ht="12.5" x14ac:dyDescent="0.25">
      <c r="A603" s="2" t="s">
        <v>2227</v>
      </c>
      <c r="B603" s="2" t="s">
        <v>1236</v>
      </c>
      <c r="C603" s="2" t="s">
        <v>2228</v>
      </c>
      <c r="D603" s="7" t="s">
        <v>2229</v>
      </c>
      <c r="E603" s="7" t="s">
        <v>37</v>
      </c>
      <c r="F603" s="7" t="s">
        <v>38</v>
      </c>
      <c r="G603" s="5">
        <v>4849</v>
      </c>
      <c r="H603" s="5">
        <v>15</v>
      </c>
      <c r="I603" s="5">
        <v>4122</v>
      </c>
      <c r="J603" s="5">
        <v>1</v>
      </c>
      <c r="K603" s="2" t="s">
        <v>163</v>
      </c>
      <c r="L603" s="7" t="s">
        <v>88</v>
      </c>
      <c r="M603" s="4">
        <v>3.9</v>
      </c>
      <c r="N603" s="5">
        <v>261</v>
      </c>
      <c r="O603" s="3">
        <v>45770</v>
      </c>
      <c r="P603" s="7" t="s">
        <v>2391</v>
      </c>
      <c r="Q603" s="7" t="s">
        <v>78</v>
      </c>
      <c r="R603" s="7" t="s">
        <v>149</v>
      </c>
      <c r="S603" s="7" t="s">
        <v>150</v>
      </c>
      <c r="T603" s="7" t="s">
        <v>203</v>
      </c>
      <c r="U603" s="11">
        <f t="shared" si="36"/>
        <v>4849</v>
      </c>
      <c r="V603" s="11">
        <f t="shared" si="37"/>
        <v>4122</v>
      </c>
      <c r="W603" s="11">
        <f t="shared" si="38"/>
        <v>727</v>
      </c>
      <c r="X603" t="str">
        <f t="shared" si="39"/>
        <v>Returned</v>
      </c>
    </row>
    <row r="604" spans="1:24" ht="12.5" x14ac:dyDescent="0.25">
      <c r="A604" s="2" t="s">
        <v>2230</v>
      </c>
      <c r="B604" s="2" t="s">
        <v>2131</v>
      </c>
      <c r="C604" s="2" t="s">
        <v>2231</v>
      </c>
      <c r="D604" s="7" t="s">
        <v>2232</v>
      </c>
      <c r="E604" s="7" t="s">
        <v>116</v>
      </c>
      <c r="F604" s="7" t="s">
        <v>117</v>
      </c>
      <c r="G604" s="5">
        <v>3543</v>
      </c>
      <c r="H604" s="5">
        <v>20</v>
      </c>
      <c r="I604" s="5">
        <v>2835</v>
      </c>
      <c r="J604" s="5">
        <v>1</v>
      </c>
      <c r="K604" s="2" t="s">
        <v>26</v>
      </c>
      <c r="L604" s="7" t="s">
        <v>168</v>
      </c>
      <c r="M604" s="4">
        <v>4.4000000000000004</v>
      </c>
      <c r="N604" s="5">
        <v>213</v>
      </c>
      <c r="O604" s="3">
        <v>45831</v>
      </c>
      <c r="P604" s="7" t="s">
        <v>2390</v>
      </c>
      <c r="Q604" s="7" t="s">
        <v>65</v>
      </c>
      <c r="R604" s="7" t="s">
        <v>89</v>
      </c>
      <c r="S604" s="7" t="s">
        <v>90</v>
      </c>
      <c r="T604" s="7"/>
      <c r="U604" s="11">
        <f t="shared" si="36"/>
        <v>3543</v>
      </c>
      <c r="V604" s="11">
        <f t="shared" si="37"/>
        <v>2835</v>
      </c>
      <c r="W604" s="11">
        <f t="shared" si="38"/>
        <v>708</v>
      </c>
      <c r="X604" t="str">
        <f t="shared" si="39"/>
        <v>Completed</v>
      </c>
    </row>
    <row r="605" spans="1:24" ht="12.5" x14ac:dyDescent="0.25">
      <c r="A605" s="2" t="s">
        <v>2233</v>
      </c>
      <c r="B605" s="2" t="s">
        <v>709</v>
      </c>
      <c r="C605" s="2" t="s">
        <v>2234</v>
      </c>
      <c r="D605" s="7" t="s">
        <v>2235</v>
      </c>
      <c r="E605" s="7" t="s">
        <v>48</v>
      </c>
      <c r="F605" s="7" t="s">
        <v>25</v>
      </c>
      <c r="G605" s="5">
        <v>2546</v>
      </c>
      <c r="H605" s="5">
        <v>40</v>
      </c>
      <c r="I605" s="5">
        <v>1528</v>
      </c>
      <c r="J605" s="5">
        <v>2</v>
      </c>
      <c r="K605" s="2" t="s">
        <v>26</v>
      </c>
      <c r="L605" s="7" t="s">
        <v>168</v>
      </c>
      <c r="M605" s="4">
        <v>3.7</v>
      </c>
      <c r="N605" s="5">
        <v>210</v>
      </c>
      <c r="O605" s="3">
        <v>45850</v>
      </c>
      <c r="P605" s="7" t="s">
        <v>2390</v>
      </c>
      <c r="Q605" s="7" t="s">
        <v>65</v>
      </c>
      <c r="R605" s="7" t="s">
        <v>41</v>
      </c>
      <c r="S605" s="7" t="s">
        <v>42</v>
      </c>
      <c r="T605" s="7"/>
      <c r="U605" s="11">
        <f t="shared" si="36"/>
        <v>5092</v>
      </c>
      <c r="V605" s="11">
        <f t="shared" si="37"/>
        <v>3056</v>
      </c>
      <c r="W605" s="11">
        <f t="shared" si="38"/>
        <v>2036</v>
      </c>
      <c r="X605" t="str">
        <f t="shared" si="39"/>
        <v>Completed</v>
      </c>
    </row>
    <row r="606" spans="1:24" ht="12.5" x14ac:dyDescent="0.25">
      <c r="A606" s="2" t="s">
        <v>2236</v>
      </c>
      <c r="B606" s="2" t="s">
        <v>479</v>
      </c>
      <c r="C606" s="2" t="s">
        <v>2237</v>
      </c>
      <c r="D606" s="7" t="s">
        <v>2238</v>
      </c>
      <c r="E606" s="7" t="s">
        <v>208</v>
      </c>
      <c r="F606" s="7" t="s">
        <v>117</v>
      </c>
      <c r="G606" s="5">
        <v>4118</v>
      </c>
      <c r="H606" s="5">
        <v>30</v>
      </c>
      <c r="I606" s="5">
        <v>2883</v>
      </c>
      <c r="J606" s="5">
        <v>2</v>
      </c>
      <c r="K606" s="2">
        <v>44</v>
      </c>
      <c r="L606" s="7" t="s">
        <v>73</v>
      </c>
      <c r="M606" s="4">
        <v>4.3</v>
      </c>
      <c r="N606" s="5">
        <v>214</v>
      </c>
      <c r="O606" s="3">
        <v>45772</v>
      </c>
      <c r="P606" s="7" t="s">
        <v>2392</v>
      </c>
      <c r="Q606" s="7" t="s">
        <v>78</v>
      </c>
      <c r="R606" s="7" t="s">
        <v>83</v>
      </c>
      <c r="S606" s="7" t="s">
        <v>83</v>
      </c>
      <c r="T606" s="7"/>
      <c r="U606" s="11">
        <f t="shared" si="36"/>
        <v>8236</v>
      </c>
      <c r="V606" s="11">
        <f t="shared" si="37"/>
        <v>5766</v>
      </c>
      <c r="W606" s="11">
        <f t="shared" si="38"/>
        <v>2470</v>
      </c>
      <c r="X606" t="str">
        <f t="shared" si="39"/>
        <v>Cancelled</v>
      </c>
    </row>
    <row r="607" spans="1:24" ht="12.5" x14ac:dyDescent="0.25">
      <c r="A607" s="2" t="s">
        <v>2239</v>
      </c>
      <c r="B607" s="2" t="s">
        <v>607</v>
      </c>
      <c r="C607" s="2" t="s">
        <v>2240</v>
      </c>
      <c r="D607" s="7" t="s">
        <v>2241</v>
      </c>
      <c r="E607" s="7" t="s">
        <v>122</v>
      </c>
      <c r="F607" s="7" t="s">
        <v>123</v>
      </c>
      <c r="G607" s="5">
        <v>2890</v>
      </c>
      <c r="H607" s="5">
        <v>10</v>
      </c>
      <c r="I607" s="5">
        <v>2601</v>
      </c>
      <c r="J607" s="5">
        <v>1</v>
      </c>
      <c r="K607" s="2" t="s">
        <v>163</v>
      </c>
      <c r="L607" s="7" t="s">
        <v>49</v>
      </c>
      <c r="M607" s="4">
        <v>4.4000000000000004</v>
      </c>
      <c r="N607" s="5">
        <v>76</v>
      </c>
      <c r="O607" s="3">
        <v>45817</v>
      </c>
      <c r="P607" s="7" t="s">
        <v>2390</v>
      </c>
      <c r="Q607" s="7" t="s">
        <v>78</v>
      </c>
      <c r="R607" s="7" t="s">
        <v>83</v>
      </c>
      <c r="S607" s="7" t="s">
        <v>83</v>
      </c>
      <c r="T607" s="7"/>
      <c r="U607" s="11">
        <f t="shared" si="36"/>
        <v>2890</v>
      </c>
      <c r="V607" s="11">
        <f t="shared" si="37"/>
        <v>2601</v>
      </c>
      <c r="W607" s="11">
        <f t="shared" si="38"/>
        <v>289</v>
      </c>
      <c r="X607" t="str">
        <f t="shared" si="39"/>
        <v>Completed</v>
      </c>
    </row>
    <row r="608" spans="1:24" ht="12.5" x14ac:dyDescent="0.25">
      <c r="A608" s="2" t="s">
        <v>2242</v>
      </c>
      <c r="B608" s="2" t="s">
        <v>1506</v>
      </c>
      <c r="C608" s="2" t="s">
        <v>2243</v>
      </c>
      <c r="D608" s="7" t="s">
        <v>2244</v>
      </c>
      <c r="E608" s="7" t="s">
        <v>247</v>
      </c>
      <c r="F608" s="7" t="s">
        <v>248</v>
      </c>
      <c r="G608" s="5">
        <v>2741</v>
      </c>
      <c r="H608" s="5">
        <v>20</v>
      </c>
      <c r="I608" s="5">
        <v>2193</v>
      </c>
      <c r="J608" s="5">
        <v>2</v>
      </c>
      <c r="K608" s="2">
        <v>42</v>
      </c>
      <c r="L608" s="7" t="s">
        <v>133</v>
      </c>
      <c r="M608" s="4">
        <v>4.0999999999999996</v>
      </c>
      <c r="N608" s="5">
        <v>61</v>
      </c>
      <c r="O608" s="3">
        <v>45803</v>
      </c>
      <c r="P608" s="7" t="s">
        <v>2392</v>
      </c>
      <c r="Q608" s="7" t="s">
        <v>29</v>
      </c>
      <c r="R608" s="7" t="s">
        <v>30</v>
      </c>
      <c r="S608" s="7" t="s">
        <v>31</v>
      </c>
      <c r="T608" s="7"/>
      <c r="U608" s="11">
        <f t="shared" si="36"/>
        <v>5482</v>
      </c>
      <c r="V608" s="11">
        <f t="shared" si="37"/>
        <v>4386</v>
      </c>
      <c r="W608" s="11">
        <f t="shared" si="38"/>
        <v>1096</v>
      </c>
      <c r="X608" t="str">
        <f t="shared" si="39"/>
        <v>Cancelled</v>
      </c>
    </row>
    <row r="609" spans="1:24" ht="12.5" x14ac:dyDescent="0.25">
      <c r="A609" s="2" t="s">
        <v>2245</v>
      </c>
      <c r="B609" s="2" t="s">
        <v>420</v>
      </c>
      <c r="C609" s="2" t="s">
        <v>2246</v>
      </c>
      <c r="D609" s="7" t="s">
        <v>2247</v>
      </c>
      <c r="E609" s="7" t="s">
        <v>24</v>
      </c>
      <c r="F609" s="7" t="s">
        <v>25</v>
      </c>
      <c r="G609" s="5">
        <v>3452</v>
      </c>
      <c r="H609" s="5">
        <v>20</v>
      </c>
      <c r="I609" s="5">
        <v>2762</v>
      </c>
      <c r="J609" s="5">
        <v>1</v>
      </c>
      <c r="K609" s="2">
        <v>44</v>
      </c>
      <c r="L609" s="7" t="s">
        <v>88</v>
      </c>
      <c r="M609" s="4">
        <v>4.0999999999999996</v>
      </c>
      <c r="N609" s="5">
        <v>239</v>
      </c>
      <c r="O609" s="3">
        <v>45814</v>
      </c>
      <c r="P609" s="7" t="s">
        <v>2392</v>
      </c>
      <c r="Q609" s="7" t="s">
        <v>65</v>
      </c>
      <c r="R609" s="7" t="s">
        <v>104</v>
      </c>
      <c r="S609" s="7" t="s">
        <v>105</v>
      </c>
      <c r="T609" s="7"/>
      <c r="U609" s="11">
        <f t="shared" si="36"/>
        <v>3452</v>
      </c>
      <c r="V609" s="11">
        <f t="shared" si="37"/>
        <v>2762</v>
      </c>
      <c r="W609" s="11">
        <f t="shared" si="38"/>
        <v>690</v>
      </c>
      <c r="X609" t="str">
        <f t="shared" si="39"/>
        <v>Cancelled</v>
      </c>
    </row>
    <row r="610" spans="1:24" ht="12.5" x14ac:dyDescent="0.25">
      <c r="A610" s="2" t="s">
        <v>2248</v>
      </c>
      <c r="B610" s="2" t="s">
        <v>529</v>
      </c>
      <c r="C610" s="2" t="s">
        <v>2249</v>
      </c>
      <c r="D610" s="7" t="s">
        <v>2250</v>
      </c>
      <c r="E610" s="7" t="s">
        <v>48</v>
      </c>
      <c r="F610" s="7" t="s">
        <v>25</v>
      </c>
      <c r="G610" s="5">
        <v>4987</v>
      </c>
      <c r="H610" s="5">
        <v>35</v>
      </c>
      <c r="I610" s="5">
        <v>3242</v>
      </c>
      <c r="J610" s="5">
        <v>2</v>
      </c>
      <c r="K610" s="2" t="s">
        <v>163</v>
      </c>
      <c r="L610" s="7" t="s">
        <v>88</v>
      </c>
      <c r="M610" s="4">
        <v>3.8</v>
      </c>
      <c r="N610" s="5">
        <v>70</v>
      </c>
      <c r="O610" s="3">
        <v>45820</v>
      </c>
      <c r="P610" s="7" t="s">
        <v>2391</v>
      </c>
      <c r="Q610" s="7" t="s">
        <v>65</v>
      </c>
      <c r="R610" s="7" t="s">
        <v>89</v>
      </c>
      <c r="S610" s="7" t="s">
        <v>90</v>
      </c>
      <c r="T610" s="7" t="s">
        <v>43</v>
      </c>
      <c r="U610" s="11">
        <f t="shared" si="36"/>
        <v>9974</v>
      </c>
      <c r="V610" s="11">
        <f t="shared" si="37"/>
        <v>6484</v>
      </c>
      <c r="W610" s="11">
        <f t="shared" si="38"/>
        <v>3490</v>
      </c>
      <c r="X610" t="str">
        <f t="shared" si="39"/>
        <v>Returned</v>
      </c>
    </row>
    <row r="611" spans="1:24" ht="12.5" x14ac:dyDescent="0.25">
      <c r="A611" s="2" t="s">
        <v>2251</v>
      </c>
      <c r="B611" s="2" t="s">
        <v>966</v>
      </c>
      <c r="C611" s="2" t="s">
        <v>2252</v>
      </c>
      <c r="D611" s="7" t="s">
        <v>2253</v>
      </c>
      <c r="E611" s="7" t="s">
        <v>24</v>
      </c>
      <c r="F611" s="7" t="s">
        <v>25</v>
      </c>
      <c r="G611" s="5">
        <v>2068</v>
      </c>
      <c r="H611" s="5">
        <v>15</v>
      </c>
      <c r="I611" s="5">
        <v>1758</v>
      </c>
      <c r="J611" s="5">
        <v>2</v>
      </c>
      <c r="K611" s="2" t="s">
        <v>163</v>
      </c>
      <c r="L611" s="7" t="s">
        <v>39</v>
      </c>
      <c r="M611" s="4">
        <v>4.7</v>
      </c>
      <c r="N611" s="5">
        <v>76</v>
      </c>
      <c r="O611" s="3">
        <v>45835</v>
      </c>
      <c r="P611" s="7" t="s">
        <v>2391</v>
      </c>
      <c r="Q611" s="7" t="s">
        <v>65</v>
      </c>
      <c r="R611" s="7" t="s">
        <v>104</v>
      </c>
      <c r="S611" s="7" t="s">
        <v>105</v>
      </c>
      <c r="T611" s="7" t="s">
        <v>134</v>
      </c>
      <c r="U611" s="11">
        <f t="shared" si="36"/>
        <v>4136</v>
      </c>
      <c r="V611" s="11">
        <f t="shared" si="37"/>
        <v>3516</v>
      </c>
      <c r="W611" s="11">
        <f t="shared" si="38"/>
        <v>620</v>
      </c>
      <c r="X611" t="str">
        <f t="shared" si="39"/>
        <v>Returned</v>
      </c>
    </row>
    <row r="612" spans="1:24" ht="12.5" x14ac:dyDescent="0.25">
      <c r="A612" s="2" t="s">
        <v>2254</v>
      </c>
      <c r="B612" s="2" t="s">
        <v>2255</v>
      </c>
      <c r="C612" s="2" t="s">
        <v>2256</v>
      </c>
      <c r="D612" s="7" t="s">
        <v>2257</v>
      </c>
      <c r="E612" s="7" t="s">
        <v>24</v>
      </c>
      <c r="F612" s="7" t="s">
        <v>25</v>
      </c>
      <c r="G612" s="5">
        <v>1870</v>
      </c>
      <c r="H612" s="5">
        <v>20</v>
      </c>
      <c r="I612" s="5">
        <v>1496</v>
      </c>
      <c r="J612" s="5">
        <v>1</v>
      </c>
      <c r="K612" s="2" t="s">
        <v>56</v>
      </c>
      <c r="L612" s="7" t="s">
        <v>27</v>
      </c>
      <c r="M612" s="4">
        <v>3.9</v>
      </c>
      <c r="N612" s="5">
        <v>104</v>
      </c>
      <c r="O612" s="3">
        <v>45812</v>
      </c>
      <c r="P612" s="7" t="s">
        <v>2390</v>
      </c>
      <c r="Q612" s="7" t="s">
        <v>29</v>
      </c>
      <c r="R612" s="7" t="s">
        <v>89</v>
      </c>
      <c r="S612" s="7" t="s">
        <v>90</v>
      </c>
      <c r="T612" s="7"/>
      <c r="U612" s="11">
        <f t="shared" si="36"/>
        <v>1870</v>
      </c>
      <c r="V612" s="11">
        <f t="shared" si="37"/>
        <v>1496</v>
      </c>
      <c r="W612" s="11">
        <f t="shared" si="38"/>
        <v>374</v>
      </c>
      <c r="X612" t="str">
        <f t="shared" si="39"/>
        <v>Completed</v>
      </c>
    </row>
    <row r="613" spans="1:24" ht="12.5" x14ac:dyDescent="0.25">
      <c r="A613" s="2" t="s">
        <v>2258</v>
      </c>
      <c r="B613" s="2" t="s">
        <v>2259</v>
      </c>
      <c r="C613" s="2" t="s">
        <v>2260</v>
      </c>
      <c r="D613" s="7" t="s">
        <v>2261</v>
      </c>
      <c r="E613" s="7" t="s">
        <v>55</v>
      </c>
      <c r="F613" s="7" t="s">
        <v>38</v>
      </c>
      <c r="G613" s="5">
        <v>611</v>
      </c>
      <c r="H613" s="5">
        <v>30</v>
      </c>
      <c r="I613" s="5">
        <v>428</v>
      </c>
      <c r="J613" s="5">
        <v>1</v>
      </c>
      <c r="K613" s="2" t="s">
        <v>226</v>
      </c>
      <c r="L613" s="7" t="s">
        <v>209</v>
      </c>
      <c r="M613" s="4">
        <v>4.4000000000000004</v>
      </c>
      <c r="N613" s="5">
        <v>274</v>
      </c>
      <c r="O613" s="3">
        <v>45807</v>
      </c>
      <c r="P613" s="7" t="s">
        <v>2390</v>
      </c>
      <c r="Q613" s="7" t="s">
        <v>29</v>
      </c>
      <c r="R613" s="7" t="s">
        <v>185</v>
      </c>
      <c r="S613" s="7" t="s">
        <v>186</v>
      </c>
      <c r="T613" s="7"/>
      <c r="U613" s="11">
        <f t="shared" si="36"/>
        <v>611</v>
      </c>
      <c r="V613" s="11">
        <f t="shared" si="37"/>
        <v>428</v>
      </c>
      <c r="W613" s="11">
        <f t="shared" si="38"/>
        <v>183</v>
      </c>
      <c r="X613" t="str">
        <f t="shared" si="39"/>
        <v>Completed</v>
      </c>
    </row>
    <row r="614" spans="1:24" ht="12.5" x14ac:dyDescent="0.25">
      <c r="A614" s="2" t="s">
        <v>2262</v>
      </c>
      <c r="B614" s="2" t="s">
        <v>1854</v>
      </c>
      <c r="C614" s="2" t="s">
        <v>2263</v>
      </c>
      <c r="D614" s="7" t="s">
        <v>2264</v>
      </c>
      <c r="E614" s="7" t="s">
        <v>147</v>
      </c>
      <c r="F614" s="7" t="s">
        <v>148</v>
      </c>
      <c r="G614" s="5">
        <v>4811</v>
      </c>
      <c r="H614" s="5">
        <v>30</v>
      </c>
      <c r="I614" s="5">
        <v>3368</v>
      </c>
      <c r="J614" s="5">
        <v>3</v>
      </c>
      <c r="K614" s="2" t="s">
        <v>226</v>
      </c>
      <c r="L614" s="7" t="s">
        <v>168</v>
      </c>
      <c r="M614" s="4">
        <v>3.9</v>
      </c>
      <c r="N614" s="5">
        <v>229</v>
      </c>
      <c r="O614" s="3">
        <v>45793</v>
      </c>
      <c r="P614" s="7" t="s">
        <v>2392</v>
      </c>
      <c r="Q614" s="7" t="s">
        <v>29</v>
      </c>
      <c r="R614" s="7" t="s">
        <v>185</v>
      </c>
      <c r="S614" s="7" t="s">
        <v>186</v>
      </c>
      <c r="T614" s="7"/>
      <c r="U614" s="11">
        <f t="shared" si="36"/>
        <v>14433</v>
      </c>
      <c r="V614" s="11">
        <f t="shared" si="37"/>
        <v>10104</v>
      </c>
      <c r="W614" s="11">
        <f t="shared" si="38"/>
        <v>4329</v>
      </c>
      <c r="X614" t="str">
        <f t="shared" si="39"/>
        <v>Cancelled</v>
      </c>
    </row>
    <row r="615" spans="1:24" ht="12.5" x14ac:dyDescent="0.25">
      <c r="A615" s="2" t="s">
        <v>2265</v>
      </c>
      <c r="B615" s="2" t="s">
        <v>396</v>
      </c>
      <c r="C615" s="2" t="s">
        <v>2266</v>
      </c>
      <c r="D615" s="7" t="s">
        <v>2267</v>
      </c>
      <c r="E615" s="7" t="s">
        <v>122</v>
      </c>
      <c r="F615" s="7" t="s">
        <v>123</v>
      </c>
      <c r="G615" s="5">
        <v>3316</v>
      </c>
      <c r="H615" s="5">
        <v>20</v>
      </c>
      <c r="I615" s="5">
        <v>2653</v>
      </c>
      <c r="J615" s="5">
        <v>3</v>
      </c>
      <c r="K615" s="2" t="s">
        <v>261</v>
      </c>
      <c r="L615" s="7" t="s">
        <v>103</v>
      </c>
      <c r="M615" s="4">
        <v>4.5999999999999996</v>
      </c>
      <c r="N615" s="5">
        <v>142</v>
      </c>
      <c r="O615" s="3">
        <v>45769</v>
      </c>
      <c r="P615" s="7" t="s">
        <v>2390</v>
      </c>
      <c r="Q615" s="7" t="s">
        <v>65</v>
      </c>
      <c r="R615" s="7" t="s">
        <v>110</v>
      </c>
      <c r="S615" s="7" t="s">
        <v>111</v>
      </c>
      <c r="T615" s="7"/>
      <c r="U615" s="11">
        <f t="shared" si="36"/>
        <v>9948</v>
      </c>
      <c r="V615" s="11">
        <f t="shared" si="37"/>
        <v>7959</v>
      </c>
      <c r="W615" s="11">
        <f t="shared" si="38"/>
        <v>1989</v>
      </c>
      <c r="X615" t="str">
        <f t="shared" si="39"/>
        <v>Completed</v>
      </c>
    </row>
    <row r="616" spans="1:24" ht="12.5" x14ac:dyDescent="0.25">
      <c r="A616" s="2" t="s">
        <v>2268</v>
      </c>
      <c r="B616" s="2" t="s">
        <v>468</v>
      </c>
      <c r="C616" s="2" t="s">
        <v>2269</v>
      </c>
      <c r="D616" s="7" t="s">
        <v>2270</v>
      </c>
      <c r="E616" s="7" t="s">
        <v>147</v>
      </c>
      <c r="F616" s="7" t="s">
        <v>148</v>
      </c>
      <c r="G616" s="5">
        <v>3428</v>
      </c>
      <c r="H616" s="5">
        <v>35</v>
      </c>
      <c r="I616" s="5">
        <v>2229</v>
      </c>
      <c r="J616" s="5">
        <v>1</v>
      </c>
      <c r="K616" s="2" t="s">
        <v>163</v>
      </c>
      <c r="L616" s="7" t="s">
        <v>168</v>
      </c>
      <c r="M616" s="4">
        <v>4.8</v>
      </c>
      <c r="N616" s="5">
        <v>232</v>
      </c>
      <c r="O616" s="3">
        <v>45858</v>
      </c>
      <c r="P616" s="7" t="s">
        <v>2390</v>
      </c>
      <c r="Q616" s="7" t="s">
        <v>78</v>
      </c>
      <c r="R616" s="7" t="s">
        <v>149</v>
      </c>
      <c r="S616" s="7" t="s">
        <v>150</v>
      </c>
      <c r="T616" s="7"/>
      <c r="U616" s="11">
        <f t="shared" si="36"/>
        <v>3428</v>
      </c>
      <c r="V616" s="11">
        <f t="shared" si="37"/>
        <v>2229</v>
      </c>
      <c r="W616" s="11">
        <f t="shared" si="38"/>
        <v>1199</v>
      </c>
      <c r="X616" t="str">
        <f t="shared" si="39"/>
        <v>Completed</v>
      </c>
    </row>
    <row r="617" spans="1:24" ht="12.5" x14ac:dyDescent="0.25">
      <c r="A617" s="2" t="s">
        <v>2271</v>
      </c>
      <c r="B617" s="2" t="s">
        <v>909</v>
      </c>
      <c r="C617" s="2" t="s">
        <v>2272</v>
      </c>
      <c r="D617" s="7" t="s">
        <v>2273</v>
      </c>
      <c r="E617" s="7" t="s">
        <v>208</v>
      </c>
      <c r="F617" s="7" t="s">
        <v>117</v>
      </c>
      <c r="G617" s="5">
        <v>3111</v>
      </c>
      <c r="H617" s="5">
        <v>20</v>
      </c>
      <c r="I617" s="5">
        <v>2489</v>
      </c>
      <c r="J617" s="5">
        <v>2</v>
      </c>
      <c r="K617" s="2">
        <v>42</v>
      </c>
      <c r="L617" s="7" t="s">
        <v>64</v>
      </c>
      <c r="M617" s="4">
        <v>4.3</v>
      </c>
      <c r="N617" s="5">
        <v>198</v>
      </c>
      <c r="O617" s="3">
        <v>45847</v>
      </c>
      <c r="P617" s="7" t="s">
        <v>2390</v>
      </c>
      <c r="Q617" s="7" t="s">
        <v>65</v>
      </c>
      <c r="R617" s="7" t="s">
        <v>41</v>
      </c>
      <c r="S617" s="7" t="s">
        <v>42</v>
      </c>
      <c r="T617" s="7"/>
      <c r="U617" s="11">
        <f t="shared" si="36"/>
        <v>6222</v>
      </c>
      <c r="V617" s="11">
        <f t="shared" si="37"/>
        <v>4978</v>
      </c>
      <c r="W617" s="11">
        <f t="shared" si="38"/>
        <v>1244</v>
      </c>
      <c r="X617" t="str">
        <f t="shared" si="39"/>
        <v>Completed</v>
      </c>
    </row>
    <row r="618" spans="1:24" ht="12.5" x14ac:dyDescent="0.25">
      <c r="A618" s="2" t="s">
        <v>2274</v>
      </c>
      <c r="B618" s="2" t="s">
        <v>2175</v>
      </c>
      <c r="C618" s="2" t="s">
        <v>2275</v>
      </c>
      <c r="D618" s="7" t="s">
        <v>2276</v>
      </c>
      <c r="E618" s="7" t="s">
        <v>247</v>
      </c>
      <c r="F618" s="7" t="s">
        <v>248</v>
      </c>
      <c r="G618" s="5">
        <v>3794</v>
      </c>
      <c r="H618" s="5">
        <v>15</v>
      </c>
      <c r="I618" s="5">
        <v>3225</v>
      </c>
      <c r="J618" s="5">
        <v>3</v>
      </c>
      <c r="K618" s="2">
        <v>42</v>
      </c>
      <c r="L618" s="7" t="s">
        <v>39</v>
      </c>
      <c r="M618" s="4">
        <v>4.8</v>
      </c>
      <c r="N618" s="5">
        <v>235</v>
      </c>
      <c r="O618" s="3">
        <v>45853</v>
      </c>
      <c r="P618" s="7" t="s">
        <v>2391</v>
      </c>
      <c r="Q618" s="7" t="s">
        <v>78</v>
      </c>
      <c r="R618" s="7" t="s">
        <v>83</v>
      </c>
      <c r="S618" s="7" t="s">
        <v>83</v>
      </c>
      <c r="T618" s="7" t="s">
        <v>43</v>
      </c>
      <c r="U618" s="11">
        <f t="shared" si="36"/>
        <v>11382</v>
      </c>
      <c r="V618" s="11">
        <f t="shared" si="37"/>
        <v>9675</v>
      </c>
      <c r="W618" s="11">
        <f t="shared" si="38"/>
        <v>1707</v>
      </c>
      <c r="X618" t="str">
        <f t="shared" si="39"/>
        <v>Returned</v>
      </c>
    </row>
    <row r="619" spans="1:24" ht="12.5" x14ac:dyDescent="0.25">
      <c r="A619" s="2" t="s">
        <v>2277</v>
      </c>
      <c r="B619" s="2" t="s">
        <v>2278</v>
      </c>
      <c r="C619" s="2" t="s">
        <v>2279</v>
      </c>
      <c r="D619" s="7" t="s">
        <v>2280</v>
      </c>
      <c r="E619" s="7" t="s">
        <v>24</v>
      </c>
      <c r="F619" s="7" t="s">
        <v>25</v>
      </c>
      <c r="G619" s="5">
        <v>4217</v>
      </c>
      <c r="H619" s="5">
        <v>25</v>
      </c>
      <c r="I619" s="5">
        <v>3163</v>
      </c>
      <c r="J619" s="5">
        <v>1</v>
      </c>
      <c r="K619" s="2" t="s">
        <v>226</v>
      </c>
      <c r="L619" s="7" t="s">
        <v>168</v>
      </c>
      <c r="M619" s="4">
        <v>4.7</v>
      </c>
      <c r="N619" s="5">
        <v>118</v>
      </c>
      <c r="O619" s="3">
        <v>45773</v>
      </c>
      <c r="P619" s="7" t="s">
        <v>2392</v>
      </c>
      <c r="Q619" s="7" t="s">
        <v>29</v>
      </c>
      <c r="R619" s="7" t="s">
        <v>104</v>
      </c>
      <c r="S619" s="7" t="s">
        <v>105</v>
      </c>
      <c r="T619" s="7"/>
      <c r="U619" s="11">
        <f t="shared" si="36"/>
        <v>4217</v>
      </c>
      <c r="V619" s="11">
        <f t="shared" si="37"/>
        <v>3163</v>
      </c>
      <c r="W619" s="11">
        <f t="shared" si="38"/>
        <v>1054</v>
      </c>
      <c r="X619" t="str">
        <f t="shared" si="39"/>
        <v>Cancelled</v>
      </c>
    </row>
    <row r="620" spans="1:24" ht="12.5" x14ac:dyDescent="0.25">
      <c r="A620" s="2" t="s">
        <v>2281</v>
      </c>
      <c r="B620" s="2" t="s">
        <v>2282</v>
      </c>
      <c r="C620" s="2" t="s">
        <v>93</v>
      </c>
      <c r="D620" s="7" t="s">
        <v>2283</v>
      </c>
      <c r="E620" s="7" t="s">
        <v>24</v>
      </c>
      <c r="F620" s="7" t="s">
        <v>25</v>
      </c>
      <c r="G620" s="5">
        <v>3001</v>
      </c>
      <c r="H620" s="5">
        <v>20</v>
      </c>
      <c r="I620" s="5">
        <v>2401</v>
      </c>
      <c r="J620" s="5">
        <v>1</v>
      </c>
      <c r="K620" s="2" t="s">
        <v>163</v>
      </c>
      <c r="L620" s="7" t="s">
        <v>49</v>
      </c>
      <c r="M620" s="4">
        <v>4.5999999999999996</v>
      </c>
      <c r="N620" s="5">
        <v>138</v>
      </c>
      <c r="O620" s="3">
        <v>45835</v>
      </c>
      <c r="P620" s="7" t="s">
        <v>2390</v>
      </c>
      <c r="Q620" s="7" t="s">
        <v>78</v>
      </c>
      <c r="R620" s="7" t="s">
        <v>110</v>
      </c>
      <c r="S620" s="7" t="s">
        <v>111</v>
      </c>
      <c r="T620" s="7"/>
      <c r="U620" s="11">
        <f t="shared" si="36"/>
        <v>3001</v>
      </c>
      <c r="V620" s="11">
        <f t="shared" si="37"/>
        <v>2401</v>
      </c>
      <c r="W620" s="11">
        <f t="shared" si="38"/>
        <v>600</v>
      </c>
      <c r="X620" t="str">
        <f t="shared" si="39"/>
        <v>Completed</v>
      </c>
    </row>
    <row r="621" spans="1:24" ht="12.5" x14ac:dyDescent="0.25">
      <c r="A621" s="2" t="s">
        <v>2284</v>
      </c>
      <c r="B621" s="2" t="s">
        <v>2285</v>
      </c>
      <c r="C621" s="2" t="s">
        <v>2286</v>
      </c>
      <c r="D621" s="7" t="s">
        <v>2287</v>
      </c>
      <c r="E621" s="7" t="s">
        <v>55</v>
      </c>
      <c r="F621" s="7" t="s">
        <v>38</v>
      </c>
      <c r="G621" s="5">
        <v>4231</v>
      </c>
      <c r="H621" s="5">
        <v>20</v>
      </c>
      <c r="I621" s="5">
        <v>3385</v>
      </c>
      <c r="J621" s="5">
        <v>2</v>
      </c>
      <c r="K621" s="2">
        <v>40</v>
      </c>
      <c r="L621" s="7" t="s">
        <v>49</v>
      </c>
      <c r="M621" s="4">
        <v>4.5</v>
      </c>
      <c r="N621" s="5">
        <v>72</v>
      </c>
      <c r="O621" s="3">
        <v>45838</v>
      </c>
      <c r="P621" s="7" t="s">
        <v>2392</v>
      </c>
      <c r="Q621" s="7" t="s">
        <v>29</v>
      </c>
      <c r="R621" s="7" t="s">
        <v>104</v>
      </c>
      <c r="S621" s="7" t="s">
        <v>105</v>
      </c>
      <c r="T621" s="7"/>
      <c r="U621" s="11">
        <f t="shared" si="36"/>
        <v>8462</v>
      </c>
      <c r="V621" s="11">
        <f t="shared" si="37"/>
        <v>6770</v>
      </c>
      <c r="W621" s="11">
        <f t="shared" si="38"/>
        <v>1692</v>
      </c>
      <c r="X621" t="str">
        <f t="shared" si="39"/>
        <v>Cancelled</v>
      </c>
    </row>
    <row r="622" spans="1:24" ht="12.5" x14ac:dyDescent="0.25">
      <c r="A622" s="2" t="s">
        <v>2288</v>
      </c>
      <c r="B622" s="2" t="s">
        <v>1502</v>
      </c>
      <c r="C622" s="2" t="s">
        <v>2289</v>
      </c>
      <c r="D622" s="7" t="s">
        <v>2290</v>
      </c>
      <c r="E622" s="7" t="s">
        <v>122</v>
      </c>
      <c r="F622" s="7" t="s">
        <v>123</v>
      </c>
      <c r="G622" s="5">
        <v>860</v>
      </c>
      <c r="H622" s="5">
        <v>20</v>
      </c>
      <c r="I622" s="5">
        <v>688</v>
      </c>
      <c r="J622" s="5">
        <v>2</v>
      </c>
      <c r="K622" s="2" t="s">
        <v>226</v>
      </c>
      <c r="L622" s="7" t="s">
        <v>73</v>
      </c>
      <c r="M622" s="4">
        <v>4.5999999999999996</v>
      </c>
      <c r="N622" s="5">
        <v>148</v>
      </c>
      <c r="O622" s="3">
        <v>45833</v>
      </c>
      <c r="P622" s="7" t="s">
        <v>2390</v>
      </c>
      <c r="Q622" s="7" t="s">
        <v>78</v>
      </c>
      <c r="R622" s="7" t="s">
        <v>66</v>
      </c>
      <c r="S622" s="7" t="s">
        <v>67</v>
      </c>
      <c r="T622" s="7"/>
      <c r="U622" s="11">
        <f t="shared" si="36"/>
        <v>1720</v>
      </c>
      <c r="V622" s="11">
        <f t="shared" si="37"/>
        <v>1376</v>
      </c>
      <c r="W622" s="11">
        <f t="shared" si="38"/>
        <v>344</v>
      </c>
      <c r="X622" t="str">
        <f t="shared" si="39"/>
        <v>Completed</v>
      </c>
    </row>
    <row r="623" spans="1:24" ht="12.5" x14ac:dyDescent="0.25">
      <c r="A623" s="2" t="s">
        <v>2291</v>
      </c>
      <c r="B623" s="2" t="s">
        <v>634</v>
      </c>
      <c r="C623" s="2" t="s">
        <v>2292</v>
      </c>
      <c r="D623" s="7" t="s">
        <v>2293</v>
      </c>
      <c r="E623" s="7" t="s">
        <v>208</v>
      </c>
      <c r="F623" s="7" t="s">
        <v>117</v>
      </c>
      <c r="G623" s="5">
        <v>4740</v>
      </c>
      <c r="H623" s="5">
        <v>35</v>
      </c>
      <c r="I623" s="5">
        <v>3081</v>
      </c>
      <c r="J623" s="5">
        <v>2</v>
      </c>
      <c r="K623" s="2" t="s">
        <v>261</v>
      </c>
      <c r="L623" s="7" t="s">
        <v>73</v>
      </c>
      <c r="M623" s="4">
        <v>3.9</v>
      </c>
      <c r="N623" s="5">
        <v>103</v>
      </c>
      <c r="O623" s="3">
        <v>45835</v>
      </c>
      <c r="P623" s="7" t="s">
        <v>2390</v>
      </c>
      <c r="Q623" s="7" t="s">
        <v>29</v>
      </c>
      <c r="R623" s="7" t="s">
        <v>89</v>
      </c>
      <c r="S623" s="7" t="s">
        <v>90</v>
      </c>
      <c r="T623" s="7"/>
      <c r="U623" s="11">
        <f t="shared" si="36"/>
        <v>9480</v>
      </c>
      <c r="V623" s="11">
        <f t="shared" si="37"/>
        <v>6162</v>
      </c>
      <c r="W623" s="11">
        <f t="shared" si="38"/>
        <v>3318</v>
      </c>
      <c r="X623" t="str">
        <f t="shared" si="39"/>
        <v>Completed</v>
      </c>
    </row>
    <row r="624" spans="1:24" ht="12.5" x14ac:dyDescent="0.25">
      <c r="A624" s="2" t="s">
        <v>2294</v>
      </c>
      <c r="B624" s="2" t="s">
        <v>562</v>
      </c>
      <c r="C624" s="2" t="s">
        <v>2295</v>
      </c>
      <c r="D624" s="7" t="s">
        <v>2296</v>
      </c>
      <c r="E624" s="7" t="s">
        <v>55</v>
      </c>
      <c r="F624" s="7" t="s">
        <v>38</v>
      </c>
      <c r="G624" s="5">
        <v>4963</v>
      </c>
      <c r="H624" s="5">
        <v>30</v>
      </c>
      <c r="I624" s="5">
        <v>3475</v>
      </c>
      <c r="J624" s="5">
        <v>3</v>
      </c>
      <c r="K624" s="2" t="s">
        <v>26</v>
      </c>
      <c r="L624" s="7" t="s">
        <v>88</v>
      </c>
      <c r="M624" s="4">
        <v>3.9</v>
      </c>
      <c r="N624" s="5">
        <v>276</v>
      </c>
      <c r="O624" s="3">
        <v>45836</v>
      </c>
      <c r="P624" s="7" t="s">
        <v>2392</v>
      </c>
      <c r="Q624" s="7" t="s">
        <v>65</v>
      </c>
      <c r="R624" s="7" t="s">
        <v>66</v>
      </c>
      <c r="S624" s="7" t="s">
        <v>67</v>
      </c>
      <c r="T624" s="7"/>
      <c r="U624" s="11">
        <f t="shared" si="36"/>
        <v>14889</v>
      </c>
      <c r="V624" s="11">
        <f t="shared" si="37"/>
        <v>10425</v>
      </c>
      <c r="W624" s="11">
        <f t="shared" si="38"/>
        <v>4464</v>
      </c>
      <c r="X624" t="str">
        <f t="shared" si="39"/>
        <v>Cancelled</v>
      </c>
    </row>
    <row r="625" spans="1:24" ht="12.5" x14ac:dyDescent="0.25">
      <c r="A625" s="2" t="s">
        <v>2297</v>
      </c>
      <c r="B625" s="2" t="s">
        <v>2298</v>
      </c>
      <c r="C625" s="2" t="s">
        <v>2299</v>
      </c>
      <c r="D625" s="7" t="s">
        <v>2300</v>
      </c>
      <c r="E625" s="7" t="s">
        <v>48</v>
      </c>
      <c r="F625" s="7" t="s">
        <v>25</v>
      </c>
      <c r="G625" s="5">
        <v>2653</v>
      </c>
      <c r="H625" s="5">
        <v>35</v>
      </c>
      <c r="I625" s="5">
        <v>1725</v>
      </c>
      <c r="J625" s="5">
        <v>2</v>
      </c>
      <c r="K625" s="2">
        <v>42</v>
      </c>
      <c r="L625" s="7" t="s">
        <v>103</v>
      </c>
      <c r="M625" s="4">
        <v>3.9</v>
      </c>
      <c r="N625" s="5">
        <v>199</v>
      </c>
      <c r="O625" s="3">
        <v>45793</v>
      </c>
      <c r="P625" s="7" t="s">
        <v>2390</v>
      </c>
      <c r="Q625" s="7" t="s">
        <v>78</v>
      </c>
      <c r="R625" s="7" t="s">
        <v>89</v>
      </c>
      <c r="S625" s="7" t="s">
        <v>90</v>
      </c>
      <c r="T625" s="7"/>
      <c r="U625" s="11">
        <f t="shared" si="36"/>
        <v>5306</v>
      </c>
      <c r="V625" s="11">
        <f t="shared" si="37"/>
        <v>3450</v>
      </c>
      <c r="W625" s="11">
        <f t="shared" si="38"/>
        <v>1856</v>
      </c>
      <c r="X625" t="str">
        <f t="shared" si="39"/>
        <v>Completed</v>
      </c>
    </row>
    <row r="626" spans="1:24" ht="12.5" x14ac:dyDescent="0.25">
      <c r="A626" s="2" t="s">
        <v>2301</v>
      </c>
      <c r="B626" s="2" t="s">
        <v>787</v>
      </c>
      <c r="C626" s="2" t="s">
        <v>2302</v>
      </c>
      <c r="D626" s="7" t="s">
        <v>2303</v>
      </c>
      <c r="E626" s="7" t="s">
        <v>55</v>
      </c>
      <c r="F626" s="7" t="s">
        <v>38</v>
      </c>
      <c r="G626" s="5">
        <v>1822</v>
      </c>
      <c r="H626" s="5">
        <v>35</v>
      </c>
      <c r="I626" s="5">
        <v>1185</v>
      </c>
      <c r="J626" s="5">
        <v>2</v>
      </c>
      <c r="K626" s="2">
        <v>42</v>
      </c>
      <c r="L626" s="7" t="s">
        <v>49</v>
      </c>
      <c r="M626" s="4">
        <v>3.8</v>
      </c>
      <c r="N626" s="5">
        <v>55</v>
      </c>
      <c r="O626" s="3">
        <v>45774</v>
      </c>
      <c r="P626" s="7" t="s">
        <v>2391</v>
      </c>
      <c r="Q626" s="7" t="s">
        <v>29</v>
      </c>
      <c r="R626" s="7" t="s">
        <v>30</v>
      </c>
      <c r="S626" s="7" t="s">
        <v>31</v>
      </c>
      <c r="T626" s="7"/>
      <c r="U626" s="11">
        <f t="shared" si="36"/>
        <v>3644</v>
      </c>
      <c r="V626" s="11">
        <f t="shared" si="37"/>
        <v>2370</v>
      </c>
      <c r="W626" s="11">
        <f t="shared" si="38"/>
        <v>1274</v>
      </c>
      <c r="X626" t="str">
        <f t="shared" si="39"/>
        <v>Returned</v>
      </c>
    </row>
    <row r="627" spans="1:24" ht="12.5" x14ac:dyDescent="0.25">
      <c r="A627" s="2" t="s">
        <v>2304</v>
      </c>
      <c r="B627" s="2" t="s">
        <v>1868</v>
      </c>
      <c r="C627" s="2" t="s">
        <v>2305</v>
      </c>
      <c r="D627" s="7" t="s">
        <v>2306</v>
      </c>
      <c r="E627" s="7" t="s">
        <v>247</v>
      </c>
      <c r="F627" s="7" t="s">
        <v>248</v>
      </c>
      <c r="G627" s="5">
        <v>3949</v>
      </c>
      <c r="H627" s="5">
        <v>35</v>
      </c>
      <c r="I627" s="5">
        <v>2567</v>
      </c>
      <c r="J627" s="5">
        <v>1</v>
      </c>
      <c r="K627" s="2" t="s">
        <v>56</v>
      </c>
      <c r="L627" s="7" t="s">
        <v>73</v>
      </c>
      <c r="M627" s="4">
        <v>3.7</v>
      </c>
      <c r="N627" s="5">
        <v>124</v>
      </c>
      <c r="O627" s="3">
        <v>45809</v>
      </c>
      <c r="P627" s="7" t="s">
        <v>2391</v>
      </c>
      <c r="Q627" s="7" t="s">
        <v>29</v>
      </c>
      <c r="R627" s="7" t="s">
        <v>41</v>
      </c>
      <c r="S627" s="7" t="s">
        <v>42</v>
      </c>
      <c r="T627" s="7" t="s">
        <v>134</v>
      </c>
      <c r="U627" s="11">
        <f t="shared" si="36"/>
        <v>3949</v>
      </c>
      <c r="V627" s="11">
        <f t="shared" si="37"/>
        <v>2567</v>
      </c>
      <c r="W627" s="11">
        <f t="shared" si="38"/>
        <v>1382</v>
      </c>
      <c r="X627" t="str">
        <f t="shared" si="39"/>
        <v>Returned</v>
      </c>
    </row>
    <row r="628" spans="1:24" ht="12.5" x14ac:dyDescent="0.25">
      <c r="A628" s="2" t="s">
        <v>2307</v>
      </c>
      <c r="B628" s="2" t="s">
        <v>2308</v>
      </c>
      <c r="C628" s="2" t="s">
        <v>2309</v>
      </c>
      <c r="D628" s="7" t="s">
        <v>2310</v>
      </c>
      <c r="E628" s="7" t="s">
        <v>24</v>
      </c>
      <c r="F628" s="7" t="s">
        <v>25</v>
      </c>
      <c r="G628" s="5">
        <v>4914</v>
      </c>
      <c r="H628" s="5">
        <v>20</v>
      </c>
      <c r="I628" s="5">
        <v>3932</v>
      </c>
      <c r="J628" s="5">
        <v>3</v>
      </c>
      <c r="K628" s="2" t="s">
        <v>72</v>
      </c>
      <c r="L628" s="7" t="s">
        <v>39</v>
      </c>
      <c r="M628" s="4">
        <v>4.5</v>
      </c>
      <c r="N628" s="5">
        <v>143</v>
      </c>
      <c r="O628" s="3">
        <v>45846</v>
      </c>
      <c r="P628" s="7" t="s">
        <v>2392</v>
      </c>
      <c r="Q628" s="7" t="s">
        <v>65</v>
      </c>
      <c r="R628" s="7" t="s">
        <v>83</v>
      </c>
      <c r="S628" s="7" t="s">
        <v>83</v>
      </c>
      <c r="T628" s="7"/>
      <c r="U628" s="11">
        <f t="shared" si="36"/>
        <v>14742</v>
      </c>
      <c r="V628" s="11">
        <f t="shared" si="37"/>
        <v>11796</v>
      </c>
      <c r="W628" s="11">
        <f t="shared" si="38"/>
        <v>2946</v>
      </c>
      <c r="X628" t="str">
        <f t="shared" si="39"/>
        <v>Cancelled</v>
      </c>
    </row>
    <row r="629" spans="1:24" ht="12.5" x14ac:dyDescent="0.25">
      <c r="A629" s="2" t="s">
        <v>2311</v>
      </c>
      <c r="B629" s="2" t="s">
        <v>670</v>
      </c>
      <c r="C629" s="2" t="s">
        <v>2312</v>
      </c>
      <c r="D629" s="7" t="s">
        <v>2313</v>
      </c>
      <c r="E629" s="7" t="s">
        <v>122</v>
      </c>
      <c r="F629" s="7" t="s">
        <v>123</v>
      </c>
      <c r="G629" s="5">
        <v>4395</v>
      </c>
      <c r="H629" s="5">
        <v>40</v>
      </c>
      <c r="I629" s="5">
        <v>2637</v>
      </c>
      <c r="J629" s="5">
        <v>3</v>
      </c>
      <c r="K629" s="2" t="s">
        <v>56</v>
      </c>
      <c r="L629" s="7" t="s">
        <v>64</v>
      </c>
      <c r="M629" s="4">
        <v>3.8</v>
      </c>
      <c r="N629" s="5">
        <v>248</v>
      </c>
      <c r="O629" s="3">
        <v>45804</v>
      </c>
      <c r="P629" s="7" t="s">
        <v>2392</v>
      </c>
      <c r="Q629" s="7" t="s">
        <v>65</v>
      </c>
      <c r="R629" s="7" t="s">
        <v>58</v>
      </c>
      <c r="S629" s="7" t="s">
        <v>59</v>
      </c>
      <c r="T629" s="7"/>
      <c r="U629" s="11">
        <f t="shared" si="36"/>
        <v>13185</v>
      </c>
      <c r="V629" s="11">
        <f t="shared" si="37"/>
        <v>7911</v>
      </c>
      <c r="W629" s="11">
        <f t="shared" si="38"/>
        <v>5274</v>
      </c>
      <c r="X629" t="str">
        <f t="shared" si="39"/>
        <v>Cancelled</v>
      </c>
    </row>
    <row r="630" spans="1:24" ht="12.5" x14ac:dyDescent="0.25">
      <c r="A630" s="2" t="s">
        <v>2314</v>
      </c>
      <c r="B630" s="2" t="s">
        <v>2315</v>
      </c>
      <c r="C630" s="2" t="s">
        <v>504</v>
      </c>
      <c r="D630" s="7" t="s">
        <v>2316</v>
      </c>
      <c r="E630" s="7" t="s">
        <v>122</v>
      </c>
      <c r="F630" s="7" t="s">
        <v>123</v>
      </c>
      <c r="G630" s="5">
        <v>1955</v>
      </c>
      <c r="H630" s="5">
        <v>40</v>
      </c>
      <c r="I630" s="5">
        <v>1173</v>
      </c>
      <c r="J630" s="5">
        <v>2</v>
      </c>
      <c r="K630" s="2" t="s">
        <v>226</v>
      </c>
      <c r="L630" s="7" t="s">
        <v>73</v>
      </c>
      <c r="M630" s="4">
        <v>4.8</v>
      </c>
      <c r="N630" s="5">
        <v>76</v>
      </c>
      <c r="O630" s="3">
        <v>45847</v>
      </c>
      <c r="P630" s="7" t="s">
        <v>2391</v>
      </c>
      <c r="Q630" s="7" t="s">
        <v>78</v>
      </c>
      <c r="R630" s="7" t="s">
        <v>58</v>
      </c>
      <c r="S630" s="7" t="s">
        <v>59</v>
      </c>
      <c r="T630" s="7"/>
      <c r="U630" s="11">
        <f t="shared" si="36"/>
        <v>3910</v>
      </c>
      <c r="V630" s="11">
        <f t="shared" si="37"/>
        <v>2346</v>
      </c>
      <c r="W630" s="11">
        <f t="shared" si="38"/>
        <v>1564</v>
      </c>
      <c r="X630" t="str">
        <f t="shared" si="39"/>
        <v>Returned</v>
      </c>
    </row>
    <row r="631" spans="1:24" ht="12.5" x14ac:dyDescent="0.25">
      <c r="A631" s="2" t="s">
        <v>2317</v>
      </c>
      <c r="B631" s="2" t="s">
        <v>2318</v>
      </c>
      <c r="C631" s="2" t="s">
        <v>2319</v>
      </c>
      <c r="D631" s="7" t="s">
        <v>2320</v>
      </c>
      <c r="E631" s="7" t="s">
        <v>132</v>
      </c>
      <c r="F631" s="7" t="s">
        <v>38</v>
      </c>
      <c r="G631" s="5">
        <v>3063</v>
      </c>
      <c r="H631" s="5">
        <v>40</v>
      </c>
      <c r="I631" s="5">
        <v>1838</v>
      </c>
      <c r="J631" s="5">
        <v>1</v>
      </c>
      <c r="K631" s="2" t="s">
        <v>72</v>
      </c>
      <c r="L631" s="7" t="s">
        <v>39</v>
      </c>
      <c r="M631" s="4">
        <v>3.6</v>
      </c>
      <c r="N631" s="5">
        <v>181</v>
      </c>
      <c r="O631" s="3">
        <v>45802</v>
      </c>
      <c r="P631" s="7" t="s">
        <v>2391</v>
      </c>
      <c r="Q631" s="7" t="s">
        <v>78</v>
      </c>
      <c r="R631" s="7" t="s">
        <v>185</v>
      </c>
      <c r="S631" s="7" t="s">
        <v>186</v>
      </c>
      <c r="T631" s="7" t="s">
        <v>50</v>
      </c>
      <c r="U631" s="11">
        <f t="shared" si="36"/>
        <v>3063</v>
      </c>
      <c r="V631" s="11">
        <f t="shared" si="37"/>
        <v>1838</v>
      </c>
      <c r="W631" s="11">
        <f t="shared" si="38"/>
        <v>1225</v>
      </c>
      <c r="X631" t="str">
        <f t="shared" si="39"/>
        <v>Returned</v>
      </c>
    </row>
    <row r="632" spans="1:24" ht="12.5" x14ac:dyDescent="0.25">
      <c r="A632" s="2" t="s">
        <v>2321</v>
      </c>
      <c r="B632" s="2" t="s">
        <v>2322</v>
      </c>
      <c r="C632" s="2" t="s">
        <v>2323</v>
      </c>
      <c r="D632" s="7" t="s">
        <v>2324</v>
      </c>
      <c r="E632" s="7" t="s">
        <v>132</v>
      </c>
      <c r="F632" s="7" t="s">
        <v>38</v>
      </c>
      <c r="G632" s="5">
        <v>2762</v>
      </c>
      <c r="H632" s="5">
        <v>15</v>
      </c>
      <c r="I632" s="5">
        <v>2348</v>
      </c>
      <c r="J632" s="5">
        <v>1</v>
      </c>
      <c r="K632" s="2">
        <v>40</v>
      </c>
      <c r="L632" s="7" t="s">
        <v>27</v>
      </c>
      <c r="M632" s="4">
        <v>5</v>
      </c>
      <c r="N632" s="5">
        <v>160</v>
      </c>
      <c r="O632" s="3">
        <v>45790</v>
      </c>
      <c r="P632" s="7" t="s">
        <v>2391</v>
      </c>
      <c r="Q632" s="7" t="s">
        <v>29</v>
      </c>
      <c r="R632" s="7" t="s">
        <v>83</v>
      </c>
      <c r="S632" s="7" t="s">
        <v>83</v>
      </c>
      <c r="T632" s="7" t="s">
        <v>50</v>
      </c>
      <c r="U632" s="11">
        <f t="shared" si="36"/>
        <v>2762</v>
      </c>
      <c r="V632" s="11">
        <f t="shared" si="37"/>
        <v>2348</v>
      </c>
      <c r="W632" s="11">
        <f t="shared" si="38"/>
        <v>414</v>
      </c>
      <c r="X632" t="str">
        <f t="shared" si="39"/>
        <v>Returned</v>
      </c>
    </row>
    <row r="633" spans="1:24" ht="12.5" x14ac:dyDescent="0.25">
      <c r="A633" s="2" t="s">
        <v>2325</v>
      </c>
      <c r="B633" s="2" t="s">
        <v>2326</v>
      </c>
      <c r="C633" s="2" t="s">
        <v>2327</v>
      </c>
      <c r="D633" s="7" t="s">
        <v>2328</v>
      </c>
      <c r="E633" s="7" t="s">
        <v>37</v>
      </c>
      <c r="F633" s="7" t="s">
        <v>38</v>
      </c>
      <c r="G633" s="5">
        <v>4675</v>
      </c>
      <c r="H633" s="5">
        <v>40</v>
      </c>
      <c r="I633" s="5">
        <v>2805</v>
      </c>
      <c r="J633" s="5">
        <v>1</v>
      </c>
      <c r="K633" s="2" t="s">
        <v>226</v>
      </c>
      <c r="L633" s="7" t="s">
        <v>49</v>
      </c>
      <c r="M633" s="4">
        <v>4.0999999999999996</v>
      </c>
      <c r="N633" s="5">
        <v>46</v>
      </c>
      <c r="O633" s="3">
        <v>45828</v>
      </c>
      <c r="P633" s="7" t="s">
        <v>2391</v>
      </c>
      <c r="Q633" s="7" t="s">
        <v>78</v>
      </c>
      <c r="R633" s="7" t="s">
        <v>83</v>
      </c>
      <c r="S633" s="7" t="s">
        <v>83</v>
      </c>
      <c r="T633" s="7" t="s">
        <v>43</v>
      </c>
      <c r="U633" s="11">
        <f t="shared" si="36"/>
        <v>4675</v>
      </c>
      <c r="V633" s="11">
        <f t="shared" si="37"/>
        <v>2805</v>
      </c>
      <c r="W633" s="11">
        <f t="shared" si="38"/>
        <v>1870</v>
      </c>
      <c r="X633" t="str">
        <f t="shared" si="39"/>
        <v>Returned</v>
      </c>
    </row>
    <row r="634" spans="1:24" ht="12.5" x14ac:dyDescent="0.25">
      <c r="A634" s="2" t="s">
        <v>2329</v>
      </c>
      <c r="B634" s="2" t="s">
        <v>2330</v>
      </c>
      <c r="C634" s="2" t="s">
        <v>2331</v>
      </c>
      <c r="D634" s="7" t="s">
        <v>2332</v>
      </c>
      <c r="E634" s="7" t="s">
        <v>24</v>
      </c>
      <c r="F634" s="7" t="s">
        <v>25</v>
      </c>
      <c r="G634" s="5">
        <v>2286</v>
      </c>
      <c r="H634" s="5">
        <v>30</v>
      </c>
      <c r="I634" s="5">
        <v>1601</v>
      </c>
      <c r="J634" s="5">
        <v>3</v>
      </c>
      <c r="K634" s="2" t="s">
        <v>163</v>
      </c>
      <c r="L634" s="7" t="s">
        <v>133</v>
      </c>
      <c r="M634" s="4">
        <v>4.7</v>
      </c>
      <c r="N634" s="5">
        <v>88</v>
      </c>
      <c r="O634" s="3">
        <v>45807</v>
      </c>
      <c r="P634" s="7" t="s">
        <v>2390</v>
      </c>
      <c r="Q634" s="7" t="s">
        <v>78</v>
      </c>
      <c r="R634" s="7" t="s">
        <v>41</v>
      </c>
      <c r="S634" s="7" t="s">
        <v>42</v>
      </c>
      <c r="T634" s="7"/>
      <c r="U634" s="11">
        <f t="shared" si="36"/>
        <v>6858</v>
      </c>
      <c r="V634" s="11">
        <f t="shared" si="37"/>
        <v>4803</v>
      </c>
      <c r="W634" s="11">
        <f t="shared" si="38"/>
        <v>2055</v>
      </c>
      <c r="X634" t="str">
        <f t="shared" si="39"/>
        <v>Completed</v>
      </c>
    </row>
    <row r="635" spans="1:24" ht="12.5" x14ac:dyDescent="0.25">
      <c r="A635" s="2" t="s">
        <v>2333</v>
      </c>
      <c r="B635" s="2" t="s">
        <v>593</v>
      </c>
      <c r="C635" s="2" t="s">
        <v>2334</v>
      </c>
      <c r="D635" s="7" t="s">
        <v>2335</v>
      </c>
      <c r="E635" s="7" t="s">
        <v>147</v>
      </c>
      <c r="F635" s="7" t="s">
        <v>148</v>
      </c>
      <c r="G635" s="5">
        <v>1822</v>
      </c>
      <c r="H635" s="5">
        <v>40</v>
      </c>
      <c r="I635" s="5">
        <v>1094</v>
      </c>
      <c r="J635" s="5">
        <v>3</v>
      </c>
      <c r="K635" s="2" t="s">
        <v>26</v>
      </c>
      <c r="L635" s="7" t="s">
        <v>27</v>
      </c>
      <c r="M635" s="4">
        <v>4.7</v>
      </c>
      <c r="N635" s="5">
        <v>227</v>
      </c>
      <c r="O635" s="3">
        <v>45817</v>
      </c>
      <c r="P635" s="7" t="s">
        <v>2391</v>
      </c>
      <c r="Q635" s="7" t="s">
        <v>65</v>
      </c>
      <c r="R635" s="7" t="s">
        <v>41</v>
      </c>
      <c r="S635" s="7" t="s">
        <v>42</v>
      </c>
      <c r="T635" s="7" t="s">
        <v>43</v>
      </c>
      <c r="U635" s="11">
        <f t="shared" si="36"/>
        <v>5466</v>
      </c>
      <c r="V635" s="11">
        <f t="shared" si="37"/>
        <v>3282</v>
      </c>
      <c r="W635" s="11">
        <f t="shared" si="38"/>
        <v>2184</v>
      </c>
      <c r="X635" t="str">
        <f t="shared" si="39"/>
        <v>Returned</v>
      </c>
    </row>
    <row r="636" spans="1:24" ht="12.5" x14ac:dyDescent="0.25">
      <c r="A636" s="2" t="s">
        <v>2336</v>
      </c>
      <c r="B636" s="2" t="s">
        <v>464</v>
      </c>
      <c r="C636" s="2" t="s">
        <v>2337</v>
      </c>
      <c r="D636" s="7" t="s">
        <v>2338</v>
      </c>
      <c r="E636" s="7" t="s">
        <v>147</v>
      </c>
      <c r="F636" s="7" t="s">
        <v>148</v>
      </c>
      <c r="G636" s="5">
        <v>1554</v>
      </c>
      <c r="H636" s="5">
        <v>40</v>
      </c>
      <c r="I636" s="5">
        <v>933</v>
      </c>
      <c r="J636" s="5">
        <v>3</v>
      </c>
      <c r="K636" s="2" t="s">
        <v>72</v>
      </c>
      <c r="L636" s="7" t="s">
        <v>103</v>
      </c>
      <c r="M636" s="4">
        <v>4.8</v>
      </c>
      <c r="N636" s="5">
        <v>240</v>
      </c>
      <c r="O636" s="3">
        <v>45802</v>
      </c>
      <c r="P636" s="7" t="s">
        <v>2391</v>
      </c>
      <c r="Q636" s="7" t="s">
        <v>29</v>
      </c>
      <c r="R636" s="7" t="s">
        <v>149</v>
      </c>
      <c r="S636" s="7" t="s">
        <v>150</v>
      </c>
      <c r="T636" s="7" t="s">
        <v>134</v>
      </c>
      <c r="U636" s="11">
        <f t="shared" si="36"/>
        <v>4662</v>
      </c>
      <c r="V636" s="11">
        <f t="shared" si="37"/>
        <v>2799</v>
      </c>
      <c r="W636" s="11">
        <f t="shared" si="38"/>
        <v>1863</v>
      </c>
      <c r="X636" t="str">
        <f t="shared" si="39"/>
        <v>Returned</v>
      </c>
    </row>
    <row r="637" spans="1:24" ht="12.5" x14ac:dyDescent="0.25">
      <c r="A637" s="2" t="s">
        <v>2339</v>
      </c>
      <c r="B637" s="2" t="s">
        <v>1034</v>
      </c>
      <c r="C637" s="2" t="s">
        <v>2340</v>
      </c>
      <c r="D637" s="7" t="s">
        <v>2341</v>
      </c>
      <c r="E637" s="7" t="s">
        <v>48</v>
      </c>
      <c r="F637" s="7" t="s">
        <v>25</v>
      </c>
      <c r="G637" s="5">
        <v>1750</v>
      </c>
      <c r="H637" s="5">
        <v>15</v>
      </c>
      <c r="I637" s="5">
        <v>1488</v>
      </c>
      <c r="J637" s="5">
        <v>1</v>
      </c>
      <c r="K637" s="2">
        <v>44</v>
      </c>
      <c r="L637" s="7" t="s">
        <v>209</v>
      </c>
      <c r="M637" s="4">
        <v>3.7</v>
      </c>
      <c r="N637" s="5">
        <v>247</v>
      </c>
      <c r="O637" s="3">
        <v>45820</v>
      </c>
      <c r="P637" s="7" t="s">
        <v>2390</v>
      </c>
      <c r="Q637" s="7" t="s">
        <v>29</v>
      </c>
      <c r="R637" s="7" t="s">
        <v>58</v>
      </c>
      <c r="S637" s="7" t="s">
        <v>59</v>
      </c>
      <c r="T637" s="7"/>
      <c r="U637" s="11">
        <f t="shared" si="36"/>
        <v>1750</v>
      </c>
      <c r="V637" s="11">
        <f t="shared" si="37"/>
        <v>1488</v>
      </c>
      <c r="W637" s="11">
        <f t="shared" si="38"/>
        <v>262</v>
      </c>
      <c r="X637" t="str">
        <f t="shared" si="39"/>
        <v>Completed</v>
      </c>
    </row>
    <row r="638" spans="1:24" ht="12.5" x14ac:dyDescent="0.25">
      <c r="A638" s="2" t="s">
        <v>2342</v>
      </c>
      <c r="B638" s="2" t="s">
        <v>2343</v>
      </c>
      <c r="C638" s="2" t="s">
        <v>2344</v>
      </c>
      <c r="D638" s="7" t="s">
        <v>2345</v>
      </c>
      <c r="E638" s="7" t="s">
        <v>55</v>
      </c>
      <c r="F638" s="7" t="s">
        <v>38</v>
      </c>
      <c r="G638" s="5">
        <v>913</v>
      </c>
      <c r="H638" s="5">
        <v>30</v>
      </c>
      <c r="I638" s="5">
        <v>640</v>
      </c>
      <c r="J638" s="5">
        <v>1</v>
      </c>
      <c r="K638" s="2" t="s">
        <v>32</v>
      </c>
      <c r="L638" s="7" t="s">
        <v>103</v>
      </c>
      <c r="M638" s="4">
        <v>4.5999999999999996</v>
      </c>
      <c r="N638" s="5">
        <v>133</v>
      </c>
      <c r="O638" s="3">
        <v>45829</v>
      </c>
      <c r="P638" s="7" t="s">
        <v>2391</v>
      </c>
      <c r="Q638" s="7" t="s">
        <v>78</v>
      </c>
      <c r="R638" s="7" t="s">
        <v>58</v>
      </c>
      <c r="S638" s="7" t="s">
        <v>59</v>
      </c>
      <c r="T638" s="7" t="s">
        <v>203</v>
      </c>
      <c r="U638" s="11">
        <f t="shared" si="36"/>
        <v>913</v>
      </c>
      <c r="V638" s="11">
        <f t="shared" si="37"/>
        <v>640</v>
      </c>
      <c r="W638" s="11">
        <f t="shared" si="38"/>
        <v>273</v>
      </c>
      <c r="X638" t="str">
        <f t="shared" si="39"/>
        <v>Returned</v>
      </c>
    </row>
    <row r="639" spans="1:24" ht="12.5" x14ac:dyDescent="0.25">
      <c r="A639" s="2" t="s">
        <v>2346</v>
      </c>
      <c r="B639" s="2" t="s">
        <v>1905</v>
      </c>
      <c r="C639" s="2" t="s">
        <v>2347</v>
      </c>
      <c r="D639" s="7" t="s">
        <v>2348</v>
      </c>
      <c r="E639" s="7" t="s">
        <v>247</v>
      </c>
      <c r="F639" s="7" t="s">
        <v>248</v>
      </c>
      <c r="G639" s="5">
        <v>3692</v>
      </c>
      <c r="H639" s="5">
        <v>15</v>
      </c>
      <c r="I639" s="5">
        <v>3139</v>
      </c>
      <c r="J639" s="5">
        <v>1</v>
      </c>
      <c r="K639" s="2" t="s">
        <v>26</v>
      </c>
      <c r="L639" s="7" t="s">
        <v>133</v>
      </c>
      <c r="M639" s="4">
        <v>4.2</v>
      </c>
      <c r="N639" s="5">
        <v>123</v>
      </c>
      <c r="O639" s="3">
        <v>45858</v>
      </c>
      <c r="P639" s="7" t="s">
        <v>2392</v>
      </c>
      <c r="Q639" s="7" t="s">
        <v>78</v>
      </c>
      <c r="R639" s="7" t="s">
        <v>149</v>
      </c>
      <c r="S639" s="7" t="s">
        <v>150</v>
      </c>
      <c r="T639" s="7"/>
      <c r="U639" s="11">
        <f t="shared" si="36"/>
        <v>3692</v>
      </c>
      <c r="V639" s="11">
        <f t="shared" si="37"/>
        <v>3139</v>
      </c>
      <c r="W639" s="11">
        <f t="shared" si="38"/>
        <v>553</v>
      </c>
      <c r="X639" t="str">
        <f t="shared" si="39"/>
        <v>Cancelled</v>
      </c>
    </row>
    <row r="640" spans="1:24" ht="12.5" x14ac:dyDescent="0.25">
      <c r="A640" s="2" t="s">
        <v>2349</v>
      </c>
      <c r="B640" s="2" t="s">
        <v>1269</v>
      </c>
      <c r="C640" s="2" t="s">
        <v>2350</v>
      </c>
      <c r="D640" s="7" t="s">
        <v>2351</v>
      </c>
      <c r="E640" s="7" t="s">
        <v>116</v>
      </c>
      <c r="F640" s="7" t="s">
        <v>117</v>
      </c>
      <c r="G640" s="5">
        <v>4465</v>
      </c>
      <c r="H640" s="5">
        <v>30</v>
      </c>
      <c r="I640" s="5">
        <v>3126</v>
      </c>
      <c r="J640" s="5">
        <v>1</v>
      </c>
      <c r="K640" s="2" t="s">
        <v>32</v>
      </c>
      <c r="L640" s="7" t="s">
        <v>49</v>
      </c>
      <c r="M640" s="4">
        <v>4.9000000000000004</v>
      </c>
      <c r="N640" s="5">
        <v>44</v>
      </c>
      <c r="O640" s="3">
        <v>45819</v>
      </c>
      <c r="P640" s="7" t="s">
        <v>2391</v>
      </c>
      <c r="Q640" s="7" t="s">
        <v>29</v>
      </c>
      <c r="R640" s="7" t="s">
        <v>104</v>
      </c>
      <c r="S640" s="7" t="s">
        <v>105</v>
      </c>
      <c r="T640" s="7" t="s">
        <v>203</v>
      </c>
      <c r="U640" s="11">
        <f t="shared" si="36"/>
        <v>4465</v>
      </c>
      <c r="V640" s="11">
        <f t="shared" si="37"/>
        <v>3126</v>
      </c>
      <c r="W640" s="11">
        <f t="shared" si="38"/>
        <v>1339</v>
      </c>
      <c r="X640" t="str">
        <f t="shared" si="39"/>
        <v>Returned</v>
      </c>
    </row>
    <row r="641" spans="1:24" ht="12.5" x14ac:dyDescent="0.25">
      <c r="A641" s="2" t="s">
        <v>2352</v>
      </c>
      <c r="B641" s="2" t="s">
        <v>2353</v>
      </c>
      <c r="C641" s="2" t="s">
        <v>2354</v>
      </c>
      <c r="D641" s="7" t="s">
        <v>2355</v>
      </c>
      <c r="E641" s="7" t="s">
        <v>37</v>
      </c>
      <c r="F641" s="7" t="s">
        <v>38</v>
      </c>
      <c r="G641" s="5">
        <v>4886</v>
      </c>
      <c r="H641" s="5">
        <v>25</v>
      </c>
      <c r="I641" s="5">
        <v>3665</v>
      </c>
      <c r="J641" s="5">
        <v>2</v>
      </c>
      <c r="K641" s="2" t="s">
        <v>163</v>
      </c>
      <c r="L641" s="7" t="s">
        <v>49</v>
      </c>
      <c r="M641" s="4">
        <v>4.2</v>
      </c>
      <c r="N641" s="5">
        <v>187</v>
      </c>
      <c r="O641" s="3">
        <v>45782</v>
      </c>
      <c r="P641" s="7" t="s">
        <v>2390</v>
      </c>
      <c r="Q641" s="7" t="s">
        <v>65</v>
      </c>
      <c r="R641" s="7" t="s">
        <v>83</v>
      </c>
      <c r="S641" s="7" t="s">
        <v>83</v>
      </c>
      <c r="T641" s="7"/>
      <c r="U641" s="11">
        <f t="shared" si="36"/>
        <v>9772</v>
      </c>
      <c r="V641" s="11">
        <f t="shared" si="37"/>
        <v>7330</v>
      </c>
      <c r="W641" s="11">
        <f t="shared" si="38"/>
        <v>2442</v>
      </c>
      <c r="X641" t="str">
        <f t="shared" si="39"/>
        <v>Completed</v>
      </c>
    </row>
    <row r="642" spans="1:24" ht="12.5" x14ac:dyDescent="0.25">
      <c r="A642" s="2" t="s">
        <v>2356</v>
      </c>
      <c r="B642" s="2" t="s">
        <v>2357</v>
      </c>
      <c r="C642" s="2" t="s">
        <v>2358</v>
      </c>
      <c r="D642" s="7" t="s">
        <v>2359</v>
      </c>
      <c r="E642" s="7" t="s">
        <v>24</v>
      </c>
      <c r="F642" s="7" t="s">
        <v>25</v>
      </c>
      <c r="G642" s="5">
        <v>3249</v>
      </c>
      <c r="H642" s="5">
        <v>40</v>
      </c>
      <c r="I642" s="5">
        <v>1950</v>
      </c>
      <c r="J642" s="5">
        <v>2</v>
      </c>
      <c r="K642" s="2">
        <v>40</v>
      </c>
      <c r="L642" s="7" t="s">
        <v>133</v>
      </c>
      <c r="M642" s="4">
        <v>3.5</v>
      </c>
      <c r="N642" s="5">
        <v>245</v>
      </c>
      <c r="O642" s="3">
        <v>45825</v>
      </c>
      <c r="P642" s="7" t="s">
        <v>2392</v>
      </c>
      <c r="Q642" s="7" t="s">
        <v>65</v>
      </c>
      <c r="R642" s="7" t="s">
        <v>149</v>
      </c>
      <c r="S642" s="7" t="s">
        <v>150</v>
      </c>
      <c r="T642" s="7"/>
      <c r="U642" s="11">
        <f t="shared" ref="U642:U651" si="40">G642*J642</f>
        <v>6498</v>
      </c>
      <c r="V642" s="11">
        <f t="shared" ref="V642:V651" si="41">I642*J642</f>
        <v>3900</v>
      </c>
      <c r="W642" s="11">
        <f t="shared" ref="W642:W651" si="42">(G642-I642)*J642</f>
        <v>2598</v>
      </c>
      <c r="X642" t="str">
        <f t="shared" ref="X642:X651" si="43">IF(P642="DELIVERED","Completed",IF(P642="RETURNED","Returned","Cancelled"))</f>
        <v>Cancelled</v>
      </c>
    </row>
    <row r="643" spans="1:24" ht="12.5" x14ac:dyDescent="0.25">
      <c r="A643" s="2" t="s">
        <v>2360</v>
      </c>
      <c r="B643" s="2" t="s">
        <v>448</v>
      </c>
      <c r="C643" s="2" t="s">
        <v>2361</v>
      </c>
      <c r="D643" s="7" t="s">
        <v>2362</v>
      </c>
      <c r="E643" s="7" t="s">
        <v>132</v>
      </c>
      <c r="F643" s="7" t="s">
        <v>38</v>
      </c>
      <c r="G643" s="5">
        <v>2112</v>
      </c>
      <c r="H643" s="5">
        <v>20</v>
      </c>
      <c r="I643" s="5">
        <v>1690</v>
      </c>
      <c r="J643" s="5">
        <v>1</v>
      </c>
      <c r="K643" s="2" t="s">
        <v>72</v>
      </c>
      <c r="L643" s="7" t="s">
        <v>73</v>
      </c>
      <c r="M643" s="4">
        <v>4.3</v>
      </c>
      <c r="N643" s="5">
        <v>295</v>
      </c>
      <c r="O643" s="3">
        <v>45827</v>
      </c>
      <c r="P643" s="7" t="s">
        <v>2391</v>
      </c>
      <c r="Q643" s="7" t="s">
        <v>65</v>
      </c>
      <c r="R643" s="7" t="s">
        <v>58</v>
      </c>
      <c r="S643" s="7" t="s">
        <v>59</v>
      </c>
      <c r="T643" s="7"/>
      <c r="U643" s="11">
        <f t="shared" si="40"/>
        <v>2112</v>
      </c>
      <c r="V643" s="11">
        <f t="shared" si="41"/>
        <v>1690</v>
      </c>
      <c r="W643" s="11">
        <f t="shared" si="42"/>
        <v>422</v>
      </c>
      <c r="X643" t="str">
        <f t="shared" si="43"/>
        <v>Returned</v>
      </c>
    </row>
    <row r="644" spans="1:24" ht="12.5" x14ac:dyDescent="0.25">
      <c r="A644" s="2" t="s">
        <v>2363</v>
      </c>
      <c r="B644" s="2" t="s">
        <v>828</v>
      </c>
      <c r="C644" s="2" t="s">
        <v>2364</v>
      </c>
      <c r="D644" s="7" t="s">
        <v>2365</v>
      </c>
      <c r="E644" s="7" t="s">
        <v>48</v>
      </c>
      <c r="F644" s="7" t="s">
        <v>25</v>
      </c>
      <c r="G644" s="5">
        <v>4882</v>
      </c>
      <c r="H644" s="5">
        <v>15</v>
      </c>
      <c r="I644" s="5">
        <v>4150</v>
      </c>
      <c r="J644" s="5">
        <v>1</v>
      </c>
      <c r="K644" s="2" t="s">
        <v>261</v>
      </c>
      <c r="L644" s="7" t="s">
        <v>49</v>
      </c>
      <c r="M644" s="4">
        <v>4.0999999999999996</v>
      </c>
      <c r="N644" s="5">
        <v>10</v>
      </c>
      <c r="O644" s="3">
        <v>45841</v>
      </c>
      <c r="P644" s="7" t="s">
        <v>2390</v>
      </c>
      <c r="Q644" s="7" t="s">
        <v>78</v>
      </c>
      <c r="R644" s="7" t="s">
        <v>104</v>
      </c>
      <c r="S644" s="7" t="s">
        <v>105</v>
      </c>
      <c r="T644" s="7"/>
      <c r="U644" s="11">
        <f t="shared" si="40"/>
        <v>4882</v>
      </c>
      <c r="V644" s="11">
        <f t="shared" si="41"/>
        <v>4150</v>
      </c>
      <c r="W644" s="11">
        <f t="shared" si="42"/>
        <v>732</v>
      </c>
      <c r="X644" t="str">
        <f t="shared" si="43"/>
        <v>Completed</v>
      </c>
    </row>
    <row r="645" spans="1:24" ht="12.5" x14ac:dyDescent="0.25">
      <c r="A645" s="2" t="s">
        <v>2366</v>
      </c>
      <c r="B645" s="2" t="s">
        <v>2353</v>
      </c>
      <c r="C645" s="2" t="s">
        <v>2367</v>
      </c>
      <c r="D645" s="7" t="s">
        <v>2368</v>
      </c>
      <c r="E645" s="7" t="s">
        <v>122</v>
      </c>
      <c r="F645" s="7" t="s">
        <v>123</v>
      </c>
      <c r="G645" s="5">
        <v>4153</v>
      </c>
      <c r="H645" s="5">
        <v>35</v>
      </c>
      <c r="I645" s="5">
        <v>2700</v>
      </c>
      <c r="J645" s="5">
        <v>3</v>
      </c>
      <c r="K645" s="2">
        <v>42</v>
      </c>
      <c r="L645" s="7" t="s">
        <v>103</v>
      </c>
      <c r="M645" s="4">
        <v>4.9000000000000004</v>
      </c>
      <c r="N645" s="5">
        <v>196</v>
      </c>
      <c r="O645" s="3">
        <v>45806</v>
      </c>
      <c r="P645" s="7" t="s">
        <v>2391</v>
      </c>
      <c r="Q645" s="7" t="s">
        <v>65</v>
      </c>
      <c r="R645" s="7" t="s">
        <v>185</v>
      </c>
      <c r="S645" s="7" t="s">
        <v>186</v>
      </c>
      <c r="T645" s="7" t="s">
        <v>134</v>
      </c>
      <c r="U645" s="11">
        <f t="shared" si="40"/>
        <v>12459</v>
      </c>
      <c r="V645" s="11">
        <f t="shared" si="41"/>
        <v>8100</v>
      </c>
      <c r="W645" s="11">
        <f t="shared" si="42"/>
        <v>4359</v>
      </c>
      <c r="X645" t="str">
        <f t="shared" si="43"/>
        <v>Returned</v>
      </c>
    </row>
    <row r="646" spans="1:24" ht="12.5" x14ac:dyDescent="0.25">
      <c r="A646" s="2" t="s">
        <v>2369</v>
      </c>
      <c r="B646" s="2" t="s">
        <v>2083</v>
      </c>
      <c r="C646" s="2" t="s">
        <v>2370</v>
      </c>
      <c r="D646" s="7" t="s">
        <v>2371</v>
      </c>
      <c r="E646" s="7" t="s">
        <v>55</v>
      </c>
      <c r="F646" s="7" t="s">
        <v>38</v>
      </c>
      <c r="G646" s="5">
        <v>2656</v>
      </c>
      <c r="H646" s="5">
        <v>35</v>
      </c>
      <c r="I646" s="5">
        <v>1727</v>
      </c>
      <c r="J646" s="5">
        <v>1</v>
      </c>
      <c r="K646" s="2">
        <v>42</v>
      </c>
      <c r="L646" s="7" t="s">
        <v>27</v>
      </c>
      <c r="M646" s="4">
        <v>3.8</v>
      </c>
      <c r="N646" s="5">
        <v>278</v>
      </c>
      <c r="O646" s="3">
        <v>45784</v>
      </c>
      <c r="P646" s="7" t="s">
        <v>2391</v>
      </c>
      <c r="Q646" s="7" t="s">
        <v>65</v>
      </c>
      <c r="R646" s="7" t="s">
        <v>66</v>
      </c>
      <c r="S646" s="7" t="s">
        <v>67</v>
      </c>
      <c r="T646" s="7" t="s">
        <v>43</v>
      </c>
      <c r="U646" s="11">
        <f t="shared" si="40"/>
        <v>2656</v>
      </c>
      <c r="V646" s="11">
        <f t="shared" si="41"/>
        <v>1727</v>
      </c>
      <c r="W646" s="11">
        <f t="shared" si="42"/>
        <v>929</v>
      </c>
      <c r="X646" t="str">
        <f t="shared" si="43"/>
        <v>Returned</v>
      </c>
    </row>
    <row r="647" spans="1:24" ht="12.5" x14ac:dyDescent="0.25">
      <c r="A647" s="2" t="s">
        <v>2372</v>
      </c>
      <c r="B647" s="2" t="s">
        <v>2373</v>
      </c>
      <c r="C647" s="2" t="s">
        <v>2374</v>
      </c>
      <c r="D647" s="7" t="s">
        <v>2375</v>
      </c>
      <c r="E647" s="7" t="s">
        <v>48</v>
      </c>
      <c r="F647" s="7" t="s">
        <v>25</v>
      </c>
      <c r="G647" s="5">
        <v>2398</v>
      </c>
      <c r="H647" s="5">
        <v>35</v>
      </c>
      <c r="I647" s="5">
        <v>1559</v>
      </c>
      <c r="J647" s="5">
        <v>2</v>
      </c>
      <c r="K647" s="2">
        <v>44</v>
      </c>
      <c r="L647" s="7" t="s">
        <v>103</v>
      </c>
      <c r="M647" s="4">
        <v>3.9</v>
      </c>
      <c r="N647" s="5">
        <v>215</v>
      </c>
      <c r="O647" s="3">
        <v>45844</v>
      </c>
      <c r="P647" s="7" t="s">
        <v>2391</v>
      </c>
      <c r="Q647" s="7" t="s">
        <v>65</v>
      </c>
      <c r="R647" s="7" t="s">
        <v>30</v>
      </c>
      <c r="S647" s="7" t="s">
        <v>31</v>
      </c>
      <c r="T647" s="7" t="s">
        <v>50</v>
      </c>
      <c r="U647" s="11">
        <f t="shared" si="40"/>
        <v>4796</v>
      </c>
      <c r="V647" s="11">
        <f t="shared" si="41"/>
        <v>3118</v>
      </c>
      <c r="W647" s="11">
        <f t="shared" si="42"/>
        <v>1678</v>
      </c>
      <c r="X647" t="str">
        <f t="shared" si="43"/>
        <v>Returned</v>
      </c>
    </row>
    <row r="648" spans="1:24" ht="12.5" x14ac:dyDescent="0.25">
      <c r="A648" s="2" t="s">
        <v>2376</v>
      </c>
      <c r="B648" s="2" t="s">
        <v>2377</v>
      </c>
      <c r="C648" s="2" t="s">
        <v>2378</v>
      </c>
      <c r="D648" s="7" t="s">
        <v>2379</v>
      </c>
      <c r="E648" s="7" t="s">
        <v>208</v>
      </c>
      <c r="F648" s="7" t="s">
        <v>117</v>
      </c>
      <c r="G648" s="5">
        <v>2430</v>
      </c>
      <c r="H648" s="5">
        <v>20</v>
      </c>
      <c r="I648" s="5">
        <v>1944</v>
      </c>
      <c r="J648" s="5">
        <v>1</v>
      </c>
      <c r="K648" s="2">
        <v>44</v>
      </c>
      <c r="L648" s="7" t="s">
        <v>49</v>
      </c>
      <c r="M648" s="4">
        <v>3.8</v>
      </c>
      <c r="N648" s="5">
        <v>147</v>
      </c>
      <c r="O648" s="3">
        <v>45816</v>
      </c>
      <c r="P648" s="7" t="s">
        <v>2390</v>
      </c>
      <c r="Q648" s="7" t="s">
        <v>29</v>
      </c>
      <c r="R648" s="7" t="s">
        <v>58</v>
      </c>
      <c r="S648" s="7" t="s">
        <v>59</v>
      </c>
      <c r="T648" s="7"/>
      <c r="U648" s="11">
        <f t="shared" si="40"/>
        <v>2430</v>
      </c>
      <c r="V648" s="11">
        <f t="shared" si="41"/>
        <v>1944</v>
      </c>
      <c r="W648" s="11">
        <f t="shared" si="42"/>
        <v>486</v>
      </c>
      <c r="X648" t="str">
        <f t="shared" si="43"/>
        <v>Completed</v>
      </c>
    </row>
    <row r="649" spans="1:24" ht="12.5" x14ac:dyDescent="0.25">
      <c r="A649" s="2" t="s">
        <v>2380</v>
      </c>
      <c r="B649" s="2" t="s">
        <v>1050</v>
      </c>
      <c r="C649" s="2" t="s">
        <v>2381</v>
      </c>
      <c r="D649" s="7" t="s">
        <v>2382</v>
      </c>
      <c r="E649" s="7" t="s">
        <v>208</v>
      </c>
      <c r="F649" s="7" t="s">
        <v>117</v>
      </c>
      <c r="G649" s="5">
        <v>4272</v>
      </c>
      <c r="H649" s="5">
        <v>40</v>
      </c>
      <c r="I649" s="5">
        <v>2564</v>
      </c>
      <c r="J649" s="5">
        <v>2</v>
      </c>
      <c r="K649" s="2" t="s">
        <v>163</v>
      </c>
      <c r="L649" s="7" t="s">
        <v>49</v>
      </c>
      <c r="M649" s="4">
        <v>4</v>
      </c>
      <c r="N649" s="5">
        <v>86</v>
      </c>
      <c r="O649" s="3">
        <v>45840</v>
      </c>
      <c r="P649" s="7" t="s">
        <v>2392</v>
      </c>
      <c r="Q649" s="7" t="s">
        <v>65</v>
      </c>
      <c r="R649" s="7" t="s">
        <v>41</v>
      </c>
      <c r="S649" s="7" t="s">
        <v>42</v>
      </c>
      <c r="T649" s="7"/>
      <c r="U649" s="11">
        <f t="shared" si="40"/>
        <v>8544</v>
      </c>
      <c r="V649" s="11">
        <f t="shared" si="41"/>
        <v>5128</v>
      </c>
      <c r="W649" s="11">
        <f t="shared" si="42"/>
        <v>3416</v>
      </c>
      <c r="X649" t="str">
        <f t="shared" si="43"/>
        <v>Cancelled</v>
      </c>
    </row>
    <row r="650" spans="1:24" ht="12.5" x14ac:dyDescent="0.25">
      <c r="A650" s="2" t="s">
        <v>2383</v>
      </c>
      <c r="B650" s="2" t="s">
        <v>2259</v>
      </c>
      <c r="C650" s="2" t="s">
        <v>2384</v>
      </c>
      <c r="D650" s="7" t="s">
        <v>2385</v>
      </c>
      <c r="E650" s="7" t="s">
        <v>147</v>
      </c>
      <c r="F650" s="7" t="s">
        <v>148</v>
      </c>
      <c r="G650" s="5">
        <v>1668</v>
      </c>
      <c r="H650" s="5">
        <v>25</v>
      </c>
      <c r="I650" s="5">
        <v>1251</v>
      </c>
      <c r="J650" s="5">
        <v>1</v>
      </c>
      <c r="K650" s="2">
        <v>40</v>
      </c>
      <c r="L650" s="7" t="s">
        <v>133</v>
      </c>
      <c r="M650" s="4">
        <v>3.9</v>
      </c>
      <c r="N650" s="5">
        <v>246</v>
      </c>
      <c r="O650" s="3">
        <v>45819</v>
      </c>
      <c r="P650" s="7" t="s">
        <v>2390</v>
      </c>
      <c r="Q650" s="7" t="s">
        <v>65</v>
      </c>
      <c r="R650" s="7" t="s">
        <v>110</v>
      </c>
      <c r="S650" s="7" t="s">
        <v>111</v>
      </c>
      <c r="T650" s="7"/>
      <c r="U650" s="11">
        <f t="shared" si="40"/>
        <v>1668</v>
      </c>
      <c r="V650" s="11">
        <f t="shared" si="41"/>
        <v>1251</v>
      </c>
      <c r="W650" s="11">
        <f t="shared" si="42"/>
        <v>417</v>
      </c>
      <c r="X650" t="str">
        <f t="shared" si="43"/>
        <v>Completed</v>
      </c>
    </row>
    <row r="651" spans="1:24" ht="12.5" x14ac:dyDescent="0.25">
      <c r="A651" s="2" t="s">
        <v>2386</v>
      </c>
      <c r="B651" s="2" t="s">
        <v>2387</v>
      </c>
      <c r="C651" s="2" t="s">
        <v>2388</v>
      </c>
      <c r="D651" s="7" t="s">
        <v>2389</v>
      </c>
      <c r="E651" s="7" t="s">
        <v>24</v>
      </c>
      <c r="F651" s="7" t="s">
        <v>25</v>
      </c>
      <c r="G651" s="5">
        <v>4632</v>
      </c>
      <c r="H651" s="5">
        <v>25</v>
      </c>
      <c r="I651" s="5">
        <v>3474</v>
      </c>
      <c r="J651" s="5">
        <v>1</v>
      </c>
      <c r="K651" s="2" t="s">
        <v>26</v>
      </c>
      <c r="L651" s="7" t="s">
        <v>73</v>
      </c>
      <c r="M651" s="4">
        <v>3.9</v>
      </c>
      <c r="N651" s="5">
        <v>268</v>
      </c>
      <c r="O651" s="3">
        <v>45803</v>
      </c>
      <c r="P651" s="7" t="s">
        <v>2392</v>
      </c>
      <c r="Q651" s="7" t="s">
        <v>65</v>
      </c>
      <c r="R651" s="7" t="s">
        <v>185</v>
      </c>
      <c r="S651" s="7" t="s">
        <v>186</v>
      </c>
      <c r="T651" s="7"/>
      <c r="U651" s="11">
        <f t="shared" si="40"/>
        <v>4632</v>
      </c>
      <c r="V651" s="11">
        <f t="shared" si="41"/>
        <v>3474</v>
      </c>
      <c r="W651" s="11">
        <f t="shared" si="42"/>
        <v>1158</v>
      </c>
      <c r="X651" t="str">
        <f t="shared" si="43"/>
        <v>Cancelled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129A2-3258-4D25-9AD7-600544FD9EBD}">
  <sheetPr codeName="Sheet5">
    <outlinePr summaryBelow="0" summaryRight="0"/>
  </sheetPr>
  <dimension ref="A1:B651"/>
  <sheetViews>
    <sheetView workbookViewId="0">
      <selection activeCell="D9" sqref="D9"/>
    </sheetView>
  </sheetViews>
  <sheetFormatPr defaultColWidth="12.6328125" defaultRowHeight="15.75" customHeight="1" x14ac:dyDescent="0.25"/>
  <cols>
    <col min="1" max="1" width="20.7265625" bestFit="1" customWidth="1"/>
    <col min="4" max="4" width="34.54296875" bestFit="1" customWidth="1"/>
    <col min="5" max="5" width="15.81640625" bestFit="1" customWidth="1"/>
    <col min="6" max="6" width="13.54296875" bestFit="1" customWidth="1"/>
    <col min="14" max="14" width="13.1796875" bestFit="1" customWidth="1"/>
    <col min="17" max="17" width="15.81640625" bestFit="1" customWidth="1"/>
    <col min="19" max="19" width="14.453125" bestFit="1" customWidth="1"/>
    <col min="20" max="20" width="14.1796875" bestFit="1" customWidth="1"/>
    <col min="22" max="23" width="16.1796875" bestFit="1" customWidth="1"/>
  </cols>
  <sheetData>
    <row r="1" spans="1:2" ht="12.5" x14ac:dyDescent="0.25">
      <c r="A1" t="s">
        <v>2397</v>
      </c>
    </row>
    <row r="3" spans="1:2" ht="15.75" customHeight="1" x14ac:dyDescent="0.3">
      <c r="A3" s="17" t="s">
        <v>2398</v>
      </c>
      <c r="B3">
        <v>2790685</v>
      </c>
    </row>
    <row r="4" spans="1:2" ht="15.75" customHeight="1" x14ac:dyDescent="0.3">
      <c r="A4" s="17" t="s">
        <v>2399</v>
      </c>
      <c r="B4">
        <v>650</v>
      </c>
    </row>
    <row r="5" spans="1:2" ht="15.75" customHeight="1" x14ac:dyDescent="0.3">
      <c r="A5" s="17" t="s">
        <v>2400</v>
      </c>
      <c r="B5">
        <v>155.80461538461537</v>
      </c>
    </row>
    <row r="6" spans="1:2" ht="15.75" customHeight="1" x14ac:dyDescent="0.3">
      <c r="A6" s="17"/>
    </row>
    <row r="7" spans="1:2" ht="15.75" customHeight="1" x14ac:dyDescent="0.3">
      <c r="A7" s="17" t="s">
        <v>2401</v>
      </c>
      <c r="B7" s="9">
        <v>0.34153846153846151</v>
      </c>
    </row>
    <row r="8" spans="1:2" ht="15.75" customHeight="1" x14ac:dyDescent="0.3">
      <c r="A8" s="17" t="s">
        <v>2402</v>
      </c>
      <c r="B8" s="9">
        <v>0.33538461538461539</v>
      </c>
    </row>
    <row r="9" spans="1:2" ht="15.75" customHeight="1" x14ac:dyDescent="0.3">
      <c r="A9" s="17" t="s">
        <v>2403</v>
      </c>
      <c r="B9" s="9">
        <v>0.32307692307692309</v>
      </c>
    </row>
    <row r="10" spans="1:2" ht="15.75" customHeight="1" x14ac:dyDescent="0.3">
      <c r="A10" s="17"/>
    </row>
    <row r="11" spans="1:2" ht="15.75" customHeight="1" x14ac:dyDescent="0.3">
      <c r="A11" s="17" t="s">
        <v>2404</v>
      </c>
      <c r="B11" t="s">
        <v>38</v>
      </c>
    </row>
    <row r="12" spans="1:2" ht="15.75" customHeight="1" x14ac:dyDescent="0.3">
      <c r="A12" s="17" t="s">
        <v>2405</v>
      </c>
      <c r="B12" s="10">
        <v>806114</v>
      </c>
    </row>
    <row r="19" ht="12.5" x14ac:dyDescent="0.25"/>
    <row r="20" ht="12.5" x14ac:dyDescent="0.25"/>
    <row r="21" ht="12.5" x14ac:dyDescent="0.25"/>
    <row r="22" ht="12.5" x14ac:dyDescent="0.25"/>
    <row r="23" ht="12.5" x14ac:dyDescent="0.25"/>
    <row r="24" ht="12.5" x14ac:dyDescent="0.25"/>
    <row r="25" ht="12.5" x14ac:dyDescent="0.25"/>
    <row r="26" ht="12.5" x14ac:dyDescent="0.25"/>
    <row r="27" ht="12.5" x14ac:dyDescent="0.25"/>
    <row r="28" ht="12.5" x14ac:dyDescent="0.25"/>
    <row r="29" ht="12.5" x14ac:dyDescent="0.25"/>
    <row r="30" ht="12.5" x14ac:dyDescent="0.25"/>
    <row r="31" ht="12.5" x14ac:dyDescent="0.25"/>
    <row r="32" ht="12.5" x14ac:dyDescent="0.25"/>
    <row r="33" ht="12.5" x14ac:dyDescent="0.25"/>
    <row r="34" ht="12.5" x14ac:dyDescent="0.25"/>
    <row r="35" ht="12.5" x14ac:dyDescent="0.25"/>
    <row r="36" ht="12.5" x14ac:dyDescent="0.25"/>
    <row r="37" ht="12.5" x14ac:dyDescent="0.25"/>
    <row r="38" ht="12.5" x14ac:dyDescent="0.25"/>
    <row r="39" ht="12.5" x14ac:dyDescent="0.25"/>
    <row r="40" ht="12.5" x14ac:dyDescent="0.25"/>
    <row r="41" ht="12.5" x14ac:dyDescent="0.25"/>
    <row r="42" ht="12.5" x14ac:dyDescent="0.25"/>
    <row r="43" ht="12.5" x14ac:dyDescent="0.25"/>
    <row r="44" ht="12.5" x14ac:dyDescent="0.25"/>
    <row r="45" ht="12.5" x14ac:dyDescent="0.25"/>
    <row r="46" ht="12.5" x14ac:dyDescent="0.25"/>
    <row r="47" ht="12.5" x14ac:dyDescent="0.25"/>
    <row r="48" ht="12.5" x14ac:dyDescent="0.25"/>
    <row r="49" ht="12.5" x14ac:dyDescent="0.25"/>
    <row r="50" ht="12.5" x14ac:dyDescent="0.25"/>
    <row r="51" ht="12.5" x14ac:dyDescent="0.25"/>
    <row r="52" ht="12.5" x14ac:dyDescent="0.25"/>
    <row r="53" ht="12.5" x14ac:dyDescent="0.25"/>
    <row r="54" ht="12.5" x14ac:dyDescent="0.25"/>
    <row r="55" ht="12.5" x14ac:dyDescent="0.25"/>
    <row r="56" ht="12.5" x14ac:dyDescent="0.25"/>
    <row r="57" ht="12.5" x14ac:dyDescent="0.25"/>
    <row r="58" ht="12.5" x14ac:dyDescent="0.25"/>
    <row r="59" ht="12.5" x14ac:dyDescent="0.25"/>
    <row r="60" ht="12.5" x14ac:dyDescent="0.25"/>
    <row r="61" ht="12.5" x14ac:dyDescent="0.25"/>
    <row r="62" ht="12.5" x14ac:dyDescent="0.25"/>
    <row r="63" ht="12.5" x14ac:dyDescent="0.25"/>
    <row r="64" ht="12.5" x14ac:dyDescent="0.25"/>
    <row r="65" ht="12.5" x14ac:dyDescent="0.25"/>
    <row r="66" ht="12.5" x14ac:dyDescent="0.25"/>
    <row r="67" ht="12.5" x14ac:dyDescent="0.25"/>
    <row r="68" ht="12.5" x14ac:dyDescent="0.25"/>
    <row r="69" ht="12.5" x14ac:dyDescent="0.25"/>
    <row r="70" ht="12.5" x14ac:dyDescent="0.25"/>
    <row r="71" ht="12.5" x14ac:dyDescent="0.25"/>
    <row r="72" ht="12.5" x14ac:dyDescent="0.25"/>
    <row r="73" ht="12.5" x14ac:dyDescent="0.25"/>
    <row r="74" ht="12.5" x14ac:dyDescent="0.25"/>
    <row r="75" ht="12.5" x14ac:dyDescent="0.25"/>
    <row r="76" ht="12.5" x14ac:dyDescent="0.25"/>
    <row r="77" ht="12.5" x14ac:dyDescent="0.25"/>
    <row r="78" ht="12.5" x14ac:dyDescent="0.25"/>
    <row r="79" ht="12.5" x14ac:dyDescent="0.25"/>
    <row r="80" ht="12.5" x14ac:dyDescent="0.25"/>
    <row r="81" ht="12.5" x14ac:dyDescent="0.25"/>
    <row r="82" ht="12.5" x14ac:dyDescent="0.25"/>
    <row r="83" ht="12.5" x14ac:dyDescent="0.25"/>
    <row r="84" ht="12.5" x14ac:dyDescent="0.25"/>
    <row r="85" ht="12.5" x14ac:dyDescent="0.25"/>
    <row r="86" ht="12.5" x14ac:dyDescent="0.25"/>
    <row r="87" ht="12.5" x14ac:dyDescent="0.25"/>
    <row r="88" ht="12.5" x14ac:dyDescent="0.25"/>
    <row r="89" ht="12.5" x14ac:dyDescent="0.25"/>
    <row r="90" ht="12.5" x14ac:dyDescent="0.25"/>
    <row r="91" ht="12.5" x14ac:dyDescent="0.25"/>
    <row r="92" ht="12.5" x14ac:dyDescent="0.25"/>
    <row r="93" ht="12.5" x14ac:dyDescent="0.25"/>
    <row r="94" ht="12.5" x14ac:dyDescent="0.25"/>
    <row r="95" ht="12.5" x14ac:dyDescent="0.25"/>
    <row r="96" ht="12.5" x14ac:dyDescent="0.25"/>
    <row r="97" ht="12.5" x14ac:dyDescent="0.25"/>
    <row r="98" ht="12.5" x14ac:dyDescent="0.25"/>
    <row r="99" ht="12.5" x14ac:dyDescent="0.25"/>
    <row r="100" ht="12.5" x14ac:dyDescent="0.25"/>
    <row r="101" ht="12.5" x14ac:dyDescent="0.25"/>
    <row r="102" ht="12.5" x14ac:dyDescent="0.25"/>
    <row r="103" ht="12.5" x14ac:dyDescent="0.25"/>
    <row r="104" ht="12.5" x14ac:dyDescent="0.25"/>
    <row r="105" ht="12.5" x14ac:dyDescent="0.25"/>
    <row r="106" ht="12.5" x14ac:dyDescent="0.25"/>
    <row r="107" ht="12.5" x14ac:dyDescent="0.25"/>
    <row r="108" ht="12.5" x14ac:dyDescent="0.25"/>
    <row r="109" ht="12.5" x14ac:dyDescent="0.25"/>
    <row r="110" ht="12.5" x14ac:dyDescent="0.25"/>
    <row r="111" ht="12.5" x14ac:dyDescent="0.25"/>
    <row r="112" ht="12.5" x14ac:dyDescent="0.25"/>
    <row r="113" ht="12.5" x14ac:dyDescent="0.25"/>
    <row r="114" ht="12.5" x14ac:dyDescent="0.25"/>
    <row r="115" ht="12.5" x14ac:dyDescent="0.25"/>
    <row r="116" ht="12.5" x14ac:dyDescent="0.25"/>
    <row r="117" ht="12.5" x14ac:dyDescent="0.25"/>
    <row r="118" ht="12.5" x14ac:dyDescent="0.25"/>
    <row r="119" ht="12.5" x14ac:dyDescent="0.25"/>
    <row r="120" ht="12.5" x14ac:dyDescent="0.25"/>
    <row r="121" ht="12.5" x14ac:dyDescent="0.25"/>
    <row r="122" ht="12.5" x14ac:dyDescent="0.25"/>
    <row r="123" ht="12.5" x14ac:dyDescent="0.25"/>
    <row r="124" ht="12.5" x14ac:dyDescent="0.25"/>
    <row r="125" ht="12.5" x14ac:dyDescent="0.25"/>
    <row r="126" ht="12.5" x14ac:dyDescent="0.25"/>
    <row r="127" ht="12.5" x14ac:dyDescent="0.25"/>
    <row r="128" ht="12.5" x14ac:dyDescent="0.25"/>
    <row r="129" ht="12.5" x14ac:dyDescent="0.25"/>
    <row r="130" ht="12.5" x14ac:dyDescent="0.25"/>
    <row r="131" ht="12.5" x14ac:dyDescent="0.25"/>
    <row r="132" ht="12.5" x14ac:dyDescent="0.25"/>
    <row r="133" ht="12.5" x14ac:dyDescent="0.25"/>
    <row r="134" ht="12.5" x14ac:dyDescent="0.25"/>
    <row r="135" ht="12.5" x14ac:dyDescent="0.25"/>
    <row r="136" ht="12.5" x14ac:dyDescent="0.25"/>
    <row r="137" ht="12.5" x14ac:dyDescent="0.25"/>
    <row r="138" ht="12.5" x14ac:dyDescent="0.25"/>
    <row r="139" ht="12.5" x14ac:dyDescent="0.25"/>
    <row r="140" ht="12.5" x14ac:dyDescent="0.25"/>
    <row r="141" ht="12.5" x14ac:dyDescent="0.25"/>
    <row r="142" ht="12.5" x14ac:dyDescent="0.25"/>
    <row r="143" ht="12.5" x14ac:dyDescent="0.25"/>
    <row r="144" ht="12.5" x14ac:dyDescent="0.25"/>
    <row r="145" ht="12.5" x14ac:dyDescent="0.25"/>
    <row r="146" ht="12.5" x14ac:dyDescent="0.25"/>
    <row r="147" ht="12.5" x14ac:dyDescent="0.25"/>
    <row r="148" ht="12.5" x14ac:dyDescent="0.25"/>
    <row r="149" ht="12.5" x14ac:dyDescent="0.25"/>
    <row r="150" ht="12.5" x14ac:dyDescent="0.25"/>
    <row r="151" ht="12.5" x14ac:dyDescent="0.25"/>
    <row r="152" ht="12.5" x14ac:dyDescent="0.25"/>
    <row r="153" ht="12.5" x14ac:dyDescent="0.25"/>
    <row r="154" ht="12.5" x14ac:dyDescent="0.25"/>
    <row r="155" ht="12.5" x14ac:dyDescent="0.25"/>
    <row r="156" ht="12.5" x14ac:dyDescent="0.25"/>
    <row r="157" ht="12.5" x14ac:dyDescent="0.25"/>
    <row r="158" ht="12.5" x14ac:dyDescent="0.25"/>
    <row r="159" ht="12.5" x14ac:dyDescent="0.25"/>
    <row r="160" ht="12.5" x14ac:dyDescent="0.25"/>
    <row r="161" ht="12.5" x14ac:dyDescent="0.25"/>
    <row r="162" ht="12.5" x14ac:dyDescent="0.25"/>
    <row r="163" ht="12.5" x14ac:dyDescent="0.25"/>
    <row r="164" ht="12.5" x14ac:dyDescent="0.25"/>
    <row r="165" ht="12.5" x14ac:dyDescent="0.25"/>
    <row r="166" ht="12.5" x14ac:dyDescent="0.25"/>
    <row r="167" ht="12.5" x14ac:dyDescent="0.25"/>
    <row r="168" ht="12.5" x14ac:dyDescent="0.25"/>
    <row r="169" ht="12.5" x14ac:dyDescent="0.25"/>
    <row r="170" ht="12.5" x14ac:dyDescent="0.25"/>
    <row r="171" ht="12.5" x14ac:dyDescent="0.25"/>
    <row r="172" ht="12.5" x14ac:dyDescent="0.25"/>
    <row r="173" ht="12.5" x14ac:dyDescent="0.25"/>
    <row r="174" ht="12.5" x14ac:dyDescent="0.25"/>
    <row r="175" ht="12.5" x14ac:dyDescent="0.25"/>
    <row r="176" ht="12.5" x14ac:dyDescent="0.25"/>
    <row r="177" ht="12.5" x14ac:dyDescent="0.25"/>
    <row r="178" ht="12.5" x14ac:dyDescent="0.25"/>
    <row r="179" ht="12.5" x14ac:dyDescent="0.25"/>
    <row r="180" ht="12.5" x14ac:dyDescent="0.25"/>
    <row r="181" ht="12.5" x14ac:dyDescent="0.25"/>
    <row r="182" ht="12.5" x14ac:dyDescent="0.25"/>
    <row r="183" ht="12.5" x14ac:dyDescent="0.25"/>
    <row r="184" ht="12.5" x14ac:dyDescent="0.25"/>
    <row r="185" ht="12.5" x14ac:dyDescent="0.25"/>
    <row r="186" ht="12.5" x14ac:dyDescent="0.25"/>
    <row r="187" ht="12.5" x14ac:dyDescent="0.25"/>
    <row r="188" ht="12.5" x14ac:dyDescent="0.25"/>
    <row r="189" ht="12.5" x14ac:dyDescent="0.25"/>
    <row r="190" ht="12.5" x14ac:dyDescent="0.25"/>
    <row r="191" ht="12.5" x14ac:dyDescent="0.25"/>
    <row r="192" ht="12.5" x14ac:dyDescent="0.25"/>
    <row r="193" ht="12.5" x14ac:dyDescent="0.25"/>
    <row r="194" ht="12.5" x14ac:dyDescent="0.25"/>
    <row r="195" ht="12.5" x14ac:dyDescent="0.25"/>
    <row r="196" ht="12.5" x14ac:dyDescent="0.25"/>
    <row r="197" ht="12.5" x14ac:dyDescent="0.25"/>
    <row r="198" ht="12.5" x14ac:dyDescent="0.25"/>
    <row r="199" ht="12.5" x14ac:dyDescent="0.25"/>
    <row r="200" ht="12.5" x14ac:dyDescent="0.25"/>
    <row r="201" ht="12.5" x14ac:dyDescent="0.25"/>
    <row r="202" ht="12.5" x14ac:dyDescent="0.25"/>
    <row r="203" ht="12.5" x14ac:dyDescent="0.25"/>
    <row r="204" ht="12.5" x14ac:dyDescent="0.25"/>
    <row r="205" ht="12.5" x14ac:dyDescent="0.25"/>
    <row r="206" ht="12.5" x14ac:dyDescent="0.25"/>
    <row r="207" ht="12.5" x14ac:dyDescent="0.25"/>
    <row r="208" ht="12.5" x14ac:dyDescent="0.25"/>
    <row r="209" ht="12.5" x14ac:dyDescent="0.25"/>
    <row r="210" ht="12.5" x14ac:dyDescent="0.25"/>
    <row r="211" ht="12.5" x14ac:dyDescent="0.25"/>
    <row r="212" ht="12.5" x14ac:dyDescent="0.25"/>
    <row r="213" ht="12.5" x14ac:dyDescent="0.25"/>
    <row r="214" ht="12.5" x14ac:dyDescent="0.25"/>
    <row r="215" ht="12.5" x14ac:dyDescent="0.25"/>
    <row r="216" ht="12.5" x14ac:dyDescent="0.25"/>
    <row r="217" ht="12.5" x14ac:dyDescent="0.25"/>
    <row r="218" ht="12.5" x14ac:dyDescent="0.25"/>
    <row r="219" ht="12.5" x14ac:dyDescent="0.25"/>
    <row r="220" ht="12.5" x14ac:dyDescent="0.25"/>
    <row r="221" ht="12.5" x14ac:dyDescent="0.25"/>
    <row r="222" ht="12.5" x14ac:dyDescent="0.25"/>
    <row r="223" ht="12.5" x14ac:dyDescent="0.25"/>
    <row r="224" ht="12.5" x14ac:dyDescent="0.25"/>
    <row r="225" ht="12.5" x14ac:dyDescent="0.25"/>
    <row r="226" ht="12.5" x14ac:dyDescent="0.25"/>
    <row r="227" ht="12.5" x14ac:dyDescent="0.25"/>
    <row r="228" ht="12.5" x14ac:dyDescent="0.25"/>
    <row r="229" ht="12.5" x14ac:dyDescent="0.25"/>
    <row r="230" ht="12.5" x14ac:dyDescent="0.25"/>
    <row r="231" ht="12.5" x14ac:dyDescent="0.25"/>
    <row r="232" ht="12.5" x14ac:dyDescent="0.25"/>
    <row r="233" ht="12.5" x14ac:dyDescent="0.25"/>
    <row r="234" ht="12.5" x14ac:dyDescent="0.25"/>
    <row r="235" ht="12.5" x14ac:dyDescent="0.25"/>
    <row r="236" ht="12.5" x14ac:dyDescent="0.25"/>
    <row r="237" ht="12.5" x14ac:dyDescent="0.25"/>
    <row r="238" ht="12.5" x14ac:dyDescent="0.25"/>
    <row r="239" ht="12.5" x14ac:dyDescent="0.25"/>
    <row r="240" ht="12.5" x14ac:dyDescent="0.25"/>
    <row r="241" ht="12.5" x14ac:dyDescent="0.25"/>
    <row r="242" ht="12.5" x14ac:dyDescent="0.25"/>
    <row r="243" ht="12.5" x14ac:dyDescent="0.25"/>
    <row r="244" ht="12.5" x14ac:dyDescent="0.25"/>
    <row r="245" ht="12.5" x14ac:dyDescent="0.25"/>
    <row r="246" ht="12.5" x14ac:dyDescent="0.25"/>
    <row r="247" ht="12.5" x14ac:dyDescent="0.25"/>
    <row r="248" ht="12.5" x14ac:dyDescent="0.25"/>
    <row r="249" ht="12.5" x14ac:dyDescent="0.25"/>
    <row r="250" ht="12.5" x14ac:dyDescent="0.25"/>
    <row r="251" ht="12.5" x14ac:dyDescent="0.25"/>
    <row r="252" ht="12.5" x14ac:dyDescent="0.25"/>
    <row r="253" ht="12.5" x14ac:dyDescent="0.25"/>
    <row r="254" ht="12.5" x14ac:dyDescent="0.25"/>
    <row r="255" ht="12.5" x14ac:dyDescent="0.25"/>
    <row r="256" ht="12.5" x14ac:dyDescent="0.25"/>
    <row r="257" ht="12.5" x14ac:dyDescent="0.25"/>
    <row r="258" ht="12.5" x14ac:dyDescent="0.25"/>
    <row r="259" ht="12.5" x14ac:dyDescent="0.25"/>
    <row r="260" ht="12.5" x14ac:dyDescent="0.25"/>
    <row r="261" ht="12.5" x14ac:dyDescent="0.25"/>
    <row r="262" ht="12.5" x14ac:dyDescent="0.25"/>
    <row r="263" ht="12.5" x14ac:dyDescent="0.25"/>
    <row r="264" ht="12.5" x14ac:dyDescent="0.25"/>
    <row r="265" ht="12.5" x14ac:dyDescent="0.25"/>
    <row r="266" ht="12.5" x14ac:dyDescent="0.25"/>
    <row r="267" ht="12.5" x14ac:dyDescent="0.25"/>
    <row r="268" ht="12.5" x14ac:dyDescent="0.25"/>
    <row r="269" ht="12.5" x14ac:dyDescent="0.25"/>
    <row r="270" ht="12.5" x14ac:dyDescent="0.25"/>
    <row r="271" ht="12.5" x14ac:dyDescent="0.25"/>
    <row r="272" ht="12.5" x14ac:dyDescent="0.25"/>
    <row r="273" ht="12.5" x14ac:dyDescent="0.25"/>
    <row r="274" ht="12.5" x14ac:dyDescent="0.25"/>
    <row r="275" ht="12.5" x14ac:dyDescent="0.25"/>
    <row r="276" ht="12.5" x14ac:dyDescent="0.25"/>
    <row r="277" ht="12.5" x14ac:dyDescent="0.25"/>
    <row r="278" ht="12.5" x14ac:dyDescent="0.25"/>
    <row r="279" ht="12.5" x14ac:dyDescent="0.25"/>
    <row r="280" ht="12.5" x14ac:dyDescent="0.25"/>
    <row r="281" ht="12.5" x14ac:dyDescent="0.25"/>
    <row r="282" ht="12.5" x14ac:dyDescent="0.25"/>
    <row r="283" ht="12.5" x14ac:dyDescent="0.25"/>
    <row r="284" ht="12.5" x14ac:dyDescent="0.25"/>
    <row r="285" ht="12.5" x14ac:dyDescent="0.25"/>
    <row r="286" ht="12.5" x14ac:dyDescent="0.25"/>
    <row r="287" ht="12.5" x14ac:dyDescent="0.25"/>
    <row r="288" ht="12.5" x14ac:dyDescent="0.25"/>
    <row r="289" ht="12.5" x14ac:dyDescent="0.25"/>
    <row r="290" ht="12.5" x14ac:dyDescent="0.25"/>
    <row r="291" ht="12.5" x14ac:dyDescent="0.25"/>
    <row r="292" ht="12.5" x14ac:dyDescent="0.25"/>
    <row r="293" ht="12.5" x14ac:dyDescent="0.25"/>
    <row r="294" ht="12.5" x14ac:dyDescent="0.25"/>
    <row r="295" ht="12.5" x14ac:dyDescent="0.25"/>
    <row r="296" ht="12.5" x14ac:dyDescent="0.25"/>
    <row r="297" ht="12.5" x14ac:dyDescent="0.25"/>
    <row r="298" ht="12.5" x14ac:dyDescent="0.25"/>
    <row r="299" ht="12.5" x14ac:dyDescent="0.25"/>
    <row r="300" ht="12.5" x14ac:dyDescent="0.25"/>
    <row r="301" ht="12.5" x14ac:dyDescent="0.25"/>
    <row r="302" ht="12.5" x14ac:dyDescent="0.25"/>
    <row r="303" ht="12.5" x14ac:dyDescent="0.25"/>
    <row r="304" ht="12.5" x14ac:dyDescent="0.25"/>
    <row r="305" ht="12.5" x14ac:dyDescent="0.25"/>
    <row r="306" ht="12.5" x14ac:dyDescent="0.25"/>
    <row r="307" ht="12.5" x14ac:dyDescent="0.25"/>
    <row r="308" ht="12.5" x14ac:dyDescent="0.25"/>
    <row r="309" ht="12.5" x14ac:dyDescent="0.25"/>
    <row r="310" ht="12.5" x14ac:dyDescent="0.25"/>
    <row r="311" ht="12.5" x14ac:dyDescent="0.25"/>
    <row r="312" ht="12.5" x14ac:dyDescent="0.25"/>
    <row r="313" ht="12.5" x14ac:dyDescent="0.25"/>
    <row r="314" ht="12.5" x14ac:dyDescent="0.25"/>
    <row r="315" ht="12.5" x14ac:dyDescent="0.25"/>
    <row r="316" ht="12.5" x14ac:dyDescent="0.25"/>
    <row r="317" ht="12.5" x14ac:dyDescent="0.25"/>
    <row r="318" ht="12.5" x14ac:dyDescent="0.25"/>
    <row r="319" ht="12.5" x14ac:dyDescent="0.25"/>
    <row r="320" ht="12.5" x14ac:dyDescent="0.25"/>
    <row r="321" ht="12.5" x14ac:dyDescent="0.25"/>
    <row r="322" ht="12.5" x14ac:dyDescent="0.25"/>
    <row r="323" ht="12.5" x14ac:dyDescent="0.25"/>
    <row r="324" ht="12.5" x14ac:dyDescent="0.25"/>
    <row r="325" ht="12.5" x14ac:dyDescent="0.25"/>
    <row r="326" ht="12.5" x14ac:dyDescent="0.25"/>
    <row r="327" ht="12.5" x14ac:dyDescent="0.25"/>
    <row r="328" ht="12.5" x14ac:dyDescent="0.25"/>
    <row r="329" ht="12.5" x14ac:dyDescent="0.25"/>
    <row r="330" ht="12.5" x14ac:dyDescent="0.25"/>
    <row r="331" ht="12.5" x14ac:dyDescent="0.25"/>
    <row r="332" ht="12.5" x14ac:dyDescent="0.25"/>
    <row r="333" ht="12.5" x14ac:dyDescent="0.25"/>
    <row r="334" ht="12.5" x14ac:dyDescent="0.25"/>
    <row r="335" ht="12.5" x14ac:dyDescent="0.25"/>
    <row r="336" ht="12.5" x14ac:dyDescent="0.25"/>
    <row r="337" ht="12.5" x14ac:dyDescent="0.25"/>
    <row r="338" ht="12.5" x14ac:dyDescent="0.25"/>
    <row r="339" ht="12.5" x14ac:dyDescent="0.25"/>
    <row r="340" ht="12.5" x14ac:dyDescent="0.25"/>
    <row r="341" ht="12.5" x14ac:dyDescent="0.25"/>
    <row r="342" ht="12.5" x14ac:dyDescent="0.25"/>
    <row r="343" ht="12.5" x14ac:dyDescent="0.25"/>
    <row r="344" ht="12.5" x14ac:dyDescent="0.25"/>
    <row r="345" ht="12.5" x14ac:dyDescent="0.25"/>
    <row r="346" ht="12.5" x14ac:dyDescent="0.25"/>
    <row r="347" ht="12.5" x14ac:dyDescent="0.25"/>
    <row r="348" ht="12.5" x14ac:dyDescent="0.25"/>
    <row r="349" ht="12.5" x14ac:dyDescent="0.25"/>
    <row r="350" ht="12.5" x14ac:dyDescent="0.25"/>
    <row r="351" ht="12.5" x14ac:dyDescent="0.25"/>
    <row r="352" ht="12.5" x14ac:dyDescent="0.25"/>
    <row r="353" ht="12.5" x14ac:dyDescent="0.25"/>
    <row r="354" ht="12.5" x14ac:dyDescent="0.25"/>
    <row r="355" ht="12.5" x14ac:dyDescent="0.25"/>
    <row r="356" ht="12.5" x14ac:dyDescent="0.25"/>
    <row r="357" ht="12.5" x14ac:dyDescent="0.25"/>
    <row r="358" ht="12.5" x14ac:dyDescent="0.25"/>
    <row r="359" ht="12.5" x14ac:dyDescent="0.25"/>
    <row r="360" ht="12.5" x14ac:dyDescent="0.25"/>
    <row r="361" ht="12.5" x14ac:dyDescent="0.25"/>
    <row r="362" ht="12.5" x14ac:dyDescent="0.25"/>
    <row r="363" ht="12.5" x14ac:dyDescent="0.25"/>
    <row r="364" ht="12.5" x14ac:dyDescent="0.25"/>
    <row r="365" ht="12.5" x14ac:dyDescent="0.25"/>
    <row r="366" ht="12.5" x14ac:dyDescent="0.25"/>
    <row r="367" ht="12.5" x14ac:dyDescent="0.25"/>
    <row r="368" ht="12.5" x14ac:dyDescent="0.25"/>
    <row r="369" ht="12.5" x14ac:dyDescent="0.25"/>
    <row r="370" ht="12.5" x14ac:dyDescent="0.25"/>
    <row r="371" ht="12.5" x14ac:dyDescent="0.25"/>
    <row r="372" ht="12.5" x14ac:dyDescent="0.25"/>
    <row r="373" ht="12.5" x14ac:dyDescent="0.25"/>
    <row r="374" ht="12.5" x14ac:dyDescent="0.25"/>
    <row r="375" ht="12.5" x14ac:dyDescent="0.25"/>
    <row r="376" ht="12.5" x14ac:dyDescent="0.25"/>
    <row r="377" ht="12.5" x14ac:dyDescent="0.25"/>
    <row r="378" ht="12.5" x14ac:dyDescent="0.25"/>
    <row r="379" ht="12.5" x14ac:dyDescent="0.25"/>
    <row r="380" ht="12.5" x14ac:dyDescent="0.25"/>
    <row r="381" ht="12.5" x14ac:dyDescent="0.25"/>
    <row r="382" ht="12.5" x14ac:dyDescent="0.25"/>
    <row r="383" ht="12.5" x14ac:dyDescent="0.25"/>
    <row r="384" ht="12.5" x14ac:dyDescent="0.25"/>
    <row r="385" ht="12.5" x14ac:dyDescent="0.25"/>
    <row r="386" ht="12.5" x14ac:dyDescent="0.25"/>
    <row r="387" ht="12.5" x14ac:dyDescent="0.25"/>
    <row r="388" ht="12.5" x14ac:dyDescent="0.25"/>
    <row r="389" ht="12.5" x14ac:dyDescent="0.25"/>
    <row r="390" ht="12.5" x14ac:dyDescent="0.25"/>
    <row r="391" ht="12.5" x14ac:dyDescent="0.25"/>
    <row r="392" ht="12.5" x14ac:dyDescent="0.25"/>
    <row r="393" ht="12.5" x14ac:dyDescent="0.25"/>
    <row r="394" ht="12.5" x14ac:dyDescent="0.25"/>
    <row r="395" ht="12.5" x14ac:dyDescent="0.25"/>
    <row r="396" ht="12.5" x14ac:dyDescent="0.25"/>
    <row r="397" ht="12.5" x14ac:dyDescent="0.25"/>
    <row r="398" ht="12.5" x14ac:dyDescent="0.25"/>
    <row r="399" ht="12.5" x14ac:dyDescent="0.25"/>
    <row r="400" ht="12.5" x14ac:dyDescent="0.25"/>
    <row r="401" ht="12.5" x14ac:dyDescent="0.25"/>
    <row r="402" ht="12.5" x14ac:dyDescent="0.25"/>
    <row r="403" ht="12.5" x14ac:dyDescent="0.25"/>
    <row r="404" ht="12.5" x14ac:dyDescent="0.25"/>
    <row r="405" ht="12.5" x14ac:dyDescent="0.25"/>
    <row r="406" ht="12.5" x14ac:dyDescent="0.25"/>
    <row r="407" ht="12.5" x14ac:dyDescent="0.25"/>
    <row r="408" ht="12.5" x14ac:dyDescent="0.25"/>
    <row r="409" ht="12.5" x14ac:dyDescent="0.25"/>
    <row r="410" ht="12.5" x14ac:dyDescent="0.25"/>
    <row r="411" ht="12.5" x14ac:dyDescent="0.25"/>
    <row r="412" ht="12.5" x14ac:dyDescent="0.25"/>
    <row r="413" ht="12.5" x14ac:dyDescent="0.25"/>
    <row r="414" ht="12.5" x14ac:dyDescent="0.25"/>
    <row r="415" ht="12.5" x14ac:dyDescent="0.25"/>
    <row r="416" ht="12.5" x14ac:dyDescent="0.25"/>
    <row r="417" ht="12.5" x14ac:dyDescent="0.25"/>
    <row r="418" ht="12.5" x14ac:dyDescent="0.25"/>
    <row r="419" ht="12.5" x14ac:dyDescent="0.25"/>
    <row r="420" ht="12.5" x14ac:dyDescent="0.25"/>
    <row r="421" ht="12.5" x14ac:dyDescent="0.25"/>
    <row r="422" ht="12.5" x14ac:dyDescent="0.25"/>
    <row r="423" ht="12.5" x14ac:dyDescent="0.25"/>
    <row r="424" ht="12.5" x14ac:dyDescent="0.25"/>
    <row r="425" ht="12.5" x14ac:dyDescent="0.25"/>
    <row r="426" ht="12.5" x14ac:dyDescent="0.25"/>
    <row r="427" ht="12.5" x14ac:dyDescent="0.25"/>
    <row r="428" ht="12.5" x14ac:dyDescent="0.25"/>
    <row r="429" ht="12.5" x14ac:dyDescent="0.25"/>
    <row r="430" ht="12.5" x14ac:dyDescent="0.25"/>
    <row r="431" ht="12.5" x14ac:dyDescent="0.25"/>
    <row r="432" ht="12.5" x14ac:dyDescent="0.25"/>
    <row r="433" ht="12.5" x14ac:dyDescent="0.25"/>
    <row r="434" ht="12.5" x14ac:dyDescent="0.25"/>
    <row r="435" ht="12.5" x14ac:dyDescent="0.25"/>
    <row r="436" ht="12.5" x14ac:dyDescent="0.25"/>
    <row r="437" ht="12.5" x14ac:dyDescent="0.25"/>
    <row r="438" ht="12.5" x14ac:dyDescent="0.25"/>
    <row r="439" ht="12.5" x14ac:dyDescent="0.25"/>
    <row r="440" ht="12.5" x14ac:dyDescent="0.25"/>
    <row r="441" ht="12.5" x14ac:dyDescent="0.25"/>
    <row r="442" ht="12.5" x14ac:dyDescent="0.25"/>
    <row r="443" ht="12.5" x14ac:dyDescent="0.25"/>
    <row r="444" ht="12.5" x14ac:dyDescent="0.25"/>
    <row r="445" ht="12.5" x14ac:dyDescent="0.25"/>
    <row r="446" ht="12.5" x14ac:dyDescent="0.25"/>
    <row r="447" ht="12.5" x14ac:dyDescent="0.25"/>
    <row r="448" ht="12.5" x14ac:dyDescent="0.25"/>
    <row r="449" ht="12.5" x14ac:dyDescent="0.25"/>
    <row r="450" ht="12.5" x14ac:dyDescent="0.25"/>
    <row r="451" ht="12.5" x14ac:dyDescent="0.25"/>
    <row r="452" ht="12.5" x14ac:dyDescent="0.25"/>
    <row r="453" ht="12.5" x14ac:dyDescent="0.25"/>
    <row r="454" ht="12.5" x14ac:dyDescent="0.25"/>
    <row r="455" ht="12.5" x14ac:dyDescent="0.25"/>
    <row r="456" ht="12.5" x14ac:dyDescent="0.25"/>
    <row r="457" ht="12.5" x14ac:dyDescent="0.25"/>
    <row r="458" ht="12.5" x14ac:dyDescent="0.25"/>
    <row r="459" ht="12.5" x14ac:dyDescent="0.25"/>
    <row r="460" ht="12.5" x14ac:dyDescent="0.25"/>
    <row r="461" ht="12.5" x14ac:dyDescent="0.25"/>
    <row r="462" ht="12.5" x14ac:dyDescent="0.25"/>
    <row r="463" ht="12.5" x14ac:dyDescent="0.25"/>
    <row r="464" ht="12.5" x14ac:dyDescent="0.25"/>
    <row r="465" ht="12.5" x14ac:dyDescent="0.25"/>
    <row r="466" ht="12.5" x14ac:dyDescent="0.25"/>
    <row r="467" ht="12.5" x14ac:dyDescent="0.25"/>
    <row r="468" ht="12.5" x14ac:dyDescent="0.25"/>
    <row r="469" ht="12.5" x14ac:dyDescent="0.25"/>
    <row r="470" ht="12.5" x14ac:dyDescent="0.25"/>
    <row r="471" ht="12.5" x14ac:dyDescent="0.25"/>
    <row r="472" ht="12.5" x14ac:dyDescent="0.25"/>
    <row r="473" ht="12.5" x14ac:dyDescent="0.25"/>
    <row r="474" ht="12.5" x14ac:dyDescent="0.25"/>
    <row r="475" ht="12.5" x14ac:dyDescent="0.25"/>
    <row r="476" ht="12.5" x14ac:dyDescent="0.25"/>
    <row r="477" ht="12.5" x14ac:dyDescent="0.25"/>
    <row r="478" ht="12.5" x14ac:dyDescent="0.25"/>
    <row r="479" ht="12.5" x14ac:dyDescent="0.25"/>
    <row r="480" ht="12.5" x14ac:dyDescent="0.25"/>
    <row r="481" ht="12.5" x14ac:dyDescent="0.25"/>
    <row r="482" ht="12.5" x14ac:dyDescent="0.25"/>
    <row r="483" ht="12.5" x14ac:dyDescent="0.25"/>
    <row r="484" ht="12.5" x14ac:dyDescent="0.25"/>
    <row r="485" ht="12.5" x14ac:dyDescent="0.25"/>
    <row r="486" ht="12.5" x14ac:dyDescent="0.25"/>
    <row r="487" ht="12.5" x14ac:dyDescent="0.25"/>
    <row r="488" ht="12.5" x14ac:dyDescent="0.25"/>
    <row r="489" ht="12.5" x14ac:dyDescent="0.25"/>
    <row r="490" ht="12.5" x14ac:dyDescent="0.25"/>
    <row r="491" ht="12.5" x14ac:dyDescent="0.25"/>
    <row r="492" ht="12.5" x14ac:dyDescent="0.25"/>
    <row r="493" ht="12.5" x14ac:dyDescent="0.25"/>
    <row r="494" ht="12.5" x14ac:dyDescent="0.25"/>
    <row r="495" ht="12.5" x14ac:dyDescent="0.25"/>
    <row r="496" ht="12.5" x14ac:dyDescent="0.25"/>
    <row r="497" ht="12.5" x14ac:dyDescent="0.25"/>
    <row r="498" ht="12.5" x14ac:dyDescent="0.25"/>
    <row r="499" ht="12.5" x14ac:dyDescent="0.25"/>
    <row r="500" ht="12.5" x14ac:dyDescent="0.25"/>
    <row r="501" ht="12.5" x14ac:dyDescent="0.25"/>
    <row r="502" ht="12.5" x14ac:dyDescent="0.25"/>
    <row r="503" ht="12.5" x14ac:dyDescent="0.25"/>
    <row r="504" ht="12.5" x14ac:dyDescent="0.25"/>
    <row r="505" ht="12.5" x14ac:dyDescent="0.25"/>
    <row r="506" ht="12.5" x14ac:dyDescent="0.25"/>
    <row r="507" ht="12.5" x14ac:dyDescent="0.25"/>
    <row r="508" ht="12.5" x14ac:dyDescent="0.25"/>
    <row r="509" ht="12.5" x14ac:dyDescent="0.25"/>
    <row r="510" ht="12.5" x14ac:dyDescent="0.25"/>
    <row r="511" ht="12.5" x14ac:dyDescent="0.25"/>
    <row r="512" ht="12.5" x14ac:dyDescent="0.25"/>
    <row r="513" ht="12.5" x14ac:dyDescent="0.25"/>
    <row r="514" ht="12.5" x14ac:dyDescent="0.25"/>
    <row r="515" ht="12.5" x14ac:dyDescent="0.25"/>
    <row r="516" ht="12.5" x14ac:dyDescent="0.25"/>
    <row r="517" ht="12.5" x14ac:dyDescent="0.25"/>
    <row r="518" ht="12.5" x14ac:dyDescent="0.25"/>
    <row r="519" ht="12.5" x14ac:dyDescent="0.25"/>
    <row r="520" ht="12.5" x14ac:dyDescent="0.25"/>
    <row r="521" ht="12.5" x14ac:dyDescent="0.25"/>
    <row r="522" ht="12.5" x14ac:dyDescent="0.25"/>
    <row r="523" ht="12.5" x14ac:dyDescent="0.25"/>
    <row r="524" ht="12.5" x14ac:dyDescent="0.25"/>
    <row r="525" ht="12.5" x14ac:dyDescent="0.25"/>
    <row r="526" ht="12.5" x14ac:dyDescent="0.25"/>
    <row r="527" ht="12.5" x14ac:dyDescent="0.25"/>
    <row r="528" ht="12.5" x14ac:dyDescent="0.25"/>
    <row r="529" ht="12.5" x14ac:dyDescent="0.25"/>
    <row r="530" ht="12.5" x14ac:dyDescent="0.25"/>
    <row r="531" ht="12.5" x14ac:dyDescent="0.25"/>
    <row r="532" ht="12.5" x14ac:dyDescent="0.25"/>
    <row r="533" ht="12.5" x14ac:dyDescent="0.25"/>
    <row r="534" ht="12.5" x14ac:dyDescent="0.25"/>
    <row r="535" ht="12.5" x14ac:dyDescent="0.25"/>
    <row r="536" ht="12.5" x14ac:dyDescent="0.25"/>
    <row r="537" ht="12.5" x14ac:dyDescent="0.25"/>
    <row r="538" ht="12.5" x14ac:dyDescent="0.25"/>
    <row r="539" ht="12.5" x14ac:dyDescent="0.25"/>
    <row r="540" ht="12.5" x14ac:dyDescent="0.25"/>
    <row r="541" ht="12.5" x14ac:dyDescent="0.25"/>
    <row r="542" ht="12.5" x14ac:dyDescent="0.25"/>
    <row r="543" ht="12.5" x14ac:dyDescent="0.25"/>
    <row r="544" ht="12.5" x14ac:dyDescent="0.25"/>
    <row r="545" ht="12.5" x14ac:dyDescent="0.25"/>
    <row r="546" ht="12.5" x14ac:dyDescent="0.25"/>
    <row r="547" ht="12.5" x14ac:dyDescent="0.25"/>
    <row r="548" ht="12.5" x14ac:dyDescent="0.25"/>
    <row r="549" ht="12.5" x14ac:dyDescent="0.25"/>
    <row r="550" ht="12.5" x14ac:dyDescent="0.25"/>
    <row r="551" ht="12.5" x14ac:dyDescent="0.25"/>
    <row r="552" ht="12.5" x14ac:dyDescent="0.25"/>
    <row r="553" ht="12.5" x14ac:dyDescent="0.25"/>
    <row r="554" ht="12.5" x14ac:dyDescent="0.25"/>
    <row r="555" ht="12.5" x14ac:dyDescent="0.25"/>
    <row r="556" ht="12.5" x14ac:dyDescent="0.25"/>
    <row r="557" ht="12.5" x14ac:dyDescent="0.25"/>
    <row r="558" ht="12.5" x14ac:dyDescent="0.25"/>
    <row r="559" ht="12.5" x14ac:dyDescent="0.25"/>
    <row r="560" ht="12.5" x14ac:dyDescent="0.25"/>
    <row r="561" ht="12.5" x14ac:dyDescent="0.25"/>
    <row r="562" ht="12.5" x14ac:dyDescent="0.25"/>
    <row r="563" ht="12.5" x14ac:dyDescent="0.25"/>
    <row r="564" ht="12.5" x14ac:dyDescent="0.25"/>
    <row r="565" ht="12.5" x14ac:dyDescent="0.25"/>
    <row r="566" ht="12.5" x14ac:dyDescent="0.25"/>
    <row r="567" ht="12.5" x14ac:dyDescent="0.25"/>
    <row r="568" ht="12.5" x14ac:dyDescent="0.25"/>
    <row r="569" ht="12.5" x14ac:dyDescent="0.25"/>
    <row r="570" ht="12.5" x14ac:dyDescent="0.25"/>
    <row r="571" ht="12.5" x14ac:dyDescent="0.25"/>
    <row r="572" ht="12.5" x14ac:dyDescent="0.25"/>
    <row r="573" ht="12.5" x14ac:dyDescent="0.25"/>
    <row r="574" ht="12.5" x14ac:dyDescent="0.25"/>
    <row r="575" ht="12.5" x14ac:dyDescent="0.25"/>
    <row r="576" ht="12.5" x14ac:dyDescent="0.25"/>
    <row r="577" ht="12.5" x14ac:dyDescent="0.25"/>
    <row r="578" ht="12.5" x14ac:dyDescent="0.25"/>
    <row r="579" ht="12.5" x14ac:dyDescent="0.25"/>
    <row r="580" ht="12.5" x14ac:dyDescent="0.25"/>
    <row r="581" ht="12.5" x14ac:dyDescent="0.25"/>
    <row r="582" ht="12.5" x14ac:dyDescent="0.25"/>
    <row r="583" ht="12.5" x14ac:dyDescent="0.25"/>
    <row r="584" ht="12.5" x14ac:dyDescent="0.25"/>
    <row r="585" ht="12.5" x14ac:dyDescent="0.25"/>
    <row r="586" ht="12.5" x14ac:dyDescent="0.25"/>
    <row r="587" ht="12.5" x14ac:dyDescent="0.25"/>
    <row r="588" ht="12.5" x14ac:dyDescent="0.25"/>
    <row r="589" ht="12.5" x14ac:dyDescent="0.25"/>
    <row r="590" ht="12.5" x14ac:dyDescent="0.25"/>
    <row r="591" ht="12.5" x14ac:dyDescent="0.25"/>
    <row r="592" ht="12.5" x14ac:dyDescent="0.25"/>
    <row r="593" ht="12.5" x14ac:dyDescent="0.25"/>
    <row r="594" ht="12.5" x14ac:dyDescent="0.25"/>
    <row r="595" ht="12.5" x14ac:dyDescent="0.25"/>
    <row r="596" ht="12.5" x14ac:dyDescent="0.25"/>
    <row r="597" ht="12.5" x14ac:dyDescent="0.25"/>
    <row r="598" ht="12.5" x14ac:dyDescent="0.25"/>
    <row r="599" ht="12.5" x14ac:dyDescent="0.25"/>
    <row r="600" ht="12.5" x14ac:dyDescent="0.25"/>
    <row r="601" ht="12.5" x14ac:dyDescent="0.25"/>
    <row r="602" ht="12.5" x14ac:dyDescent="0.25"/>
    <row r="603" ht="12.5" x14ac:dyDescent="0.25"/>
    <row r="604" ht="12.5" x14ac:dyDescent="0.25"/>
    <row r="605" ht="12.5" x14ac:dyDescent="0.25"/>
    <row r="606" ht="12.5" x14ac:dyDescent="0.25"/>
    <row r="607" ht="12.5" x14ac:dyDescent="0.25"/>
    <row r="608" ht="12.5" x14ac:dyDescent="0.25"/>
    <row r="609" ht="12.5" x14ac:dyDescent="0.25"/>
    <row r="610" ht="12.5" x14ac:dyDescent="0.25"/>
    <row r="611" ht="12.5" x14ac:dyDescent="0.25"/>
    <row r="612" ht="12.5" x14ac:dyDescent="0.25"/>
    <row r="613" ht="12.5" x14ac:dyDescent="0.25"/>
    <row r="614" ht="12.5" x14ac:dyDescent="0.25"/>
    <row r="615" ht="12.5" x14ac:dyDescent="0.25"/>
    <row r="616" ht="12.5" x14ac:dyDescent="0.25"/>
    <row r="617" ht="12.5" x14ac:dyDescent="0.25"/>
    <row r="618" ht="12.5" x14ac:dyDescent="0.25"/>
    <row r="619" ht="12.5" x14ac:dyDescent="0.25"/>
    <row r="620" ht="12.5" x14ac:dyDescent="0.25"/>
    <row r="621" ht="12.5" x14ac:dyDescent="0.25"/>
    <row r="622" ht="12.5" x14ac:dyDescent="0.25"/>
    <row r="623" ht="12.5" x14ac:dyDescent="0.25"/>
    <row r="624" ht="12.5" x14ac:dyDescent="0.25"/>
    <row r="625" ht="12.5" x14ac:dyDescent="0.25"/>
    <row r="626" ht="12.5" x14ac:dyDescent="0.25"/>
    <row r="627" ht="12.5" x14ac:dyDescent="0.25"/>
    <row r="628" ht="12.5" x14ac:dyDescent="0.25"/>
    <row r="629" ht="12.5" x14ac:dyDescent="0.25"/>
    <row r="630" ht="12.5" x14ac:dyDescent="0.25"/>
    <row r="631" ht="12.5" x14ac:dyDescent="0.25"/>
    <row r="632" ht="12.5" x14ac:dyDescent="0.25"/>
    <row r="633" ht="12.5" x14ac:dyDescent="0.25"/>
    <row r="634" ht="12.5" x14ac:dyDescent="0.25"/>
    <row r="635" ht="12.5" x14ac:dyDescent="0.25"/>
    <row r="636" ht="12.5" x14ac:dyDescent="0.25"/>
    <row r="637" ht="12.5" x14ac:dyDescent="0.25"/>
    <row r="638" ht="12.5" x14ac:dyDescent="0.25"/>
    <row r="639" ht="12.5" x14ac:dyDescent="0.25"/>
    <row r="640" ht="12.5" x14ac:dyDescent="0.25"/>
    <row r="641" ht="12.5" x14ac:dyDescent="0.25"/>
    <row r="642" ht="12.5" x14ac:dyDescent="0.25"/>
    <row r="643" ht="12.5" x14ac:dyDescent="0.25"/>
    <row r="644" ht="12.5" x14ac:dyDescent="0.25"/>
    <row r="645" ht="12.5" x14ac:dyDescent="0.25"/>
    <row r="646" ht="12.5" x14ac:dyDescent="0.25"/>
    <row r="647" ht="12.5" x14ac:dyDescent="0.25"/>
    <row r="648" ht="12.5" x14ac:dyDescent="0.25"/>
    <row r="649" ht="12.5" x14ac:dyDescent="0.25"/>
    <row r="650" ht="12.5" x14ac:dyDescent="0.25"/>
    <row r="651" ht="12.5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B3321-C923-41D3-A094-CDD0B4E333CD}">
  <sheetPr codeName="Sheet7"/>
  <dimension ref="A1:I56"/>
  <sheetViews>
    <sheetView tabSelected="1" topLeftCell="A40" workbookViewId="0">
      <selection activeCell="D56" sqref="D56"/>
    </sheetView>
  </sheetViews>
  <sheetFormatPr defaultRowHeight="12.5" x14ac:dyDescent="0.25"/>
  <cols>
    <col min="1" max="1" width="14.36328125" bestFit="1" customWidth="1"/>
    <col min="2" max="2" width="16.6328125" bestFit="1" customWidth="1"/>
  </cols>
  <sheetData>
    <row r="1" spans="1:9" x14ac:dyDescent="0.25">
      <c r="A1" s="14" t="s">
        <v>2409</v>
      </c>
      <c r="B1" s="14"/>
      <c r="C1" s="14"/>
      <c r="D1" s="14"/>
      <c r="E1" s="14"/>
      <c r="F1" s="14"/>
      <c r="G1" s="14"/>
      <c r="H1" s="14"/>
      <c r="I1" s="14"/>
    </row>
    <row r="3" spans="1:9" x14ac:dyDescent="0.25">
      <c r="A3" s="12" t="s">
        <v>2406</v>
      </c>
      <c r="B3" t="s">
        <v>2408</v>
      </c>
    </row>
    <row r="4" spans="1:9" x14ac:dyDescent="0.25">
      <c r="A4" s="13" t="s">
        <v>48</v>
      </c>
      <c r="B4" s="11">
        <v>353736</v>
      </c>
    </row>
    <row r="5" spans="1:9" x14ac:dyDescent="0.25">
      <c r="A5" s="13" t="s">
        <v>122</v>
      </c>
      <c r="B5" s="11">
        <v>305770</v>
      </c>
    </row>
    <row r="6" spans="1:9" x14ac:dyDescent="0.25">
      <c r="A6" s="13" t="s">
        <v>55</v>
      </c>
      <c r="B6" s="11">
        <v>283774</v>
      </c>
    </row>
    <row r="7" spans="1:9" x14ac:dyDescent="0.25">
      <c r="A7" s="13" t="s">
        <v>147</v>
      </c>
      <c r="B7" s="11">
        <v>278287</v>
      </c>
    </row>
    <row r="8" spans="1:9" x14ac:dyDescent="0.25">
      <c r="A8" s="13" t="s">
        <v>37</v>
      </c>
      <c r="B8" s="11">
        <v>273564</v>
      </c>
    </row>
    <row r="9" spans="1:9" x14ac:dyDescent="0.25">
      <c r="A9" s="13" t="s">
        <v>24</v>
      </c>
      <c r="B9" s="11">
        <v>265383</v>
      </c>
    </row>
    <row r="10" spans="1:9" x14ac:dyDescent="0.25">
      <c r="A10" s="13" t="s">
        <v>116</v>
      </c>
      <c r="B10" s="11">
        <v>264156</v>
      </c>
    </row>
    <row r="11" spans="1:9" x14ac:dyDescent="0.25">
      <c r="A11" s="13" t="s">
        <v>247</v>
      </c>
      <c r="B11" s="11">
        <v>260948</v>
      </c>
    </row>
    <row r="12" spans="1:9" x14ac:dyDescent="0.25">
      <c r="A12" s="13" t="s">
        <v>208</v>
      </c>
      <c r="B12" s="11">
        <v>256291</v>
      </c>
    </row>
    <row r="13" spans="1:9" x14ac:dyDescent="0.25">
      <c r="A13" s="13" t="s">
        <v>132</v>
      </c>
      <c r="B13" s="11">
        <v>248776</v>
      </c>
    </row>
    <row r="14" spans="1:9" x14ac:dyDescent="0.25">
      <c r="A14" s="13" t="s">
        <v>2407</v>
      </c>
      <c r="B14" s="11">
        <v>2790685</v>
      </c>
    </row>
    <row r="16" spans="1:9" x14ac:dyDescent="0.25">
      <c r="A16" s="15" t="s">
        <v>2410</v>
      </c>
      <c r="B16" s="15"/>
      <c r="C16" s="15"/>
      <c r="D16" s="15"/>
      <c r="E16" s="15"/>
    </row>
    <row r="18" spans="1:6" x14ac:dyDescent="0.25">
      <c r="A18" s="12" t="s">
        <v>2406</v>
      </c>
      <c r="B18" t="s">
        <v>2408</v>
      </c>
    </row>
    <row r="19" spans="1:6" x14ac:dyDescent="0.25">
      <c r="A19" s="13" t="s">
        <v>38</v>
      </c>
      <c r="B19" s="11">
        <v>806114</v>
      </c>
    </row>
    <row r="20" spans="1:6" x14ac:dyDescent="0.25">
      <c r="A20" s="13" t="s">
        <v>25</v>
      </c>
      <c r="B20" s="11">
        <v>619119</v>
      </c>
    </row>
    <row r="21" spans="1:6" x14ac:dyDescent="0.25">
      <c r="A21" s="13" t="s">
        <v>117</v>
      </c>
      <c r="B21" s="11">
        <v>520447</v>
      </c>
    </row>
    <row r="22" spans="1:6" x14ac:dyDescent="0.25">
      <c r="A22" s="13" t="s">
        <v>123</v>
      </c>
      <c r="B22" s="11">
        <v>305770</v>
      </c>
    </row>
    <row r="23" spans="1:6" x14ac:dyDescent="0.25">
      <c r="A23" s="13" t="s">
        <v>148</v>
      </c>
      <c r="B23" s="11">
        <v>278287</v>
      </c>
    </row>
    <row r="24" spans="1:6" x14ac:dyDescent="0.25">
      <c r="A24" s="13" t="s">
        <v>248</v>
      </c>
      <c r="B24" s="11">
        <v>260948</v>
      </c>
    </row>
    <row r="25" spans="1:6" x14ac:dyDescent="0.25">
      <c r="A25" s="13" t="s">
        <v>2407</v>
      </c>
      <c r="B25" s="11">
        <v>2790685</v>
      </c>
    </row>
    <row r="27" spans="1:6" x14ac:dyDescent="0.25">
      <c r="A27" s="15" t="s">
        <v>2413</v>
      </c>
      <c r="B27" s="15"/>
      <c r="C27" s="15"/>
      <c r="D27" s="15"/>
      <c r="E27" s="15"/>
      <c r="F27" s="15"/>
    </row>
    <row r="29" spans="1:6" x14ac:dyDescent="0.25">
      <c r="A29" s="12" t="s">
        <v>2406</v>
      </c>
      <c r="B29" t="s">
        <v>2412</v>
      </c>
    </row>
    <row r="30" spans="1:6" x14ac:dyDescent="0.25">
      <c r="A30" s="13" t="s">
        <v>57</v>
      </c>
      <c r="B30" s="9">
        <v>0.32307692307692309</v>
      </c>
    </row>
    <row r="31" spans="1:6" x14ac:dyDescent="0.25">
      <c r="A31" s="13" t="s">
        <v>2411</v>
      </c>
      <c r="B31" s="9">
        <v>0.34153846153846151</v>
      </c>
    </row>
    <row r="32" spans="1:6" x14ac:dyDescent="0.25">
      <c r="A32" s="13" t="s">
        <v>40</v>
      </c>
      <c r="B32" s="9">
        <v>0.33538461538461539</v>
      </c>
    </row>
    <row r="33" spans="1:5" x14ac:dyDescent="0.25">
      <c r="A33" s="13" t="s">
        <v>2407</v>
      </c>
      <c r="B33" s="9">
        <v>1</v>
      </c>
    </row>
    <row r="35" spans="1:5" x14ac:dyDescent="0.25">
      <c r="A35" s="15" t="s">
        <v>2414</v>
      </c>
      <c r="B35" s="15"/>
      <c r="C35" s="15"/>
      <c r="D35" s="15"/>
      <c r="E35" s="15"/>
    </row>
    <row r="37" spans="1:5" x14ac:dyDescent="0.25">
      <c r="A37" s="12" t="s">
        <v>2406</v>
      </c>
      <c r="B37" t="s">
        <v>2408</v>
      </c>
    </row>
    <row r="38" spans="1:5" x14ac:dyDescent="0.25">
      <c r="A38" s="13" t="s">
        <v>149</v>
      </c>
      <c r="B38" s="11">
        <v>357522</v>
      </c>
    </row>
    <row r="39" spans="1:5" x14ac:dyDescent="0.25">
      <c r="A39" s="13" t="s">
        <v>104</v>
      </c>
      <c r="B39" s="11">
        <v>354204</v>
      </c>
    </row>
    <row r="40" spans="1:5" x14ac:dyDescent="0.25">
      <c r="A40" s="13" t="s">
        <v>30</v>
      </c>
      <c r="B40" s="11">
        <v>289203</v>
      </c>
    </row>
    <row r="41" spans="1:5" x14ac:dyDescent="0.25">
      <c r="A41" s="13" t="s">
        <v>58</v>
      </c>
      <c r="B41" s="11">
        <v>288168</v>
      </c>
    </row>
    <row r="42" spans="1:5" x14ac:dyDescent="0.25">
      <c r="A42" s="13" t="s">
        <v>83</v>
      </c>
      <c r="B42" s="11">
        <v>283808</v>
      </c>
    </row>
    <row r="43" spans="1:5" x14ac:dyDescent="0.25">
      <c r="A43" s="13" t="s">
        <v>110</v>
      </c>
      <c r="B43" s="11">
        <v>270751</v>
      </c>
    </row>
    <row r="44" spans="1:5" x14ac:dyDescent="0.25">
      <c r="A44" s="13" t="s">
        <v>89</v>
      </c>
      <c r="B44" s="11">
        <v>265586</v>
      </c>
    </row>
    <row r="45" spans="1:5" x14ac:dyDescent="0.25">
      <c r="A45" s="13" t="s">
        <v>66</v>
      </c>
      <c r="B45" s="11">
        <v>235989</v>
      </c>
    </row>
    <row r="46" spans="1:5" x14ac:dyDescent="0.25">
      <c r="A46" s="13" t="s">
        <v>41</v>
      </c>
      <c r="B46" s="11">
        <v>229612</v>
      </c>
    </row>
    <row r="47" spans="1:5" x14ac:dyDescent="0.25">
      <c r="A47" s="13" t="s">
        <v>185</v>
      </c>
      <c r="B47" s="11">
        <v>215842</v>
      </c>
    </row>
    <row r="48" spans="1:5" x14ac:dyDescent="0.25">
      <c r="A48" s="13" t="s">
        <v>2407</v>
      </c>
      <c r="B48" s="11">
        <v>2790685</v>
      </c>
    </row>
    <row r="50" spans="1:6" x14ac:dyDescent="0.25">
      <c r="A50" s="15" t="s">
        <v>2415</v>
      </c>
      <c r="B50" s="15"/>
      <c r="C50" s="15"/>
      <c r="D50" s="15"/>
      <c r="E50" s="15"/>
      <c r="F50" s="15"/>
    </row>
    <row r="52" spans="1:6" x14ac:dyDescent="0.25">
      <c r="A52" s="12" t="s">
        <v>2406</v>
      </c>
      <c r="B52" t="s">
        <v>2412</v>
      </c>
    </row>
    <row r="53" spans="1:6" x14ac:dyDescent="0.25">
      <c r="A53" s="13" t="s">
        <v>65</v>
      </c>
      <c r="B53" s="16">
        <v>211</v>
      </c>
    </row>
    <row r="54" spans="1:6" x14ac:dyDescent="0.25">
      <c r="A54" s="13" t="s">
        <v>29</v>
      </c>
      <c r="B54" s="16">
        <v>214</v>
      </c>
    </row>
    <row r="55" spans="1:6" x14ac:dyDescent="0.25">
      <c r="A55" s="13" t="s">
        <v>78</v>
      </c>
      <c r="B55" s="16">
        <v>225</v>
      </c>
    </row>
    <row r="56" spans="1:6" x14ac:dyDescent="0.25">
      <c r="A56" s="13" t="s">
        <v>2407</v>
      </c>
      <c r="B56" s="16">
        <v>650</v>
      </c>
    </row>
  </sheetData>
  <mergeCells count="5">
    <mergeCell ref="A1:I1"/>
    <mergeCell ref="A16:E16"/>
    <mergeCell ref="A27:F27"/>
    <mergeCell ref="A35:E35"/>
    <mergeCell ref="A50:F5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Data</vt:lpstr>
      <vt:lpstr>Cleaned Data</vt:lpstr>
      <vt:lpstr>KPIs</vt:lpstr>
      <vt:lpstr>MIS Summary</vt:lpstr>
      <vt:lpstr>Pivot Table &amp; Business Q&amp;As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Chakraborty</dc:creator>
  <cp:lastModifiedBy>Abhishek Chakraborty</cp:lastModifiedBy>
  <dcterms:created xsi:type="dcterms:W3CDTF">2026-01-29T05:00:29Z</dcterms:created>
  <dcterms:modified xsi:type="dcterms:W3CDTF">2026-01-29T05:54:58Z</dcterms:modified>
</cp:coreProperties>
</file>